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DOSSIERS TRANVERSAUX\DAEST\CY CAMPUS\Programmes Académiques Territoriaux (PAT) CYU\donnée chiffrée ILEPS\"/>
    </mc:Choice>
  </mc:AlternateContent>
  <xr:revisionPtr revIDLastSave="0" documentId="13_ncr:1_{5E5A004D-5114-4196-9A82-ED76F2CF9287}" xr6:coauthVersionLast="47" xr6:coauthVersionMax="47" xr10:uidLastSave="{00000000-0000-0000-0000-000000000000}"/>
  <bookViews>
    <workbookView xWindow="-120" yWindow="-120" windowWidth="29040" windowHeight="15720" xr2:uid="{CA0931D8-F1FC-4E3D-B0DC-1CF83692E136}"/>
  </bookViews>
  <sheets>
    <sheet name="Par commune soutenu " sheetId="2" r:id="rId1"/>
    <sheet name="Par canton soutenu" sheetId="1" r:id="rId2"/>
    <sheet name="Intercommunalité soutenu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2" l="1"/>
  <c r="N186" i="2"/>
  <c r="L186" i="2"/>
  <c r="K186" i="2"/>
  <c r="D186" i="2"/>
  <c r="C186" i="2"/>
  <c r="F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M5" i="2"/>
  <c r="N3" i="1"/>
  <c r="N4" i="1"/>
  <c r="N5" i="1"/>
  <c r="N6" i="1"/>
  <c r="E3" i="1"/>
  <c r="E4" i="1"/>
  <c r="E6" i="1"/>
  <c r="M137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186" i="2" s="1"/>
  <c r="M6" i="2"/>
  <c r="M4" i="2"/>
  <c r="L14" i="3"/>
  <c r="L13" i="3"/>
  <c r="L12" i="3"/>
  <c r="L11" i="3"/>
  <c r="L10" i="3"/>
  <c r="L9" i="3"/>
  <c r="L8" i="3"/>
  <c r="L7" i="3"/>
  <c r="L6" i="3"/>
  <c r="L5" i="3"/>
  <c r="L4" i="3"/>
  <c r="L3" i="3"/>
  <c r="E4" i="3"/>
  <c r="E5" i="3"/>
  <c r="E6" i="3"/>
  <c r="E7" i="3"/>
  <c r="E8" i="3"/>
  <c r="E9" i="3"/>
  <c r="E10" i="3"/>
  <c r="E11" i="3"/>
  <c r="E12" i="3"/>
  <c r="E13" i="3"/>
  <c r="E14" i="3"/>
  <c r="E3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4" i="2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5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8" i="1"/>
  <c r="N7" i="1"/>
  <c r="E186" i="2" l="1"/>
  <c r="M184" i="2"/>
  <c r="M185" i="2"/>
</calcChain>
</file>

<file path=xl/sharedStrings.xml><?xml version="1.0" encoding="utf-8"?>
<sst xmlns="http://schemas.openxmlformats.org/spreadsheetml/2006/main" count="746" uniqueCount="313">
  <si>
    <t>Cergy</t>
  </si>
  <si>
    <t xml:space="preserve">Deuil-la-barre </t>
  </si>
  <si>
    <t>Domont</t>
  </si>
  <si>
    <t>Ermont</t>
  </si>
  <si>
    <t>Fosses</t>
  </si>
  <si>
    <t>Franconville</t>
  </si>
  <si>
    <t>Garges-lès-Gonesse</t>
  </si>
  <si>
    <t>Herblay-sur-Seine</t>
  </si>
  <si>
    <t>L'Isle-Adam</t>
  </si>
  <si>
    <t>Montmorency</t>
  </si>
  <si>
    <t xml:space="preserve">Pontoise </t>
  </si>
  <si>
    <t>Saint-Ouen-l'Aumône</t>
  </si>
  <si>
    <t xml:space="preserve">Sarcelles </t>
  </si>
  <si>
    <t>Taverny</t>
  </si>
  <si>
    <t>Vauréal</t>
  </si>
  <si>
    <t xml:space="preserve">Villiers-le-Bel </t>
  </si>
  <si>
    <t xml:space="preserve">Nombre D'association </t>
  </si>
  <si>
    <t xml:space="preserve">Nombre association sportive </t>
  </si>
  <si>
    <t xml:space="preserve">Nombre Association sportive scolaire </t>
  </si>
  <si>
    <t xml:space="preserve">Goussainville </t>
  </si>
  <si>
    <t xml:space="preserve">nombre d'association </t>
  </si>
  <si>
    <t xml:space="preserve">La roche-Guyon </t>
  </si>
  <si>
    <t>Bray-et-lû</t>
  </si>
  <si>
    <t>Charmont</t>
  </si>
  <si>
    <t>Arthies</t>
  </si>
  <si>
    <t xml:space="preserve">Maudétour-En-Vexin </t>
  </si>
  <si>
    <t xml:space="preserve">Wy-dit-Joli-Village </t>
  </si>
  <si>
    <t>Ambleville</t>
  </si>
  <si>
    <t>Banthelu</t>
  </si>
  <si>
    <t>La Chapelle-en-Vexin</t>
  </si>
  <si>
    <t>Saint-Cry-en-Arthies</t>
  </si>
  <si>
    <t xml:space="preserve">Chérence </t>
  </si>
  <si>
    <t xml:space="preserve">Villiers-en-Arthies </t>
  </si>
  <si>
    <t>Vétheuil</t>
  </si>
  <si>
    <t xml:space="preserve">Amenucourt </t>
  </si>
  <si>
    <t>Haute-Ilse</t>
  </si>
  <si>
    <t xml:space="preserve">Montreuil-sur-Epte </t>
  </si>
  <si>
    <t>Saint-Clair-sur-Epte</t>
  </si>
  <si>
    <t>Chaussy</t>
  </si>
  <si>
    <t>Vienne-en-Arthies</t>
  </si>
  <si>
    <t>Buhy</t>
  </si>
  <si>
    <t>Saint-Gervais</t>
  </si>
  <si>
    <t>Hodent</t>
  </si>
  <si>
    <t>Aincourt</t>
  </si>
  <si>
    <t>Genainville</t>
  </si>
  <si>
    <t xml:space="preserve">Magny-en-Vexin </t>
  </si>
  <si>
    <t>Mours</t>
  </si>
  <si>
    <t>Persan</t>
  </si>
  <si>
    <t>Noisy-sur-Oise</t>
  </si>
  <si>
    <t>Ronquerolles</t>
  </si>
  <si>
    <t>Bruyères-sur-Oise</t>
  </si>
  <si>
    <t>Beaumont-sur-Oise</t>
  </si>
  <si>
    <t xml:space="preserve">Champagne-sur-Oise </t>
  </si>
  <si>
    <t>Bernes-sur-Oise</t>
  </si>
  <si>
    <t>Chennevières-lès-Louvres</t>
  </si>
  <si>
    <t>Le Thillay</t>
  </si>
  <si>
    <t>Villiers-le-Bel</t>
  </si>
  <si>
    <t>Villeron</t>
  </si>
  <si>
    <t>Puiseux-en-France</t>
  </si>
  <si>
    <t>Fontenay-en-Parisis</t>
  </si>
  <si>
    <t>Le mesnil-Aubry</t>
  </si>
  <si>
    <t>Vémars</t>
  </si>
  <si>
    <t>Bonneuil-en-France</t>
  </si>
  <si>
    <t>Louvres</t>
  </si>
  <si>
    <t>Survilliers</t>
  </si>
  <si>
    <t>Le Plessis-Gassot</t>
  </si>
  <si>
    <t xml:space="preserve">Marly-la-Ville </t>
  </si>
  <si>
    <t>Saint-Witz</t>
  </si>
  <si>
    <t xml:space="preserve">Bouqueval </t>
  </si>
  <si>
    <t>Goussainville</t>
  </si>
  <si>
    <t>Arnouville</t>
  </si>
  <si>
    <t>Ecouan</t>
  </si>
  <si>
    <t>Vaudherland</t>
  </si>
  <si>
    <t>Roissy-en-France</t>
  </si>
  <si>
    <t>Eragny</t>
  </si>
  <si>
    <t>Neuville-sur-Oise</t>
  </si>
  <si>
    <t>Puiseux-Pontoise</t>
  </si>
  <si>
    <t>Jouy-le-Moutier</t>
  </si>
  <si>
    <t xml:space="preserve">Vauréal </t>
  </si>
  <si>
    <t>Osny</t>
  </si>
  <si>
    <t>Pontoise</t>
  </si>
  <si>
    <t>Courdimanche</t>
  </si>
  <si>
    <t>Boisemont</t>
  </si>
  <si>
    <t>Menucourt</t>
  </si>
  <si>
    <t>Maffliers</t>
  </si>
  <si>
    <t>Seugy</t>
  </si>
  <si>
    <t>Saint-Martin-du-tartre</t>
  </si>
  <si>
    <t>Bellefontaine</t>
  </si>
  <si>
    <t>Villiers-le-Sec</t>
  </si>
  <si>
    <t>Jagny-Sous-Bois</t>
  </si>
  <si>
    <t>Montsoult</t>
  </si>
  <si>
    <t>Chaumontel</t>
  </si>
  <si>
    <t>Le Plessis-Luzarches</t>
  </si>
  <si>
    <t>Luzarches</t>
  </si>
  <si>
    <t>Belloy-en-France</t>
  </si>
  <si>
    <t>Villaines-sous-Bois</t>
  </si>
  <si>
    <t>Asnières-sur-Oise</t>
  </si>
  <si>
    <t>Châtenay-en-France</t>
  </si>
  <si>
    <t>Epinay-Champlâtreux</t>
  </si>
  <si>
    <t>Lassy</t>
  </si>
  <si>
    <t>Viarmes</t>
  </si>
  <si>
    <t>Mareil-en-France</t>
  </si>
  <si>
    <t>Baillet-en-France</t>
  </si>
  <si>
    <t>Frouville</t>
  </si>
  <si>
    <t>Valmondois</t>
  </si>
  <si>
    <t>Labbeville</t>
  </si>
  <si>
    <t>Hédouville</t>
  </si>
  <si>
    <t>Menouville</t>
  </si>
  <si>
    <t>Epiais-Rhus</t>
  </si>
  <si>
    <t>Génicourt</t>
  </si>
  <si>
    <t>Auvers-sur-Oise</t>
  </si>
  <si>
    <t>Liviliers</t>
  </si>
  <si>
    <t>Ennery</t>
  </si>
  <si>
    <t>Arronville</t>
  </si>
  <si>
    <t>Vallangoujard</t>
  </si>
  <si>
    <t>Nesles-la-vallée</t>
  </si>
  <si>
    <t>Hérouville-en-Vexin</t>
  </si>
  <si>
    <t>Butry-sur-Oise</t>
  </si>
  <si>
    <t>Bezons</t>
  </si>
  <si>
    <t>Le Plessis-Bouchard</t>
  </si>
  <si>
    <t>Bessancourt</t>
  </si>
  <si>
    <t>Frépillon</t>
  </si>
  <si>
    <t>Eaubonne</t>
  </si>
  <si>
    <t>Cormeilles-en-Parisis</t>
  </si>
  <si>
    <t>Saint-Leu-la-Forêt</t>
  </si>
  <si>
    <t>Montigny-lès-Cormeilles</t>
  </si>
  <si>
    <t>Sannois</t>
  </si>
  <si>
    <t>La Frette-Sur-Seine</t>
  </si>
  <si>
    <t>Pierrelaye</t>
  </si>
  <si>
    <t>Beauchamp</t>
  </si>
  <si>
    <t>Ezanville</t>
  </si>
  <si>
    <t>Saint-Gratien</t>
  </si>
  <si>
    <t>Montlignon</t>
  </si>
  <si>
    <t>Grolay</t>
  </si>
  <si>
    <t>Attainville</t>
  </si>
  <si>
    <t>Piscop</t>
  </si>
  <si>
    <t>Andilly</t>
  </si>
  <si>
    <t>Saint-Brice-sous-Forêt</t>
  </si>
  <si>
    <t>Deuil-la-Barre</t>
  </si>
  <si>
    <t>Margency</t>
  </si>
  <si>
    <t>Soisy-sous-Montmorency</t>
  </si>
  <si>
    <t>Saint-Prix</t>
  </si>
  <si>
    <t>Enghien-les-Bains</t>
  </si>
  <si>
    <t>Bouffémont</t>
  </si>
  <si>
    <t>Moisselles</t>
  </si>
  <si>
    <t>Montmagny</t>
  </si>
  <si>
    <t>Argenteuil</t>
  </si>
  <si>
    <t>Nerville-la-forêt</t>
  </si>
  <si>
    <t>Méry-sur-Oise</t>
  </si>
  <si>
    <t>Béthemont-la-Forêt</t>
  </si>
  <si>
    <t>Villers-Adam</t>
  </si>
  <si>
    <t>Mériel</t>
  </si>
  <si>
    <t>Chauvry</t>
  </si>
  <si>
    <t>Perseles</t>
  </si>
  <si>
    <t>Parmain</t>
  </si>
  <si>
    <t>Santeuil</t>
  </si>
  <si>
    <t>Courcelles-sur-Viosne</t>
  </si>
  <si>
    <t>Neuilly-en-Vexin</t>
  </si>
  <si>
    <t>Us</t>
  </si>
  <si>
    <t>Brignancourt</t>
  </si>
  <si>
    <t>Frémainville</t>
  </si>
  <si>
    <t>Nucourt</t>
  </si>
  <si>
    <t>Marines</t>
  </si>
  <si>
    <t>Bréançon</t>
  </si>
  <si>
    <t>Le Perchay</t>
  </si>
  <si>
    <t>Grisy-les-Platres</t>
  </si>
  <si>
    <t>Vigny</t>
  </si>
  <si>
    <t>Ableiges</t>
  </si>
  <si>
    <t>Moussy</t>
  </si>
  <si>
    <t>Montgeroult</t>
  </si>
  <si>
    <t>Avernes</t>
  </si>
  <si>
    <t>Le Haulme</t>
  </si>
  <si>
    <t>Condécourt</t>
  </si>
  <si>
    <t>Berville</t>
  </si>
  <si>
    <t>Cléry-en-Vexin</t>
  </si>
  <si>
    <t>Cormeilles-en-Vexin</t>
  </si>
  <si>
    <t>Theuville</t>
  </si>
  <si>
    <t>Sagy</t>
  </si>
  <si>
    <t>Boissy-l'Aillerie</t>
  </si>
  <si>
    <t>Chars</t>
  </si>
  <si>
    <t>Guiry-en-Vexin</t>
  </si>
  <si>
    <t>Frémécourt</t>
  </si>
  <si>
    <t>Haravilliers</t>
  </si>
  <si>
    <t>Théméricourt</t>
  </si>
  <si>
    <t>Seraincourt</t>
  </si>
  <si>
    <t>Longuesse</t>
  </si>
  <si>
    <t>Commeny</t>
  </si>
  <si>
    <t>CC Vexin Centre</t>
  </si>
  <si>
    <t>Ca Roissy Pays de France</t>
  </si>
  <si>
    <t>CA Plaine Vallée</t>
  </si>
  <si>
    <t>CA Val Parisis</t>
  </si>
  <si>
    <t>CC Carnelle Pays de France</t>
  </si>
  <si>
    <t>CA Cergy Pontoise</t>
  </si>
  <si>
    <t>CC de la Vallée de l'Oise et des Trois Forêts</t>
  </si>
  <si>
    <t>CC du Haut Val d'Oise</t>
  </si>
  <si>
    <t>Ccdu Vexin Val de Seine</t>
  </si>
  <si>
    <t>CC Sausseron Impressionnistes</t>
  </si>
  <si>
    <t xml:space="preserve">Nombre de Manifestation Sportive </t>
  </si>
  <si>
    <t xml:space="preserve">Nombre de Manifestation sportive </t>
  </si>
  <si>
    <t>Le Mesnil-Aubry</t>
  </si>
  <si>
    <t>Boxing Sarcelles Show 3</t>
  </si>
  <si>
    <t>Epiais-lès-Louvres</t>
  </si>
  <si>
    <t>Gonesse</t>
  </si>
  <si>
    <t>Championnat de France par équipe de développé; 14ème Internationaux de tennis féminin</t>
  </si>
  <si>
    <t>3 manches du Championnat de France de Tennis Féminin pro B</t>
  </si>
  <si>
    <t>Trophée Ile de France de Tennis Fauteuil; Championnat de France Open Outdoor N1 et N3 phase aller; Xtriathlon Cergy-Pontoise Val d'Oise</t>
  </si>
  <si>
    <t>Duathlon Avenir de Soisy sous Montmorency</t>
  </si>
  <si>
    <t>Meeting International U18 de Franconville</t>
  </si>
  <si>
    <t>Open de France féminin de baseball</t>
  </si>
  <si>
    <t>La Seine à Vélo; Handidécouverte; Cyclocancer 2023; Tournoi International P.Tiby</t>
  </si>
  <si>
    <t>Challenges du Comité IDF</t>
  </si>
  <si>
    <t>Tournoi de handfauteuil
Handicoyotes 95</t>
  </si>
  <si>
    <t>Journée Claude Cramète</t>
  </si>
  <si>
    <t>All Star Games</t>
  </si>
  <si>
    <t>Tournoi King of Ring Championnat du Monde de kick-boxing</t>
  </si>
  <si>
    <t>Matchs de futsal U23 (France-Japon)</t>
  </si>
  <si>
    <t>Phase finale du championnat fédéral N2 mixte outdoor</t>
  </si>
  <si>
    <t>Carré final championnat de France féminin élite</t>
  </si>
  <si>
    <t>Finales de la Coupe de France de Breaking; Course du Muguet; Finales jeunes gymnastique; Championnat de France Benjamins/cadets</t>
  </si>
  <si>
    <t>Raid des Collégiens</t>
  </si>
  <si>
    <t>Tournoi National des Déèsses 2023</t>
  </si>
  <si>
    <t>Championnat de France Junior</t>
  </si>
  <si>
    <t>Nuit des Combattants</t>
  </si>
  <si>
    <t>X Trail</t>
  </si>
  <si>
    <t>Sarcelles Boxing SHOW 4</t>
  </si>
  <si>
    <t>15èmes internationaux féminins</t>
  </si>
  <si>
    <t>Coupe Régionale Féminine FSGT</t>
  </si>
  <si>
    <t>Trail du Château dEcouen</t>
  </si>
  <si>
    <t>Tournoi National Jeunes</t>
  </si>
  <si>
    <t>Tournoi national des déesses; Championnat de France Interclubs Jeunes U13 et U17; Handidécouverte</t>
  </si>
  <si>
    <t>Raid des collégiens; Cross des rameurs franciliens; X Triathlon Event</t>
  </si>
  <si>
    <t>Championnat des Clubs IDF-Centre; 24 heures de VTT de Cergy</t>
  </si>
  <si>
    <t>Championnats de France des Clubs Elite dAthlétisme; Finales Coupe de France de Breaking; All Star Game Val dOise International 3x3</t>
  </si>
  <si>
    <t>Tournoi King of Ring Championnat du Monde de Kick-Boxing</t>
  </si>
  <si>
    <t>TIBY Handball</t>
  </si>
  <si>
    <t>Phases qualificatives Championnat de France</t>
  </si>
  <si>
    <t>Championnat Régional Jeune FSGT</t>
  </si>
  <si>
    <t>Tournoi Michel Beauvais</t>
  </si>
  <si>
    <t>Tournoi de Hand-Fauteuil</t>
  </si>
  <si>
    <t>Journée Départementale du Cheval et du Poney; Duathlon Avenir de Soisy-sous-Montmorency</t>
  </si>
  <si>
    <t>Demi-finales coupes nationales mixtes gymnastique FSCF; Tournoi Les ceintures</t>
  </si>
  <si>
    <t>Championnat de France Para Football Sport Adapté Jeunes</t>
  </si>
  <si>
    <t>Journée Claude-Cramette, Tour du Vexin Français</t>
  </si>
  <si>
    <t>CC du Vexin Val de Seine</t>
  </si>
  <si>
    <t>Argenteuil 1</t>
  </si>
  <si>
    <t>Argenteuil 2</t>
  </si>
  <si>
    <t>Argenteuil 3</t>
  </si>
  <si>
    <t>Cergy 1</t>
  </si>
  <si>
    <t>Cergy 2</t>
  </si>
  <si>
    <t xml:space="preserve">section sportive collège </t>
  </si>
  <si>
    <t xml:space="preserve">Antoine de Saint-Exupery </t>
  </si>
  <si>
    <t>Gabriel Veil</t>
  </si>
  <si>
    <t xml:space="preserve">Simone Viel </t>
  </si>
  <si>
    <t>Francois Mauriac</t>
  </si>
  <si>
    <t>Georges Pompidou</t>
  </si>
  <si>
    <t>L'Ardilliere De Nezant</t>
  </si>
  <si>
    <t>Jean Bullant</t>
  </si>
  <si>
    <t xml:space="preserve">Marcel Pagnol </t>
  </si>
  <si>
    <t>Pablo Picasso</t>
  </si>
  <si>
    <t>Anna De Noailles</t>
  </si>
  <si>
    <t>La Bruyere</t>
  </si>
  <si>
    <t xml:space="preserve">Henri Guillaumet </t>
  </si>
  <si>
    <t>Leonard De Vinci</t>
  </si>
  <si>
    <t xml:space="preserve">Louis Jouvet </t>
  </si>
  <si>
    <t xml:space="preserve">Charles Francois Daubigny </t>
  </si>
  <si>
    <t xml:space="preserve">Isabelle Autissier </t>
  </si>
  <si>
    <t>Louise Weiss</t>
  </si>
  <si>
    <t xml:space="preserve">Georges Brasssens, Suzanne Lenglen </t>
  </si>
  <si>
    <t xml:space="preserve">Philippe Auguste, Francois Truffaut </t>
  </si>
  <si>
    <t>Saint-Exupery, Saint-Exupery</t>
  </si>
  <si>
    <t xml:space="preserve">Maximilien De Robespierre, Pierre Curie, Michel de Montaigne  </t>
  </si>
  <si>
    <t xml:space="preserve">Evariste Galois, Anatole France, Jean-Jacques Rousseau, Chantereine, Victor Hugo </t>
  </si>
  <si>
    <t>Le Parc, Marcel Pagnol</t>
  </si>
  <si>
    <t>Les Toupets, La Bussie</t>
  </si>
  <si>
    <t xml:space="preserve">Les Touleuses, Les Touleuses, La Justice </t>
  </si>
  <si>
    <t xml:space="preserve">Bel Air, Epine Guyon, Jean-Francois Clervoy </t>
  </si>
  <si>
    <t xml:space="preserve">Jean Zay, Langevin-Wallon </t>
  </si>
  <si>
    <t>Claude Monet, Jean-Jacques Rousseau, Eugenie Cotton, Ariane</t>
  </si>
  <si>
    <t xml:space="preserve">Championnat Régional de vol en planneur </t>
  </si>
  <si>
    <t xml:space="preserve">Nombre de Section sportive collège </t>
  </si>
  <si>
    <t>4e edition de la Journée claude Cramete (Tour du vexin)</t>
  </si>
  <si>
    <t>X-Trail</t>
  </si>
  <si>
    <t xml:space="preserve">Challenges d'Ile-de-France de cyclisme sur route </t>
  </si>
  <si>
    <t xml:space="preserve">Championnnats de France de Natation </t>
  </si>
  <si>
    <t xml:space="preserve">X triathlon Event </t>
  </si>
  <si>
    <t>All Star Game Val d'Oise Internationnal 3X3</t>
  </si>
  <si>
    <t>Tournoi National masculin 27 au 29 juin 2025</t>
  </si>
  <si>
    <t xml:space="preserve">Cross des rameurs franciliens </t>
  </si>
  <si>
    <t xml:space="preserve">Finales NBA Math Hoops, Tournoi de sport/E-sport 95 Kings of Fields, Finale des Jeux du Val d'Oise, Tiby handball  </t>
  </si>
  <si>
    <t xml:space="preserve">Tournoi Michel Beauvais, Elite Val d'Oise Cup 2025-Tournoi International Handball </t>
  </si>
  <si>
    <t xml:space="preserve">Tournoi de basket-ball 3X3 exterieur </t>
  </si>
  <si>
    <t xml:space="preserve">Championnats de France des Clubs Elite d'Athlétisme </t>
  </si>
  <si>
    <t xml:space="preserve">Tournoi King of Ring Championnat du monde de Kick-Boxing </t>
  </si>
  <si>
    <t>Coupe d'Europe de Run Archery 2025</t>
  </si>
  <si>
    <t xml:space="preserve">Tournoi National des déesses, Championnats régionaux individuels 2ème serie 2025, Championnat de France des Clubs Ile-de-France et Centre, La course du Muguet, 24 Heure de VTT de Cergy </t>
  </si>
  <si>
    <t>La nuit des Combattants 2025</t>
  </si>
  <si>
    <t>Championnat de France jeunes de Tir à l'Arc, Cricket pour tous dans le Val d'Oise, Sarcelles Boxing Show 5</t>
  </si>
  <si>
    <t>Journée Handidécouverte, Challenge Legrand/Thierry/Goudouin</t>
  </si>
  <si>
    <t xml:space="preserve">Championnat d'Ile-de-France de Sambo combat </t>
  </si>
  <si>
    <t>Jeux régionaux de l'avenir handisport, 16èmes internationaux féminins de Gonnesse</t>
  </si>
  <si>
    <t xml:space="preserve">Championnat de France benjamins et cadets, rencontre internationnale de futsal féminin, Places aux Femmes </t>
  </si>
  <si>
    <t>Raid des collègiens 2025</t>
  </si>
  <si>
    <t xml:space="preserve">Trail du Château d'Ecouen </t>
  </si>
  <si>
    <t xml:space="preserve">Duathlon Avenir de Soisii=y-sous-Montmorency </t>
  </si>
  <si>
    <t xml:space="preserve">Nom des manifestations sportives </t>
  </si>
  <si>
    <t>1ère manche de la Coupe d'Ile-de-France de cyclo-cross ; Championnat de France FSGT de gymnastique rythmique</t>
  </si>
  <si>
    <t>la Nuit des combattants</t>
  </si>
  <si>
    <t xml:space="preserve">Total </t>
  </si>
  <si>
    <t>Omerville</t>
  </si>
  <si>
    <t>Omervielle</t>
  </si>
  <si>
    <t>Nointel</t>
  </si>
  <si>
    <t>Le Bellay-en-Vexin</t>
  </si>
  <si>
    <t xml:space="preserve">Nombre association sportive Civil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</si>
</sst>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CBED-C8C3-4B83-9F74-DC42AA7E4441}">
  <dimension ref="B1:Y186"/>
  <sheetViews>
    <sheetView tabSelected="1" topLeftCell="P1" zoomScale="160" zoomScaleNormal="160" workbookViewId="0">
      <selection activeCell="U4" sqref="U4"/>
    </sheetView>
  </sheetViews>
  <sheetFormatPr baseColWidth="10" defaultRowHeight="15" x14ac:dyDescent="0.25"/>
  <cols>
    <col min="2" max="2" width="28" style="20" customWidth="1"/>
    <col min="3" max="4" width="11.42578125" style="20"/>
    <col min="5" max="5" width="13.42578125" style="20" customWidth="1"/>
    <col min="6" max="6" width="12.42578125" style="21" customWidth="1"/>
    <col min="7" max="7" width="35.28515625" style="21" customWidth="1"/>
    <col min="10" max="10" width="23.140625" style="20" customWidth="1"/>
    <col min="13" max="13" width="12.42578125" customWidth="1"/>
    <col min="14" max="14" width="12.5703125" customWidth="1"/>
    <col min="15" max="15" width="28.42578125" customWidth="1"/>
    <col min="16" max="16" width="18.5703125" customWidth="1"/>
    <col min="18" max="18" width="23.28515625" style="13" customWidth="1"/>
    <col min="21" max="21" width="12.85546875" style="21" customWidth="1"/>
    <col min="22" max="22" width="12.5703125" style="21" customWidth="1"/>
    <col min="23" max="23" width="26" style="9" customWidth="1"/>
    <col min="24" max="24" width="20.85546875" style="21" customWidth="1"/>
    <col min="25" max="25" width="23.85546875" style="9" customWidth="1"/>
  </cols>
  <sheetData>
    <row r="1" spans="2:25" x14ac:dyDescent="0.25">
      <c r="C1" s="26">
        <v>2023</v>
      </c>
      <c r="D1" s="26"/>
      <c r="E1" s="26"/>
      <c r="F1" s="26"/>
      <c r="G1" s="26"/>
      <c r="K1" s="26">
        <v>2024</v>
      </c>
      <c r="L1" s="26"/>
      <c r="M1" s="26"/>
      <c r="N1" s="26"/>
      <c r="O1" s="26"/>
      <c r="S1" s="25">
        <v>2025</v>
      </c>
      <c r="T1" s="25"/>
      <c r="U1" s="25"/>
      <c r="V1" s="25"/>
      <c r="W1" s="25"/>
      <c r="X1" s="25"/>
      <c r="Y1" s="25"/>
    </row>
    <row r="2" spans="2:25" ht="60" x14ac:dyDescent="0.25">
      <c r="C2" s="3" t="s">
        <v>18</v>
      </c>
      <c r="D2" s="3" t="s">
        <v>312</v>
      </c>
      <c r="E2" s="3" t="s">
        <v>16</v>
      </c>
      <c r="F2" s="1" t="s">
        <v>198</v>
      </c>
      <c r="G2" s="22" t="s">
        <v>304</v>
      </c>
      <c r="K2" s="3" t="s">
        <v>18</v>
      </c>
      <c r="L2" s="3" t="s">
        <v>312</v>
      </c>
      <c r="M2" s="3" t="s">
        <v>16</v>
      </c>
      <c r="N2" s="1" t="s">
        <v>198</v>
      </c>
      <c r="O2" s="1" t="s">
        <v>304</v>
      </c>
      <c r="S2" s="3" t="s">
        <v>18</v>
      </c>
      <c r="T2" s="3" t="s">
        <v>312</v>
      </c>
      <c r="U2" s="3" t="s">
        <v>16</v>
      </c>
      <c r="V2" s="1" t="s">
        <v>198</v>
      </c>
      <c r="W2" s="1" t="s">
        <v>304</v>
      </c>
      <c r="X2" s="1" t="s">
        <v>279</v>
      </c>
      <c r="Y2" s="1" t="s">
        <v>249</v>
      </c>
    </row>
    <row r="3" spans="2:25" x14ac:dyDescent="0.25">
      <c r="B3" s="19" t="s">
        <v>21</v>
      </c>
      <c r="C3" s="22"/>
      <c r="D3" s="22"/>
      <c r="E3" s="22">
        <v>0</v>
      </c>
      <c r="F3" s="22"/>
      <c r="G3" s="22"/>
      <c r="J3" s="19" t="s">
        <v>21</v>
      </c>
      <c r="K3" s="16"/>
      <c r="L3" s="16"/>
      <c r="M3" s="16"/>
      <c r="N3" s="22"/>
      <c r="O3" s="18"/>
      <c r="R3" s="14" t="s">
        <v>21</v>
      </c>
      <c r="S3" s="2"/>
      <c r="T3" s="2"/>
      <c r="U3" s="22">
        <f>SUM(S3:T3)</f>
        <v>0</v>
      </c>
      <c r="V3" s="22"/>
      <c r="W3" s="5"/>
      <c r="X3" s="22"/>
      <c r="Y3" s="5"/>
    </row>
    <row r="4" spans="2:25" x14ac:dyDescent="0.25">
      <c r="B4" s="19" t="s">
        <v>22</v>
      </c>
      <c r="C4" s="22"/>
      <c r="D4" s="22">
        <v>2</v>
      </c>
      <c r="E4" s="22">
        <f>SUM(C4:D4)</f>
        <v>2</v>
      </c>
      <c r="F4" s="22"/>
      <c r="G4" s="22"/>
      <c r="J4" s="19" t="s">
        <v>22</v>
      </c>
      <c r="K4" s="16"/>
      <c r="L4" s="16">
        <v>2</v>
      </c>
      <c r="M4" s="16">
        <f>SUM(K4:L4)</f>
        <v>2</v>
      </c>
      <c r="N4" s="22"/>
      <c r="O4" s="18"/>
      <c r="R4" s="14" t="s">
        <v>22</v>
      </c>
      <c r="S4" s="2"/>
      <c r="T4" s="2"/>
      <c r="U4" s="22">
        <f>SUM(S4:T4)</f>
        <v>0</v>
      </c>
      <c r="V4" s="22"/>
      <c r="W4" s="5"/>
      <c r="X4" s="22"/>
      <c r="Y4" s="5"/>
    </row>
    <row r="5" spans="2:25" x14ac:dyDescent="0.25">
      <c r="B5" s="19" t="s">
        <v>23</v>
      </c>
      <c r="C5" s="22"/>
      <c r="D5" s="22"/>
      <c r="E5" s="22">
        <f t="shared" ref="E5:E68" si="0">SUM(C5:D5)</f>
        <v>0</v>
      </c>
      <c r="F5" s="22"/>
      <c r="G5" s="22"/>
      <c r="J5" s="19" t="s">
        <v>23</v>
      </c>
      <c r="K5" s="16"/>
      <c r="L5" s="16"/>
      <c r="M5" s="16">
        <f>SUM(K5:L5)</f>
        <v>0</v>
      </c>
      <c r="N5" s="22"/>
      <c r="O5" s="18"/>
      <c r="R5" s="14" t="s">
        <v>23</v>
      </c>
      <c r="S5" s="2"/>
      <c r="T5" s="2"/>
      <c r="U5" s="22">
        <f>SUM(S5:T5)</f>
        <v>0</v>
      </c>
      <c r="V5" s="22"/>
      <c r="W5" s="5"/>
      <c r="X5" s="22"/>
      <c r="Y5" s="5"/>
    </row>
    <row r="6" spans="2:25" x14ac:dyDescent="0.25">
      <c r="B6" s="19" t="s">
        <v>24</v>
      </c>
      <c r="C6" s="22"/>
      <c r="D6" s="22">
        <v>1</v>
      </c>
      <c r="E6" s="22">
        <f t="shared" si="0"/>
        <v>1</v>
      </c>
      <c r="F6" s="22"/>
      <c r="G6" s="22"/>
      <c r="J6" s="19" t="s">
        <v>24</v>
      </c>
      <c r="K6" s="16"/>
      <c r="L6" s="16">
        <v>1</v>
      </c>
      <c r="M6" s="16">
        <f t="shared" ref="M6:M68" si="1">SUM(K6:L6)</f>
        <v>1</v>
      </c>
      <c r="N6" s="22"/>
      <c r="O6" s="18"/>
      <c r="R6" s="14" t="s">
        <v>24</v>
      </c>
      <c r="S6" s="2"/>
      <c r="T6" s="2"/>
      <c r="U6" s="22">
        <f t="shared" ref="U6:U69" si="2">SUM(S6:T6)</f>
        <v>0</v>
      </c>
      <c r="V6" s="22"/>
      <c r="W6" s="5"/>
      <c r="X6" s="22"/>
      <c r="Y6" s="5"/>
    </row>
    <row r="7" spans="2:25" x14ac:dyDescent="0.25">
      <c r="B7" s="19" t="s">
        <v>309</v>
      </c>
      <c r="C7" s="22"/>
      <c r="D7" s="22"/>
      <c r="E7" s="22">
        <f t="shared" si="0"/>
        <v>0</v>
      </c>
      <c r="F7" s="22"/>
      <c r="G7" s="22"/>
      <c r="J7" s="19" t="s">
        <v>308</v>
      </c>
      <c r="K7" s="16"/>
      <c r="L7" s="16"/>
      <c r="M7" s="16">
        <f t="shared" si="1"/>
        <v>0</v>
      </c>
      <c r="N7" s="22"/>
      <c r="O7" s="18"/>
      <c r="R7" s="14" t="s">
        <v>309</v>
      </c>
      <c r="S7" s="2"/>
      <c r="T7" s="2"/>
      <c r="U7" s="22">
        <f t="shared" si="2"/>
        <v>0</v>
      </c>
      <c r="V7" s="22"/>
      <c r="W7" s="5"/>
      <c r="X7" s="22"/>
      <c r="Y7" s="5"/>
    </row>
    <row r="8" spans="2:25" x14ac:dyDescent="0.25">
      <c r="B8" s="19" t="s">
        <v>25</v>
      </c>
      <c r="C8" s="22"/>
      <c r="D8" s="22"/>
      <c r="E8" s="22">
        <f t="shared" si="0"/>
        <v>0</v>
      </c>
      <c r="F8" s="22"/>
      <c r="G8" s="22"/>
      <c r="J8" s="19" t="s">
        <v>25</v>
      </c>
      <c r="K8" s="16"/>
      <c r="L8" s="16"/>
      <c r="M8" s="16">
        <f t="shared" si="1"/>
        <v>0</v>
      </c>
      <c r="N8" s="22"/>
      <c r="O8" s="18"/>
      <c r="R8" s="14" t="s">
        <v>25</v>
      </c>
      <c r="S8" s="2"/>
      <c r="T8" s="2"/>
      <c r="U8" s="22">
        <f t="shared" si="2"/>
        <v>0</v>
      </c>
      <c r="V8" s="22"/>
      <c r="W8" s="5"/>
      <c r="X8" s="22"/>
      <c r="Y8" s="5"/>
    </row>
    <row r="9" spans="2:25" x14ac:dyDescent="0.25">
      <c r="B9" s="19" t="s">
        <v>26</v>
      </c>
      <c r="C9" s="22"/>
      <c r="D9" s="22">
        <v>1</v>
      </c>
      <c r="E9" s="22">
        <f t="shared" si="0"/>
        <v>1</v>
      </c>
      <c r="F9" s="22"/>
      <c r="G9" s="22"/>
      <c r="J9" s="19" t="s">
        <v>26</v>
      </c>
      <c r="K9" s="16"/>
      <c r="L9" s="16"/>
      <c r="M9" s="16">
        <f t="shared" si="1"/>
        <v>0</v>
      </c>
      <c r="N9" s="22"/>
      <c r="O9" s="18"/>
      <c r="R9" s="14" t="s">
        <v>26</v>
      </c>
      <c r="S9" s="2"/>
      <c r="T9" s="2"/>
      <c r="U9" s="22">
        <f t="shared" si="2"/>
        <v>0</v>
      </c>
      <c r="V9" s="22"/>
      <c r="W9" s="5"/>
      <c r="X9" s="22"/>
      <c r="Y9" s="5"/>
    </row>
    <row r="10" spans="2:25" x14ac:dyDescent="0.25">
      <c r="B10" s="19" t="s">
        <v>27</v>
      </c>
      <c r="C10" s="22"/>
      <c r="D10" s="22"/>
      <c r="E10" s="22">
        <f t="shared" si="0"/>
        <v>0</v>
      </c>
      <c r="F10" s="22"/>
      <c r="G10" s="22"/>
      <c r="J10" s="19" t="s">
        <v>27</v>
      </c>
      <c r="K10" s="16"/>
      <c r="L10" s="16"/>
      <c r="M10" s="16">
        <f t="shared" si="1"/>
        <v>0</v>
      </c>
      <c r="N10" s="22"/>
      <c r="O10" s="18"/>
      <c r="R10" s="14" t="s">
        <v>27</v>
      </c>
      <c r="S10" s="2"/>
      <c r="T10" s="2"/>
      <c r="U10" s="22">
        <f t="shared" si="2"/>
        <v>0</v>
      </c>
      <c r="V10" s="22"/>
      <c r="W10" s="5"/>
      <c r="X10" s="22"/>
      <c r="Y10" s="5"/>
    </row>
    <row r="11" spans="2:25" x14ac:dyDescent="0.25">
      <c r="B11" s="19" t="s">
        <v>28</v>
      </c>
      <c r="C11" s="22"/>
      <c r="D11" s="22"/>
      <c r="E11" s="22">
        <f t="shared" si="0"/>
        <v>0</v>
      </c>
      <c r="F11" s="22"/>
      <c r="G11" s="22"/>
      <c r="J11" s="19" t="s">
        <v>28</v>
      </c>
      <c r="K11" s="16"/>
      <c r="L11" s="16"/>
      <c r="M11" s="16">
        <f t="shared" si="1"/>
        <v>0</v>
      </c>
      <c r="N11" s="22"/>
      <c r="O11" s="18"/>
      <c r="R11" s="14" t="s">
        <v>28</v>
      </c>
      <c r="S11" s="2"/>
      <c r="T11" s="2"/>
      <c r="U11" s="22">
        <f t="shared" si="2"/>
        <v>0</v>
      </c>
      <c r="V11" s="22"/>
      <c r="W11" s="5"/>
      <c r="X11" s="22"/>
      <c r="Y11" s="5"/>
    </row>
    <row r="12" spans="2:25" x14ac:dyDescent="0.25">
      <c r="B12" s="19" t="s">
        <v>29</v>
      </c>
      <c r="C12" s="22"/>
      <c r="D12" s="22"/>
      <c r="E12" s="22">
        <f t="shared" si="0"/>
        <v>0</v>
      </c>
      <c r="F12" s="22"/>
      <c r="G12" s="22"/>
      <c r="J12" s="19" t="s">
        <v>29</v>
      </c>
      <c r="K12" s="16"/>
      <c r="L12" s="16"/>
      <c r="M12" s="16">
        <f t="shared" si="1"/>
        <v>0</v>
      </c>
      <c r="N12" s="22"/>
      <c r="O12" s="18"/>
      <c r="R12" s="14" t="s">
        <v>29</v>
      </c>
      <c r="S12" s="2"/>
      <c r="T12" s="2"/>
      <c r="U12" s="22">
        <f t="shared" si="2"/>
        <v>0</v>
      </c>
      <c r="V12" s="22"/>
      <c r="W12" s="5"/>
      <c r="X12" s="22"/>
      <c r="Y12" s="5"/>
    </row>
    <row r="13" spans="2:25" x14ac:dyDescent="0.25">
      <c r="B13" s="19" t="s">
        <v>30</v>
      </c>
      <c r="C13" s="22"/>
      <c r="D13" s="22"/>
      <c r="E13" s="22">
        <f t="shared" si="0"/>
        <v>0</v>
      </c>
      <c r="F13" s="22"/>
      <c r="G13" s="22"/>
      <c r="J13" s="19" t="s">
        <v>30</v>
      </c>
      <c r="K13" s="16"/>
      <c r="L13" s="16"/>
      <c r="M13" s="16">
        <f t="shared" si="1"/>
        <v>0</v>
      </c>
      <c r="N13" s="22"/>
      <c r="O13" s="18"/>
      <c r="R13" s="14" t="s">
        <v>30</v>
      </c>
      <c r="S13" s="2"/>
      <c r="T13" s="2"/>
      <c r="U13" s="22">
        <f t="shared" si="2"/>
        <v>0</v>
      </c>
      <c r="V13" s="22"/>
      <c r="W13" s="5"/>
      <c r="X13" s="22"/>
      <c r="Y13" s="5"/>
    </row>
    <row r="14" spans="2:25" ht="30" x14ac:dyDescent="0.25">
      <c r="B14" s="19" t="s">
        <v>31</v>
      </c>
      <c r="C14" s="22"/>
      <c r="D14" s="22">
        <v>1</v>
      </c>
      <c r="E14" s="22">
        <f t="shared" si="0"/>
        <v>1</v>
      </c>
      <c r="F14" s="22">
        <v>1</v>
      </c>
      <c r="G14" s="27" t="s">
        <v>221</v>
      </c>
      <c r="J14" s="19" t="s">
        <v>31</v>
      </c>
      <c r="K14" s="16"/>
      <c r="L14" s="16">
        <v>1</v>
      </c>
      <c r="M14" s="16">
        <f t="shared" si="1"/>
        <v>1</v>
      </c>
      <c r="N14" s="22"/>
      <c r="O14" s="18"/>
      <c r="R14" s="14" t="s">
        <v>31</v>
      </c>
      <c r="S14" s="2"/>
      <c r="T14" s="2"/>
      <c r="U14" s="22">
        <f t="shared" si="2"/>
        <v>0</v>
      </c>
      <c r="V14" s="22">
        <v>1</v>
      </c>
      <c r="W14" s="5" t="s">
        <v>278</v>
      </c>
      <c r="X14" s="22"/>
      <c r="Y14" s="5"/>
    </row>
    <row r="15" spans="2:25" x14ac:dyDescent="0.25">
      <c r="B15" s="19" t="s">
        <v>32</v>
      </c>
      <c r="C15" s="22"/>
      <c r="D15" s="22"/>
      <c r="E15" s="22">
        <f t="shared" si="0"/>
        <v>0</v>
      </c>
      <c r="F15" s="22"/>
      <c r="G15" s="22"/>
      <c r="J15" s="19" t="s">
        <v>32</v>
      </c>
      <c r="K15" s="16"/>
      <c r="L15" s="16">
        <v>1</v>
      </c>
      <c r="M15" s="16">
        <f t="shared" si="1"/>
        <v>1</v>
      </c>
      <c r="N15" s="22"/>
      <c r="O15" s="18"/>
      <c r="R15" s="14" t="s">
        <v>32</v>
      </c>
      <c r="S15" s="2"/>
      <c r="T15" s="2"/>
      <c r="U15" s="22">
        <f t="shared" si="2"/>
        <v>0</v>
      </c>
      <c r="V15" s="22"/>
      <c r="W15" s="5"/>
      <c r="X15" s="22"/>
      <c r="Y15" s="5"/>
    </row>
    <row r="16" spans="2:25" x14ac:dyDescent="0.25">
      <c r="B16" s="19" t="s">
        <v>33</v>
      </c>
      <c r="C16" s="22"/>
      <c r="D16" s="22">
        <v>2</v>
      </c>
      <c r="E16" s="22">
        <f t="shared" si="0"/>
        <v>2</v>
      </c>
      <c r="F16" s="22"/>
      <c r="G16" s="22"/>
      <c r="J16" s="19" t="s">
        <v>33</v>
      </c>
      <c r="K16" s="16">
        <v>2</v>
      </c>
      <c r="L16" s="16">
        <v>2</v>
      </c>
      <c r="M16" s="16">
        <f t="shared" si="1"/>
        <v>4</v>
      </c>
      <c r="N16" s="22"/>
      <c r="O16" s="18"/>
      <c r="R16" s="14" t="s">
        <v>33</v>
      </c>
      <c r="S16" s="2"/>
      <c r="T16" s="2"/>
      <c r="U16" s="22">
        <f t="shared" si="2"/>
        <v>0</v>
      </c>
      <c r="V16" s="22"/>
      <c r="W16" s="5"/>
      <c r="X16" s="22"/>
      <c r="Y16" s="5"/>
    </row>
    <row r="17" spans="2:25" x14ac:dyDescent="0.25">
      <c r="B17" s="19" t="s">
        <v>34</v>
      </c>
      <c r="C17" s="22"/>
      <c r="D17" s="22"/>
      <c r="E17" s="22">
        <f t="shared" si="0"/>
        <v>0</v>
      </c>
      <c r="F17" s="22"/>
      <c r="G17" s="22"/>
      <c r="J17" s="19" t="s">
        <v>34</v>
      </c>
      <c r="K17" s="16">
        <v>1</v>
      </c>
      <c r="L17" s="16">
        <v>1</v>
      </c>
      <c r="M17" s="16">
        <f t="shared" si="1"/>
        <v>2</v>
      </c>
      <c r="N17" s="22"/>
      <c r="O17" s="18"/>
      <c r="R17" s="14" t="s">
        <v>34</v>
      </c>
      <c r="S17" s="2"/>
      <c r="T17" s="2"/>
      <c r="U17" s="22">
        <f t="shared" si="2"/>
        <v>0</v>
      </c>
      <c r="V17" s="22"/>
      <c r="W17" s="5"/>
      <c r="X17" s="22"/>
      <c r="Y17" s="5"/>
    </row>
    <row r="18" spans="2:25" x14ac:dyDescent="0.25">
      <c r="B18" s="19" t="s">
        <v>35</v>
      </c>
      <c r="C18" s="22"/>
      <c r="D18" s="22"/>
      <c r="E18" s="22">
        <f t="shared" si="0"/>
        <v>0</v>
      </c>
      <c r="F18" s="22"/>
      <c r="G18" s="22"/>
      <c r="J18" s="19" t="s">
        <v>35</v>
      </c>
      <c r="K18" s="16"/>
      <c r="L18" s="16"/>
      <c r="M18" s="16">
        <f t="shared" si="1"/>
        <v>0</v>
      </c>
      <c r="N18" s="22"/>
      <c r="O18" s="18"/>
      <c r="R18" s="14" t="s">
        <v>35</v>
      </c>
      <c r="S18" s="2"/>
      <c r="T18" s="2"/>
      <c r="U18" s="22">
        <f t="shared" si="2"/>
        <v>0</v>
      </c>
      <c r="V18" s="22"/>
      <c r="W18" s="5"/>
      <c r="X18" s="22"/>
      <c r="Y18" s="5"/>
    </row>
    <row r="19" spans="2:25" x14ac:dyDescent="0.25">
      <c r="B19" s="19" t="s">
        <v>36</v>
      </c>
      <c r="C19" s="22"/>
      <c r="D19" s="22"/>
      <c r="E19" s="22">
        <f t="shared" si="0"/>
        <v>0</v>
      </c>
      <c r="F19" s="22"/>
      <c r="G19" s="22"/>
      <c r="J19" s="19" t="s">
        <v>36</v>
      </c>
      <c r="K19" s="16"/>
      <c r="L19" s="16"/>
      <c r="M19" s="16">
        <f t="shared" si="1"/>
        <v>0</v>
      </c>
      <c r="N19" s="22"/>
      <c r="O19" s="18"/>
      <c r="R19" s="14" t="s">
        <v>36</v>
      </c>
      <c r="S19" s="2"/>
      <c r="T19" s="2"/>
      <c r="U19" s="22">
        <f t="shared" si="2"/>
        <v>0</v>
      </c>
      <c r="V19" s="22"/>
      <c r="W19" s="5"/>
      <c r="X19" s="22"/>
      <c r="Y19" s="5"/>
    </row>
    <row r="20" spans="2:25" x14ac:dyDescent="0.25">
      <c r="B20" s="19" t="s">
        <v>37</v>
      </c>
      <c r="C20" s="22"/>
      <c r="D20" s="22"/>
      <c r="E20" s="22">
        <f t="shared" si="0"/>
        <v>0</v>
      </c>
      <c r="F20" s="22"/>
      <c r="G20" s="22"/>
      <c r="J20" s="19" t="s">
        <v>37</v>
      </c>
      <c r="K20" s="16"/>
      <c r="L20" s="16"/>
      <c r="M20" s="16">
        <f t="shared" si="1"/>
        <v>0</v>
      </c>
      <c r="N20" s="22"/>
      <c r="O20" s="18"/>
      <c r="R20" s="14" t="s">
        <v>37</v>
      </c>
      <c r="S20" s="2"/>
      <c r="T20" s="2"/>
      <c r="U20" s="22">
        <f t="shared" si="2"/>
        <v>0</v>
      </c>
      <c r="V20" s="22"/>
      <c r="W20" s="5"/>
      <c r="X20" s="22"/>
      <c r="Y20" s="5"/>
    </row>
    <row r="21" spans="2:25" x14ac:dyDescent="0.25">
      <c r="B21" s="19" t="s">
        <v>38</v>
      </c>
      <c r="C21" s="22">
        <v>1</v>
      </c>
      <c r="D21" s="22">
        <v>1</v>
      </c>
      <c r="E21" s="22">
        <f t="shared" si="0"/>
        <v>2</v>
      </c>
      <c r="F21" s="22"/>
      <c r="G21" s="22"/>
      <c r="J21" s="19" t="s">
        <v>38</v>
      </c>
      <c r="K21" s="16"/>
      <c r="L21" s="16"/>
      <c r="M21" s="16">
        <f t="shared" si="1"/>
        <v>0</v>
      </c>
      <c r="N21" s="22"/>
      <c r="O21" s="18"/>
      <c r="R21" s="14" t="s">
        <v>38</v>
      </c>
      <c r="S21" s="2"/>
      <c r="T21" s="2"/>
      <c r="U21" s="22">
        <f t="shared" si="2"/>
        <v>0</v>
      </c>
      <c r="V21" s="22"/>
      <c r="W21" s="5"/>
      <c r="X21" s="22"/>
      <c r="Y21" s="5"/>
    </row>
    <row r="22" spans="2:25" x14ac:dyDescent="0.25">
      <c r="B22" s="19" t="s">
        <v>39</v>
      </c>
      <c r="C22" s="22"/>
      <c r="D22" s="22"/>
      <c r="E22" s="22">
        <f t="shared" si="0"/>
        <v>0</v>
      </c>
      <c r="F22" s="22"/>
      <c r="G22" s="22"/>
      <c r="J22" s="19" t="s">
        <v>39</v>
      </c>
      <c r="K22" s="16"/>
      <c r="L22" s="16"/>
      <c r="M22" s="16">
        <f t="shared" si="1"/>
        <v>0</v>
      </c>
      <c r="N22" s="22"/>
      <c r="O22" s="18"/>
      <c r="R22" s="14" t="s">
        <v>39</v>
      </c>
      <c r="S22" s="2"/>
      <c r="T22" s="2"/>
      <c r="U22" s="22">
        <f t="shared" si="2"/>
        <v>0</v>
      </c>
      <c r="V22" s="22"/>
      <c r="W22" s="5"/>
      <c r="X22" s="22"/>
      <c r="Y22" s="5"/>
    </row>
    <row r="23" spans="2:25" x14ac:dyDescent="0.25">
      <c r="B23" s="19" t="s">
        <v>40</v>
      </c>
      <c r="C23" s="22"/>
      <c r="D23" s="22"/>
      <c r="E23" s="22">
        <f t="shared" si="0"/>
        <v>0</v>
      </c>
      <c r="F23" s="22"/>
      <c r="G23" s="22"/>
      <c r="J23" s="19" t="s">
        <v>40</v>
      </c>
      <c r="K23" s="16"/>
      <c r="L23" s="16"/>
      <c r="M23" s="16">
        <f t="shared" si="1"/>
        <v>0</v>
      </c>
      <c r="N23" s="22"/>
      <c r="O23" s="18"/>
      <c r="R23" s="14" t="s">
        <v>40</v>
      </c>
      <c r="S23" s="2"/>
      <c r="T23" s="2"/>
      <c r="U23" s="22">
        <f t="shared" si="2"/>
        <v>0</v>
      </c>
      <c r="V23" s="22"/>
      <c r="W23" s="5"/>
      <c r="X23" s="22"/>
      <c r="Y23" s="5"/>
    </row>
    <row r="24" spans="2:25" x14ac:dyDescent="0.25">
      <c r="B24" s="19" t="s">
        <v>41</v>
      </c>
      <c r="C24" s="22"/>
      <c r="D24" s="22"/>
      <c r="E24" s="22">
        <f t="shared" si="0"/>
        <v>0</v>
      </c>
      <c r="F24" s="22"/>
      <c r="G24" s="22"/>
      <c r="J24" s="19" t="s">
        <v>41</v>
      </c>
      <c r="K24" s="16"/>
      <c r="L24" s="16"/>
      <c r="M24" s="16">
        <f t="shared" si="1"/>
        <v>0</v>
      </c>
      <c r="N24" s="22"/>
      <c r="O24" s="18"/>
      <c r="R24" s="14" t="s">
        <v>41</v>
      </c>
      <c r="S24" s="2"/>
      <c r="T24" s="2"/>
      <c r="U24" s="22">
        <f t="shared" si="2"/>
        <v>0</v>
      </c>
      <c r="V24" s="22"/>
      <c r="W24" s="5"/>
      <c r="X24" s="22"/>
      <c r="Y24" s="5"/>
    </row>
    <row r="25" spans="2:25" x14ac:dyDescent="0.25">
      <c r="B25" s="19" t="s">
        <v>42</v>
      </c>
      <c r="C25" s="22"/>
      <c r="D25" s="22"/>
      <c r="E25" s="22">
        <f t="shared" si="0"/>
        <v>0</v>
      </c>
      <c r="F25" s="22"/>
      <c r="G25" s="22"/>
      <c r="J25" s="19" t="s">
        <v>42</v>
      </c>
      <c r="K25" s="16"/>
      <c r="L25" s="16"/>
      <c r="M25" s="16">
        <f t="shared" si="1"/>
        <v>0</v>
      </c>
      <c r="N25" s="22"/>
      <c r="O25" s="18"/>
      <c r="R25" s="14" t="s">
        <v>42</v>
      </c>
      <c r="S25" s="2"/>
      <c r="T25" s="2"/>
      <c r="U25" s="22">
        <f t="shared" si="2"/>
        <v>0</v>
      </c>
      <c r="V25" s="22"/>
      <c r="W25" s="5"/>
      <c r="X25" s="22"/>
      <c r="Y25" s="5"/>
    </row>
    <row r="26" spans="2:25" x14ac:dyDescent="0.25">
      <c r="B26" s="19" t="s">
        <v>43</v>
      </c>
      <c r="C26" s="22"/>
      <c r="D26" s="22"/>
      <c r="E26" s="22">
        <f t="shared" si="0"/>
        <v>0</v>
      </c>
      <c r="F26" s="22"/>
      <c r="G26" s="22"/>
      <c r="J26" s="19" t="s">
        <v>43</v>
      </c>
      <c r="K26" s="16"/>
      <c r="L26" s="16"/>
      <c r="M26" s="16">
        <f t="shared" si="1"/>
        <v>0</v>
      </c>
      <c r="N26" s="22"/>
      <c r="O26" s="18"/>
      <c r="R26" s="14" t="s">
        <v>43</v>
      </c>
      <c r="S26" s="2"/>
      <c r="T26" s="2"/>
      <c r="U26" s="22">
        <f t="shared" si="2"/>
        <v>0</v>
      </c>
      <c r="V26" s="22"/>
      <c r="W26" s="5"/>
      <c r="X26" s="22"/>
      <c r="Y26" s="5"/>
    </row>
    <row r="27" spans="2:25" x14ac:dyDescent="0.25">
      <c r="B27" s="19" t="s">
        <v>44</v>
      </c>
      <c r="C27" s="22"/>
      <c r="D27" s="22">
        <v>1</v>
      </c>
      <c r="E27" s="22">
        <f t="shared" si="0"/>
        <v>1</v>
      </c>
      <c r="F27" s="22"/>
      <c r="G27" s="22"/>
      <c r="J27" s="19" t="s">
        <v>44</v>
      </c>
      <c r="K27" s="16"/>
      <c r="L27" s="16">
        <v>1</v>
      </c>
      <c r="M27" s="16">
        <f t="shared" si="1"/>
        <v>1</v>
      </c>
      <c r="N27" s="22"/>
      <c r="O27" s="18"/>
      <c r="R27" s="14" t="s">
        <v>44</v>
      </c>
      <c r="S27" s="2"/>
      <c r="T27" s="2"/>
      <c r="U27" s="22">
        <f t="shared" si="2"/>
        <v>0</v>
      </c>
      <c r="V27" s="22"/>
      <c r="W27" s="5"/>
      <c r="X27" s="22"/>
      <c r="Y27" s="5"/>
    </row>
    <row r="28" spans="2:25" x14ac:dyDescent="0.25">
      <c r="B28" s="19" t="s">
        <v>45</v>
      </c>
      <c r="C28" s="22"/>
      <c r="D28" s="22">
        <v>2</v>
      </c>
      <c r="E28" s="22">
        <f t="shared" si="0"/>
        <v>2</v>
      </c>
      <c r="F28" s="22"/>
      <c r="G28" s="22"/>
      <c r="J28" s="19" t="s">
        <v>45</v>
      </c>
      <c r="K28" s="16">
        <v>2</v>
      </c>
      <c r="L28" s="16">
        <v>2</v>
      </c>
      <c r="M28" s="16">
        <f t="shared" si="1"/>
        <v>4</v>
      </c>
      <c r="N28" s="22"/>
      <c r="O28" s="18"/>
      <c r="R28" s="14" t="s">
        <v>45</v>
      </c>
      <c r="S28" s="2"/>
      <c r="T28" s="2"/>
      <c r="U28" s="22">
        <f t="shared" si="2"/>
        <v>0</v>
      </c>
      <c r="V28" s="22"/>
      <c r="W28" s="5"/>
      <c r="X28" s="22"/>
      <c r="Y28" s="5"/>
    </row>
    <row r="29" spans="2:25" x14ac:dyDescent="0.25">
      <c r="B29" s="19" t="s">
        <v>46</v>
      </c>
      <c r="C29" s="22"/>
      <c r="D29" s="22">
        <v>1</v>
      </c>
      <c r="E29" s="22">
        <f t="shared" si="0"/>
        <v>1</v>
      </c>
      <c r="F29" s="22"/>
      <c r="G29" s="22"/>
      <c r="J29" s="19" t="s">
        <v>46</v>
      </c>
      <c r="K29" s="16"/>
      <c r="L29" s="16"/>
      <c r="M29" s="16">
        <f t="shared" si="1"/>
        <v>0</v>
      </c>
      <c r="N29" s="22"/>
      <c r="O29" s="18"/>
      <c r="R29" s="14" t="s">
        <v>46</v>
      </c>
      <c r="S29" s="2"/>
      <c r="T29" s="2"/>
      <c r="U29" s="22">
        <f t="shared" si="2"/>
        <v>0</v>
      </c>
      <c r="V29" s="22"/>
      <c r="W29" s="5"/>
      <c r="X29" s="22"/>
      <c r="Y29" s="5"/>
    </row>
    <row r="30" spans="2:25" ht="30" x14ac:dyDescent="0.25">
      <c r="B30" s="19" t="s">
        <v>47</v>
      </c>
      <c r="C30" s="22">
        <v>5</v>
      </c>
      <c r="D30" s="22">
        <v>12</v>
      </c>
      <c r="E30" s="22">
        <f t="shared" si="0"/>
        <v>17</v>
      </c>
      <c r="F30" s="22">
        <v>1</v>
      </c>
      <c r="G30" s="27" t="s">
        <v>306</v>
      </c>
      <c r="J30" s="19" t="s">
        <v>47</v>
      </c>
      <c r="K30" s="16">
        <v>5</v>
      </c>
      <c r="L30" s="16">
        <v>11</v>
      </c>
      <c r="M30" s="16">
        <f t="shared" si="1"/>
        <v>16</v>
      </c>
      <c r="N30" s="22">
        <v>1</v>
      </c>
      <c r="O30" s="17" t="s">
        <v>222</v>
      </c>
      <c r="R30" s="14" t="s">
        <v>47</v>
      </c>
      <c r="S30" s="2"/>
      <c r="T30" s="2"/>
      <c r="U30" s="22">
        <f t="shared" si="2"/>
        <v>0</v>
      </c>
      <c r="V30" s="22">
        <v>1</v>
      </c>
      <c r="W30" s="5" t="s">
        <v>295</v>
      </c>
      <c r="X30" s="22">
        <v>2</v>
      </c>
      <c r="Y30" s="5" t="s">
        <v>267</v>
      </c>
    </row>
    <row r="31" spans="2:25" x14ac:dyDescent="0.25">
      <c r="B31" s="19" t="s">
        <v>48</v>
      </c>
      <c r="C31" s="22"/>
      <c r="D31" s="22"/>
      <c r="E31" s="22">
        <f t="shared" si="0"/>
        <v>0</v>
      </c>
      <c r="F31" s="22"/>
      <c r="G31" s="22"/>
      <c r="J31" s="19" t="s">
        <v>48</v>
      </c>
      <c r="K31" s="16"/>
      <c r="L31" s="16"/>
      <c r="M31" s="16">
        <f t="shared" si="1"/>
        <v>0</v>
      </c>
      <c r="N31" s="22"/>
      <c r="O31" s="18"/>
      <c r="R31" s="14" t="s">
        <v>48</v>
      </c>
      <c r="S31" s="2"/>
      <c r="T31" s="2"/>
      <c r="U31" s="22">
        <f t="shared" si="2"/>
        <v>0</v>
      </c>
      <c r="V31" s="22"/>
      <c r="W31" s="5"/>
      <c r="X31" s="22"/>
      <c r="Y31" s="5"/>
    </row>
    <row r="32" spans="2:25" x14ac:dyDescent="0.25">
      <c r="B32" s="19" t="s">
        <v>49</v>
      </c>
      <c r="C32" s="22"/>
      <c r="D32" s="22"/>
      <c r="E32" s="22">
        <f t="shared" si="0"/>
        <v>0</v>
      </c>
      <c r="F32" s="22"/>
      <c r="G32" s="22"/>
      <c r="J32" s="19" t="s">
        <v>49</v>
      </c>
      <c r="K32" s="16"/>
      <c r="L32" s="16"/>
      <c r="M32" s="16">
        <f t="shared" si="1"/>
        <v>0</v>
      </c>
      <c r="N32" s="23"/>
      <c r="O32" s="18"/>
      <c r="R32" s="14" t="s">
        <v>49</v>
      </c>
      <c r="S32" s="2"/>
      <c r="T32" s="2"/>
      <c r="U32" s="22">
        <f t="shared" si="2"/>
        <v>0</v>
      </c>
      <c r="V32" s="23"/>
      <c r="W32" s="24"/>
      <c r="X32" s="23"/>
      <c r="Y32" s="5"/>
    </row>
    <row r="33" spans="2:25" x14ac:dyDescent="0.25">
      <c r="B33" s="19" t="s">
        <v>50</v>
      </c>
      <c r="C33" s="22"/>
      <c r="D33" s="22">
        <v>2</v>
      </c>
      <c r="E33" s="22">
        <f t="shared" si="0"/>
        <v>2</v>
      </c>
      <c r="F33" s="22"/>
      <c r="G33" s="22"/>
      <c r="J33" s="19" t="s">
        <v>50</v>
      </c>
      <c r="K33" s="16"/>
      <c r="L33" s="16">
        <v>2</v>
      </c>
      <c r="M33" s="16">
        <f t="shared" si="1"/>
        <v>2</v>
      </c>
      <c r="N33" s="22"/>
      <c r="O33" s="18"/>
      <c r="R33" s="14" t="s">
        <v>50</v>
      </c>
      <c r="S33" s="2"/>
      <c r="T33" s="2"/>
      <c r="U33" s="22">
        <f t="shared" si="2"/>
        <v>0</v>
      </c>
      <c r="V33" s="22"/>
      <c r="W33" s="5"/>
      <c r="X33" s="22"/>
      <c r="Y33" s="5"/>
    </row>
    <row r="34" spans="2:25" x14ac:dyDescent="0.25">
      <c r="B34" s="19" t="s">
        <v>310</v>
      </c>
      <c r="C34" s="22"/>
      <c r="D34" s="22"/>
      <c r="E34" s="22">
        <f t="shared" si="0"/>
        <v>0</v>
      </c>
      <c r="F34" s="22"/>
      <c r="G34" s="22"/>
      <c r="J34" s="19" t="s">
        <v>310</v>
      </c>
      <c r="K34" s="16"/>
      <c r="L34" s="16"/>
      <c r="M34" s="16">
        <f t="shared" si="1"/>
        <v>0</v>
      </c>
      <c r="N34" s="22"/>
      <c r="O34" s="18"/>
      <c r="R34" s="14" t="s">
        <v>310</v>
      </c>
      <c r="S34" s="2"/>
      <c r="T34" s="2"/>
      <c r="U34" s="22">
        <f t="shared" si="2"/>
        <v>0</v>
      </c>
      <c r="V34" s="22"/>
      <c r="W34" s="5"/>
      <c r="X34" s="22"/>
      <c r="Y34" s="5"/>
    </row>
    <row r="35" spans="2:25" x14ac:dyDescent="0.25">
      <c r="B35" s="19" t="s">
        <v>51</v>
      </c>
      <c r="C35" s="22">
        <v>2</v>
      </c>
      <c r="D35" s="23">
        <v>10</v>
      </c>
      <c r="E35" s="22">
        <f t="shared" si="0"/>
        <v>12</v>
      </c>
      <c r="F35" s="22"/>
      <c r="G35" s="22"/>
      <c r="J35" s="19" t="s">
        <v>51</v>
      </c>
      <c r="K35" s="16">
        <v>2</v>
      </c>
      <c r="L35" s="29">
        <v>10</v>
      </c>
      <c r="M35" s="16">
        <f t="shared" si="1"/>
        <v>12</v>
      </c>
      <c r="N35" s="22">
        <v>1</v>
      </c>
      <c r="O35" s="17" t="s">
        <v>223</v>
      </c>
      <c r="R35" s="14" t="s">
        <v>51</v>
      </c>
      <c r="S35" s="2"/>
      <c r="T35" s="4"/>
      <c r="U35" s="22">
        <f t="shared" si="2"/>
        <v>0</v>
      </c>
      <c r="V35" s="22">
        <v>1</v>
      </c>
      <c r="W35" s="5" t="s">
        <v>281</v>
      </c>
      <c r="X35" s="22"/>
      <c r="Y35" s="5"/>
    </row>
    <row r="36" spans="2:25" x14ac:dyDescent="0.25">
      <c r="B36" s="19" t="s">
        <v>52</v>
      </c>
      <c r="C36" s="22"/>
      <c r="D36" s="22">
        <v>2</v>
      </c>
      <c r="E36" s="22">
        <f t="shared" si="0"/>
        <v>2</v>
      </c>
      <c r="F36" s="22"/>
      <c r="G36" s="22"/>
      <c r="J36" s="19" t="s">
        <v>52</v>
      </c>
      <c r="K36" s="16"/>
      <c r="L36" s="16">
        <v>1</v>
      </c>
      <c r="M36" s="16">
        <f t="shared" si="1"/>
        <v>1</v>
      </c>
      <c r="N36" s="22"/>
      <c r="O36" s="18"/>
      <c r="R36" s="14" t="s">
        <v>52</v>
      </c>
      <c r="S36" s="2"/>
      <c r="T36" s="2"/>
      <c r="U36" s="22">
        <f t="shared" si="2"/>
        <v>0</v>
      </c>
      <c r="V36" s="22"/>
      <c r="W36" s="5"/>
      <c r="X36" s="22"/>
      <c r="Y36" s="5"/>
    </row>
    <row r="37" spans="2:25" x14ac:dyDescent="0.25">
      <c r="B37" s="19" t="s">
        <v>53</v>
      </c>
      <c r="C37" s="22"/>
      <c r="D37" s="22">
        <v>5</v>
      </c>
      <c r="E37" s="22">
        <f t="shared" si="0"/>
        <v>5</v>
      </c>
      <c r="F37" s="22"/>
      <c r="G37" s="22"/>
      <c r="J37" s="19" t="s">
        <v>53</v>
      </c>
      <c r="K37" s="16"/>
      <c r="L37" s="16">
        <v>5</v>
      </c>
      <c r="M37" s="16">
        <f t="shared" si="1"/>
        <v>5</v>
      </c>
      <c r="N37" s="22"/>
      <c r="O37" s="18"/>
      <c r="R37" s="14" t="s">
        <v>53</v>
      </c>
      <c r="S37" s="2"/>
      <c r="T37" s="2"/>
      <c r="U37" s="22">
        <f t="shared" si="2"/>
        <v>0</v>
      </c>
      <c r="V37" s="22"/>
      <c r="W37" s="5"/>
      <c r="X37" s="22"/>
      <c r="Y37" s="5"/>
    </row>
    <row r="38" spans="2:25" ht="30" x14ac:dyDescent="0.25">
      <c r="B38" s="19" t="s">
        <v>54</v>
      </c>
      <c r="C38" s="22"/>
      <c r="D38" s="22"/>
      <c r="E38" s="22">
        <f t="shared" si="0"/>
        <v>0</v>
      </c>
      <c r="F38" s="22"/>
      <c r="G38" s="22"/>
      <c r="J38" s="19" t="s">
        <v>54</v>
      </c>
      <c r="K38" s="16"/>
      <c r="L38" s="16"/>
      <c r="M38" s="16">
        <f t="shared" si="1"/>
        <v>0</v>
      </c>
      <c r="N38" s="22"/>
      <c r="O38" s="18"/>
      <c r="R38" s="14" t="s">
        <v>54</v>
      </c>
      <c r="S38" s="2"/>
      <c r="T38" s="2"/>
      <c r="U38" s="22">
        <f t="shared" si="2"/>
        <v>0</v>
      </c>
      <c r="V38" s="22"/>
      <c r="W38" s="5"/>
      <c r="X38" s="22"/>
      <c r="Y38" s="5"/>
    </row>
    <row r="39" spans="2:25" x14ac:dyDescent="0.25">
      <c r="B39" s="19" t="s">
        <v>55</v>
      </c>
      <c r="C39" s="22"/>
      <c r="D39" s="22">
        <v>2</v>
      </c>
      <c r="E39" s="22">
        <f t="shared" si="0"/>
        <v>2</v>
      </c>
      <c r="F39" s="22"/>
      <c r="G39" s="22"/>
      <c r="J39" s="19" t="s">
        <v>55</v>
      </c>
      <c r="K39" s="16">
        <v>2</v>
      </c>
      <c r="L39" s="16">
        <v>2</v>
      </c>
      <c r="M39" s="16">
        <f t="shared" si="1"/>
        <v>4</v>
      </c>
      <c r="N39" s="22"/>
      <c r="O39" s="18"/>
      <c r="R39" s="14" t="s">
        <v>55</v>
      </c>
      <c r="S39" s="2"/>
      <c r="T39" s="2"/>
      <c r="U39" s="22">
        <f t="shared" si="2"/>
        <v>0</v>
      </c>
      <c r="V39" s="22"/>
      <c r="W39" s="5"/>
      <c r="X39" s="22"/>
      <c r="Y39" s="5"/>
    </row>
    <row r="40" spans="2:25" ht="30" x14ac:dyDescent="0.25">
      <c r="B40" s="19" t="s">
        <v>56</v>
      </c>
      <c r="C40" s="22">
        <v>2</v>
      </c>
      <c r="D40" s="22">
        <v>7</v>
      </c>
      <c r="E40" s="22">
        <f t="shared" si="0"/>
        <v>9</v>
      </c>
      <c r="F40" s="22">
        <v>1</v>
      </c>
      <c r="G40" s="28" t="s">
        <v>204</v>
      </c>
      <c r="J40" s="19" t="s">
        <v>56</v>
      </c>
      <c r="K40" s="16">
        <v>3</v>
      </c>
      <c r="L40" s="16">
        <v>11</v>
      </c>
      <c r="M40" s="16">
        <f t="shared" si="1"/>
        <v>14</v>
      </c>
      <c r="N40" s="22">
        <v>1</v>
      </c>
      <c r="O40" s="17" t="s">
        <v>224</v>
      </c>
      <c r="R40" s="14" t="s">
        <v>56</v>
      </c>
      <c r="S40" s="2"/>
      <c r="T40" s="2"/>
      <c r="U40" s="22">
        <f t="shared" si="2"/>
        <v>0</v>
      </c>
      <c r="V40" s="22"/>
      <c r="W40" s="5"/>
      <c r="X40" s="22">
        <v>2</v>
      </c>
      <c r="Y40" s="5" t="s">
        <v>269</v>
      </c>
    </row>
    <row r="41" spans="2:25" x14ac:dyDescent="0.25">
      <c r="B41" s="19" t="s">
        <v>57</v>
      </c>
      <c r="C41" s="22"/>
      <c r="D41" s="22"/>
      <c r="E41" s="22">
        <f t="shared" si="0"/>
        <v>0</v>
      </c>
      <c r="F41" s="22"/>
      <c r="G41" s="22"/>
      <c r="J41" s="19" t="s">
        <v>57</v>
      </c>
      <c r="K41" s="16"/>
      <c r="L41" s="16"/>
      <c r="M41" s="16">
        <f t="shared" si="1"/>
        <v>0</v>
      </c>
      <c r="N41" s="22"/>
      <c r="O41" s="18"/>
      <c r="R41" s="14" t="s">
        <v>57</v>
      </c>
      <c r="S41" s="2"/>
      <c r="T41" s="2"/>
      <c r="U41" s="22">
        <f t="shared" si="2"/>
        <v>0</v>
      </c>
      <c r="V41" s="22"/>
      <c r="W41" s="5"/>
      <c r="X41" s="22"/>
      <c r="Y41" s="5"/>
    </row>
    <row r="42" spans="2:25" x14ac:dyDescent="0.25">
      <c r="B42" s="19" t="s">
        <v>58</v>
      </c>
      <c r="C42" s="22"/>
      <c r="D42" s="22"/>
      <c r="E42" s="22">
        <f t="shared" si="0"/>
        <v>0</v>
      </c>
      <c r="F42" s="22"/>
      <c r="G42" s="22"/>
      <c r="J42" s="19" t="s">
        <v>58</v>
      </c>
      <c r="K42" s="16">
        <v>1</v>
      </c>
      <c r="L42" s="16">
        <v>1</v>
      </c>
      <c r="M42" s="16">
        <f t="shared" si="1"/>
        <v>2</v>
      </c>
      <c r="N42" s="22"/>
      <c r="O42" s="18"/>
      <c r="R42" s="14" t="s">
        <v>58</v>
      </c>
      <c r="S42" s="2"/>
      <c r="T42" s="2"/>
      <c r="U42" s="22">
        <f t="shared" si="2"/>
        <v>0</v>
      </c>
      <c r="V42" s="22"/>
      <c r="W42" s="5"/>
      <c r="X42" s="22"/>
      <c r="Y42" s="5"/>
    </row>
    <row r="43" spans="2:25" x14ac:dyDescent="0.25">
      <c r="B43" s="19" t="s">
        <v>201</v>
      </c>
      <c r="C43" s="22"/>
      <c r="D43" s="22"/>
      <c r="E43" s="22">
        <f t="shared" si="0"/>
        <v>0</v>
      </c>
      <c r="F43" s="22"/>
      <c r="G43" s="22"/>
      <c r="J43" s="19" t="s">
        <v>201</v>
      </c>
      <c r="K43" s="16"/>
      <c r="L43" s="16"/>
      <c r="M43" s="16">
        <f t="shared" si="1"/>
        <v>0</v>
      </c>
      <c r="N43" s="22"/>
      <c r="O43" s="18"/>
      <c r="R43" s="14" t="s">
        <v>201</v>
      </c>
      <c r="S43" s="2"/>
      <c r="T43" s="2"/>
      <c r="U43" s="22">
        <f t="shared" si="2"/>
        <v>0</v>
      </c>
      <c r="V43" s="22"/>
      <c r="W43" s="5"/>
      <c r="X43" s="22"/>
      <c r="Y43" s="5"/>
    </row>
    <row r="44" spans="2:25" x14ac:dyDescent="0.25">
      <c r="B44" s="19" t="s">
        <v>59</v>
      </c>
      <c r="C44" s="22"/>
      <c r="D44" s="22">
        <v>2</v>
      </c>
      <c r="E44" s="22">
        <f t="shared" si="0"/>
        <v>2</v>
      </c>
      <c r="F44" s="22"/>
      <c r="G44" s="22"/>
      <c r="J44" s="19" t="s">
        <v>59</v>
      </c>
      <c r="K44" s="16"/>
      <c r="L44" s="16">
        <v>2</v>
      </c>
      <c r="M44" s="16">
        <f t="shared" si="1"/>
        <v>2</v>
      </c>
      <c r="N44" s="22"/>
      <c r="O44" s="18"/>
      <c r="R44" s="14" t="s">
        <v>59</v>
      </c>
      <c r="S44" s="2"/>
      <c r="T44" s="2"/>
      <c r="U44" s="22">
        <f t="shared" si="2"/>
        <v>0</v>
      </c>
      <c r="V44" s="22"/>
      <c r="W44" s="5"/>
      <c r="X44" s="22"/>
      <c r="Y44" s="5"/>
    </row>
    <row r="45" spans="2:25" x14ac:dyDescent="0.25">
      <c r="B45" s="19" t="s">
        <v>199</v>
      </c>
      <c r="C45" s="22"/>
      <c r="D45" s="22">
        <v>1</v>
      </c>
      <c r="E45" s="22">
        <f t="shared" si="0"/>
        <v>1</v>
      </c>
      <c r="F45" s="22"/>
      <c r="G45" s="22"/>
      <c r="J45" s="19" t="s">
        <v>60</v>
      </c>
      <c r="K45" s="16">
        <v>1</v>
      </c>
      <c r="L45" s="16">
        <v>1</v>
      </c>
      <c r="M45" s="16">
        <f t="shared" si="1"/>
        <v>2</v>
      </c>
      <c r="N45" s="22"/>
      <c r="O45" s="18"/>
      <c r="R45" s="14" t="s">
        <v>60</v>
      </c>
      <c r="S45" s="2"/>
      <c r="T45" s="2"/>
      <c r="U45" s="22">
        <f t="shared" si="2"/>
        <v>0</v>
      </c>
      <c r="V45" s="22"/>
      <c r="W45" s="5"/>
      <c r="X45" s="22"/>
      <c r="Y45" s="5"/>
    </row>
    <row r="46" spans="2:25" x14ac:dyDescent="0.25">
      <c r="B46" s="19" t="s">
        <v>61</v>
      </c>
      <c r="C46" s="22"/>
      <c r="D46" s="22">
        <v>1</v>
      </c>
      <c r="E46" s="22">
        <f t="shared" si="0"/>
        <v>1</v>
      </c>
      <c r="F46" s="22"/>
      <c r="G46" s="22"/>
      <c r="J46" s="19" t="s">
        <v>61</v>
      </c>
      <c r="K46" s="16">
        <v>2</v>
      </c>
      <c r="L46" s="16">
        <v>2</v>
      </c>
      <c r="M46" s="16">
        <f t="shared" si="1"/>
        <v>4</v>
      </c>
      <c r="N46" s="22"/>
      <c r="O46" s="18"/>
      <c r="R46" s="14" t="s">
        <v>61</v>
      </c>
      <c r="S46" s="2"/>
      <c r="T46" s="2"/>
      <c r="U46" s="22">
        <f t="shared" si="2"/>
        <v>0</v>
      </c>
      <c r="V46" s="22"/>
      <c r="W46" s="5"/>
      <c r="X46" s="22"/>
      <c r="Y46" s="5"/>
    </row>
    <row r="47" spans="2:25" ht="30" x14ac:dyDescent="0.25">
      <c r="B47" s="19" t="s">
        <v>4</v>
      </c>
      <c r="C47" s="22">
        <v>1</v>
      </c>
      <c r="D47" s="22">
        <v>7</v>
      </c>
      <c r="E47" s="22">
        <f t="shared" si="0"/>
        <v>8</v>
      </c>
      <c r="F47" s="22"/>
      <c r="G47" s="22"/>
      <c r="J47" s="19" t="s">
        <v>4</v>
      </c>
      <c r="K47" s="16">
        <v>1</v>
      </c>
      <c r="L47" s="16">
        <v>9</v>
      </c>
      <c r="M47" s="16">
        <f t="shared" si="1"/>
        <v>10</v>
      </c>
      <c r="N47" s="22"/>
      <c r="O47" s="18"/>
      <c r="R47" s="14" t="s">
        <v>4</v>
      </c>
      <c r="S47" s="2"/>
      <c r="T47" s="2"/>
      <c r="U47" s="22">
        <f t="shared" si="2"/>
        <v>0</v>
      </c>
      <c r="V47" s="22">
        <v>1</v>
      </c>
      <c r="W47" s="5" t="s">
        <v>290</v>
      </c>
      <c r="X47" s="22"/>
      <c r="Y47" s="5"/>
    </row>
    <row r="48" spans="2:25" ht="60" x14ac:dyDescent="0.25">
      <c r="B48" s="19" t="s">
        <v>202</v>
      </c>
      <c r="C48" s="22">
        <v>3</v>
      </c>
      <c r="D48" s="22">
        <v>10</v>
      </c>
      <c r="E48" s="22">
        <f t="shared" si="0"/>
        <v>13</v>
      </c>
      <c r="F48" s="22">
        <v>2</v>
      </c>
      <c r="G48" s="28" t="s">
        <v>203</v>
      </c>
      <c r="J48" s="19" t="s">
        <v>202</v>
      </c>
      <c r="K48" s="16">
        <v>2</v>
      </c>
      <c r="L48" s="16">
        <v>7</v>
      </c>
      <c r="M48" s="16">
        <f t="shared" si="1"/>
        <v>9</v>
      </c>
      <c r="N48" s="22">
        <v>1</v>
      </c>
      <c r="O48" s="17" t="s">
        <v>225</v>
      </c>
      <c r="R48" s="14" t="s">
        <v>202</v>
      </c>
      <c r="S48" s="2"/>
      <c r="T48" s="2"/>
      <c r="U48" s="22">
        <f t="shared" si="2"/>
        <v>0</v>
      </c>
      <c r="V48" s="22">
        <v>2</v>
      </c>
      <c r="W48" s="5" t="s">
        <v>299</v>
      </c>
      <c r="X48" s="22">
        <v>2</v>
      </c>
      <c r="Y48" s="5" t="s">
        <v>268</v>
      </c>
    </row>
    <row r="49" spans="2:25" x14ac:dyDescent="0.25">
      <c r="B49" s="19" t="s">
        <v>62</v>
      </c>
      <c r="C49" s="22"/>
      <c r="D49" s="22"/>
      <c r="E49" s="22">
        <f t="shared" si="0"/>
        <v>0</v>
      </c>
      <c r="F49" s="22"/>
      <c r="G49" s="22"/>
      <c r="J49" s="19" t="s">
        <v>62</v>
      </c>
      <c r="K49" s="16"/>
      <c r="L49" s="16"/>
      <c r="M49" s="16">
        <f t="shared" si="1"/>
        <v>0</v>
      </c>
      <c r="N49" s="22"/>
      <c r="O49" s="18"/>
      <c r="R49" s="14" t="s">
        <v>62</v>
      </c>
      <c r="S49" s="2"/>
      <c r="T49" s="2"/>
      <c r="U49" s="22">
        <f t="shared" si="2"/>
        <v>0</v>
      </c>
      <c r="V49" s="22"/>
      <c r="W49" s="5"/>
      <c r="X49" s="22"/>
      <c r="Y49" s="5"/>
    </row>
    <row r="50" spans="2:25" x14ac:dyDescent="0.25">
      <c r="B50" s="19" t="s">
        <v>63</v>
      </c>
      <c r="C50" s="22">
        <v>1</v>
      </c>
      <c r="D50" s="22">
        <v>3</v>
      </c>
      <c r="E50" s="22">
        <f t="shared" si="0"/>
        <v>4</v>
      </c>
      <c r="F50" s="22"/>
      <c r="G50" s="22"/>
      <c r="J50" s="19" t="s">
        <v>63</v>
      </c>
      <c r="K50" s="16">
        <v>1</v>
      </c>
      <c r="L50" s="16">
        <v>4</v>
      </c>
      <c r="M50" s="16">
        <f t="shared" si="1"/>
        <v>5</v>
      </c>
      <c r="N50" s="22"/>
      <c r="O50" s="18"/>
      <c r="R50" s="14" t="s">
        <v>63</v>
      </c>
      <c r="S50" s="2"/>
      <c r="T50" s="2"/>
      <c r="U50" s="22">
        <f t="shared" si="2"/>
        <v>0</v>
      </c>
      <c r="V50" s="22"/>
      <c r="W50" s="5"/>
      <c r="X50" s="22">
        <v>1</v>
      </c>
      <c r="Y50" s="5" t="s">
        <v>253</v>
      </c>
    </row>
    <row r="51" spans="2:25" x14ac:dyDescent="0.25">
      <c r="B51" s="19" t="s">
        <v>64</v>
      </c>
      <c r="C51" s="22"/>
      <c r="D51" s="22">
        <v>1</v>
      </c>
      <c r="E51" s="22">
        <f t="shared" si="0"/>
        <v>1</v>
      </c>
      <c r="F51" s="22"/>
      <c r="G51" s="22"/>
      <c r="J51" s="19" t="s">
        <v>64</v>
      </c>
      <c r="K51" s="16">
        <v>1</v>
      </c>
      <c r="L51" s="16">
        <v>1</v>
      </c>
      <c r="M51" s="16">
        <f t="shared" si="1"/>
        <v>2</v>
      </c>
      <c r="N51" s="22"/>
      <c r="O51" s="18"/>
      <c r="R51" s="14" t="s">
        <v>64</v>
      </c>
      <c r="S51" s="2"/>
      <c r="T51" s="2"/>
      <c r="U51" s="22">
        <f t="shared" si="2"/>
        <v>0</v>
      </c>
      <c r="V51" s="22"/>
      <c r="W51" s="5"/>
      <c r="X51" s="22"/>
      <c r="Y51" s="5"/>
    </row>
    <row r="52" spans="2:25" x14ac:dyDescent="0.25">
      <c r="B52" s="19" t="s">
        <v>65</v>
      </c>
      <c r="C52" s="22"/>
      <c r="D52" s="22"/>
      <c r="E52" s="22">
        <f t="shared" si="0"/>
        <v>0</v>
      </c>
      <c r="F52" s="22"/>
      <c r="G52" s="22"/>
      <c r="J52" s="19" t="s">
        <v>65</v>
      </c>
      <c r="K52" s="16"/>
      <c r="L52" s="16"/>
      <c r="M52" s="16">
        <f t="shared" si="1"/>
        <v>0</v>
      </c>
      <c r="N52" s="22"/>
      <c r="O52" s="18"/>
      <c r="R52" s="14" t="s">
        <v>65</v>
      </c>
      <c r="S52" s="2"/>
      <c r="T52" s="2"/>
      <c r="U52" s="22">
        <f t="shared" si="2"/>
        <v>0</v>
      </c>
      <c r="V52" s="22"/>
      <c r="W52" s="5"/>
      <c r="X52" s="22"/>
      <c r="Y52" s="5"/>
    </row>
    <row r="53" spans="2:25" x14ac:dyDescent="0.25">
      <c r="B53" s="19" t="s">
        <v>66</v>
      </c>
      <c r="C53" s="22"/>
      <c r="D53" s="22">
        <v>2</v>
      </c>
      <c r="E53" s="22">
        <f t="shared" si="0"/>
        <v>2</v>
      </c>
      <c r="F53" s="22"/>
      <c r="G53" s="22"/>
      <c r="J53" s="19" t="s">
        <v>66</v>
      </c>
      <c r="K53" s="16">
        <v>3</v>
      </c>
      <c r="L53" s="16">
        <v>3</v>
      </c>
      <c r="M53" s="16">
        <f t="shared" si="1"/>
        <v>6</v>
      </c>
      <c r="N53" s="22">
        <v>1</v>
      </c>
      <c r="O53" s="17" t="s">
        <v>226</v>
      </c>
      <c r="R53" s="14" t="s">
        <v>66</v>
      </c>
      <c r="S53" s="2"/>
      <c r="T53" s="2"/>
      <c r="U53" s="22">
        <f t="shared" si="2"/>
        <v>0</v>
      </c>
      <c r="V53" s="22"/>
      <c r="W53" s="5"/>
      <c r="X53" s="22"/>
      <c r="Y53" s="5"/>
    </row>
    <row r="54" spans="2:25" x14ac:dyDescent="0.25">
      <c r="B54" s="19" t="s">
        <v>67</v>
      </c>
      <c r="C54" s="22"/>
      <c r="D54" s="22">
        <v>3</v>
      </c>
      <c r="E54" s="22">
        <f t="shared" si="0"/>
        <v>3</v>
      </c>
      <c r="F54" s="22"/>
      <c r="G54" s="22"/>
      <c r="J54" s="19" t="s">
        <v>67</v>
      </c>
      <c r="K54" s="16">
        <v>3</v>
      </c>
      <c r="L54" s="16">
        <v>3</v>
      </c>
      <c r="M54" s="16">
        <f t="shared" si="1"/>
        <v>6</v>
      </c>
      <c r="N54" s="22"/>
      <c r="O54" s="18"/>
      <c r="R54" s="14" t="s">
        <v>67</v>
      </c>
      <c r="S54" s="2"/>
      <c r="T54" s="2"/>
      <c r="U54" s="22">
        <f t="shared" si="2"/>
        <v>0</v>
      </c>
      <c r="V54" s="22"/>
      <c r="W54" s="5"/>
      <c r="X54" s="22"/>
      <c r="Y54" s="5"/>
    </row>
    <row r="55" spans="2:25" x14ac:dyDescent="0.25">
      <c r="B55" s="19" t="s">
        <v>68</v>
      </c>
      <c r="C55" s="22"/>
      <c r="D55" s="22">
        <v>1</v>
      </c>
      <c r="E55" s="22">
        <f t="shared" si="0"/>
        <v>1</v>
      </c>
      <c r="F55" s="22"/>
      <c r="G55" s="22"/>
      <c r="J55" s="19" t="s">
        <v>68</v>
      </c>
      <c r="K55" s="16"/>
      <c r="L55" s="16">
        <v>1</v>
      </c>
      <c r="M55" s="16">
        <f t="shared" si="1"/>
        <v>1</v>
      </c>
      <c r="N55" s="22"/>
      <c r="O55" s="18"/>
      <c r="R55" s="14" t="s">
        <v>68</v>
      </c>
      <c r="S55" s="2"/>
      <c r="T55" s="2"/>
      <c r="U55" s="22">
        <f t="shared" si="2"/>
        <v>0</v>
      </c>
      <c r="V55" s="22"/>
      <c r="W55" s="5"/>
      <c r="X55" s="22"/>
      <c r="Y55" s="5"/>
    </row>
    <row r="56" spans="2:25" x14ac:dyDescent="0.25">
      <c r="B56" s="19" t="s">
        <v>6</v>
      </c>
      <c r="C56" s="22">
        <v>3</v>
      </c>
      <c r="D56" s="22">
        <v>6</v>
      </c>
      <c r="E56" s="22">
        <f t="shared" si="0"/>
        <v>9</v>
      </c>
      <c r="F56" s="22"/>
      <c r="G56" s="22"/>
      <c r="J56" s="19" t="s">
        <v>6</v>
      </c>
      <c r="K56" s="16">
        <v>2</v>
      </c>
      <c r="L56" s="16">
        <v>6</v>
      </c>
      <c r="M56" s="16">
        <f t="shared" si="1"/>
        <v>8</v>
      </c>
      <c r="N56" s="22"/>
      <c r="O56" s="18"/>
      <c r="R56" s="14" t="s">
        <v>6</v>
      </c>
      <c r="S56" s="2"/>
      <c r="T56" s="2"/>
      <c r="U56" s="22">
        <f t="shared" si="2"/>
        <v>0</v>
      </c>
      <c r="V56" s="22"/>
      <c r="W56" s="5"/>
      <c r="X56" s="22">
        <v>1</v>
      </c>
      <c r="Y56" s="5" t="s">
        <v>258</v>
      </c>
    </row>
    <row r="57" spans="2:25" ht="32.25" customHeight="1" x14ac:dyDescent="0.25">
      <c r="B57" s="19" t="s">
        <v>69</v>
      </c>
      <c r="C57" s="22">
        <v>5</v>
      </c>
      <c r="D57" s="22">
        <v>7</v>
      </c>
      <c r="E57" s="22">
        <f t="shared" si="0"/>
        <v>12</v>
      </c>
      <c r="F57" s="22"/>
      <c r="G57" s="22"/>
      <c r="J57" s="19" t="s">
        <v>69</v>
      </c>
      <c r="K57" s="16">
        <v>5</v>
      </c>
      <c r="L57" s="16">
        <v>9</v>
      </c>
      <c r="M57" s="16">
        <f t="shared" si="1"/>
        <v>14</v>
      </c>
      <c r="N57" s="22"/>
      <c r="O57" s="18"/>
      <c r="R57" s="14" t="s">
        <v>69</v>
      </c>
      <c r="S57" s="2"/>
      <c r="T57" s="2"/>
      <c r="U57" s="22">
        <f t="shared" si="2"/>
        <v>0</v>
      </c>
      <c r="V57" s="22"/>
      <c r="W57" s="5"/>
      <c r="X57" s="22">
        <v>3</v>
      </c>
      <c r="Y57" s="5" t="s">
        <v>270</v>
      </c>
    </row>
    <row r="58" spans="2:25" x14ac:dyDescent="0.25">
      <c r="B58" s="19" t="s">
        <v>70</v>
      </c>
      <c r="C58" s="22"/>
      <c r="D58" s="22">
        <v>3</v>
      </c>
      <c r="E58" s="22">
        <f t="shared" si="0"/>
        <v>3</v>
      </c>
      <c r="F58" s="22"/>
      <c r="G58" s="22"/>
      <c r="J58" s="19" t="s">
        <v>70</v>
      </c>
      <c r="K58" s="16">
        <v>1</v>
      </c>
      <c r="L58" s="16">
        <v>3</v>
      </c>
      <c r="M58" s="16">
        <f t="shared" si="1"/>
        <v>4</v>
      </c>
      <c r="N58" s="22"/>
      <c r="O58" s="18"/>
      <c r="R58" s="14" t="s">
        <v>70</v>
      </c>
      <c r="S58" s="2"/>
      <c r="T58" s="2"/>
      <c r="U58" s="22">
        <f t="shared" si="2"/>
        <v>0</v>
      </c>
      <c r="V58" s="22"/>
      <c r="W58" s="5"/>
      <c r="X58" s="22"/>
      <c r="Y58" s="5"/>
    </row>
    <row r="59" spans="2:25" x14ac:dyDescent="0.25">
      <c r="B59" s="19" t="s">
        <v>71</v>
      </c>
      <c r="C59" s="22">
        <v>1</v>
      </c>
      <c r="D59" s="22">
        <v>4</v>
      </c>
      <c r="E59" s="22">
        <f t="shared" si="0"/>
        <v>5</v>
      </c>
      <c r="F59" s="22"/>
      <c r="G59" s="22"/>
      <c r="J59" s="19" t="s">
        <v>71</v>
      </c>
      <c r="K59" s="16">
        <v>1</v>
      </c>
      <c r="L59" s="16">
        <v>4</v>
      </c>
      <c r="M59" s="16">
        <f t="shared" si="1"/>
        <v>5</v>
      </c>
      <c r="N59" s="22">
        <v>1</v>
      </c>
      <c r="O59" s="17" t="s">
        <v>227</v>
      </c>
      <c r="R59" s="14" t="s">
        <v>71</v>
      </c>
      <c r="S59" s="2"/>
      <c r="T59" s="2"/>
      <c r="U59" s="22">
        <f t="shared" si="2"/>
        <v>0</v>
      </c>
      <c r="V59" s="22"/>
      <c r="W59" s="5"/>
      <c r="X59" s="22">
        <v>1</v>
      </c>
      <c r="Y59" s="5" t="s">
        <v>256</v>
      </c>
    </row>
    <row r="60" spans="2:25" ht="18.75" customHeight="1" x14ac:dyDescent="0.25">
      <c r="B60" s="19" t="s">
        <v>72</v>
      </c>
      <c r="C60" s="22"/>
      <c r="D60" s="22"/>
      <c r="E60" s="22">
        <f t="shared" si="0"/>
        <v>0</v>
      </c>
      <c r="F60" s="22"/>
      <c r="G60" s="22"/>
      <c r="J60" s="19" t="s">
        <v>72</v>
      </c>
      <c r="K60" s="16"/>
      <c r="L60" s="16"/>
      <c r="M60" s="16">
        <f t="shared" si="1"/>
        <v>0</v>
      </c>
      <c r="N60" s="22"/>
      <c r="O60" s="18"/>
      <c r="R60" s="14" t="s">
        <v>72</v>
      </c>
      <c r="S60" s="2"/>
      <c r="T60" s="2"/>
      <c r="U60" s="22">
        <f t="shared" si="2"/>
        <v>0</v>
      </c>
      <c r="V60" s="22"/>
      <c r="W60" s="5"/>
      <c r="X60" s="22"/>
      <c r="Y60" s="5"/>
    </row>
    <row r="61" spans="2:25" ht="57.75" customHeight="1" x14ac:dyDescent="0.25">
      <c r="B61" s="19" t="s">
        <v>12</v>
      </c>
      <c r="C61" s="22">
        <v>5</v>
      </c>
      <c r="D61" s="22">
        <v>25</v>
      </c>
      <c r="E61" s="22">
        <f t="shared" si="0"/>
        <v>30</v>
      </c>
      <c r="F61" s="22">
        <v>1</v>
      </c>
      <c r="G61" s="27" t="s">
        <v>200</v>
      </c>
      <c r="J61" s="19" t="s">
        <v>12</v>
      </c>
      <c r="K61" s="16">
        <v>4</v>
      </c>
      <c r="L61" s="16">
        <v>22</v>
      </c>
      <c r="M61" s="16">
        <f t="shared" si="1"/>
        <v>26</v>
      </c>
      <c r="N61" s="22">
        <v>1</v>
      </c>
      <c r="O61" s="17" t="s">
        <v>228</v>
      </c>
      <c r="R61" s="14" t="s">
        <v>12</v>
      </c>
      <c r="S61" s="2"/>
      <c r="T61" s="2"/>
      <c r="U61" s="22">
        <f t="shared" si="2"/>
        <v>0</v>
      </c>
      <c r="V61" s="22">
        <v>3</v>
      </c>
      <c r="W61" s="5" t="s">
        <v>296</v>
      </c>
      <c r="X61" s="22">
        <v>5</v>
      </c>
      <c r="Y61" s="5" t="s">
        <v>271</v>
      </c>
    </row>
    <row r="62" spans="2:25" x14ac:dyDescent="0.25">
      <c r="B62" s="19" t="s">
        <v>73</v>
      </c>
      <c r="C62" s="22"/>
      <c r="D62" s="22">
        <v>2</v>
      </c>
      <c r="E62" s="22">
        <f t="shared" si="0"/>
        <v>2</v>
      </c>
      <c r="F62" s="22"/>
      <c r="G62" s="22"/>
      <c r="J62" s="19" t="s">
        <v>73</v>
      </c>
      <c r="K62" s="16">
        <v>2</v>
      </c>
      <c r="L62" s="16">
        <v>2</v>
      </c>
      <c r="M62" s="16">
        <f t="shared" si="1"/>
        <v>4</v>
      </c>
      <c r="N62" s="22"/>
      <c r="O62" s="18"/>
      <c r="R62" s="14" t="s">
        <v>73</v>
      </c>
      <c r="S62" s="2"/>
      <c r="T62" s="2"/>
      <c r="U62" s="22">
        <f t="shared" si="2"/>
        <v>0</v>
      </c>
      <c r="V62" s="22"/>
      <c r="W62" s="5"/>
      <c r="X62" s="22"/>
      <c r="Y62" s="5"/>
    </row>
    <row r="63" spans="2:25" x14ac:dyDescent="0.25">
      <c r="B63" s="19" t="s">
        <v>74</v>
      </c>
      <c r="C63" s="22">
        <v>2</v>
      </c>
      <c r="D63" s="22">
        <v>13</v>
      </c>
      <c r="E63" s="22">
        <f t="shared" si="0"/>
        <v>15</v>
      </c>
      <c r="F63" s="22"/>
      <c r="G63" s="22"/>
      <c r="J63" s="19" t="s">
        <v>74</v>
      </c>
      <c r="K63" s="16">
        <v>2</v>
      </c>
      <c r="L63" s="16">
        <v>14</v>
      </c>
      <c r="M63" s="16">
        <f t="shared" si="1"/>
        <v>16</v>
      </c>
      <c r="N63" s="22"/>
      <c r="O63" s="18"/>
      <c r="R63" s="14" t="s">
        <v>74</v>
      </c>
      <c r="S63" s="2"/>
      <c r="T63" s="2"/>
      <c r="U63" s="22">
        <f t="shared" si="2"/>
        <v>0</v>
      </c>
      <c r="V63" s="22"/>
      <c r="W63" s="5"/>
      <c r="X63" s="22">
        <v>1</v>
      </c>
      <c r="Y63" s="5" t="s">
        <v>262</v>
      </c>
    </row>
    <row r="64" spans="2:25" ht="30" x14ac:dyDescent="0.25">
      <c r="B64" s="19" t="s">
        <v>11</v>
      </c>
      <c r="C64" s="22">
        <v>2</v>
      </c>
      <c r="D64" s="22">
        <v>11</v>
      </c>
      <c r="E64" s="22">
        <f t="shared" si="0"/>
        <v>13</v>
      </c>
      <c r="F64" s="22">
        <v>1</v>
      </c>
      <c r="G64" s="27" t="s">
        <v>220</v>
      </c>
      <c r="J64" s="19" t="s">
        <v>11</v>
      </c>
      <c r="K64" s="16">
        <v>4</v>
      </c>
      <c r="L64" s="16">
        <v>11</v>
      </c>
      <c r="M64" s="16">
        <f t="shared" si="1"/>
        <v>15</v>
      </c>
      <c r="N64" s="22">
        <v>3</v>
      </c>
      <c r="O64" s="17" t="s">
        <v>229</v>
      </c>
      <c r="R64" s="14" t="s">
        <v>11</v>
      </c>
      <c r="S64" s="2"/>
      <c r="T64" s="2"/>
      <c r="U64" s="22">
        <f t="shared" si="2"/>
        <v>0</v>
      </c>
      <c r="V64" s="22">
        <v>1</v>
      </c>
      <c r="W64" s="5" t="s">
        <v>286</v>
      </c>
      <c r="X64" s="22">
        <v>2</v>
      </c>
      <c r="Y64" s="5" t="s">
        <v>272</v>
      </c>
    </row>
    <row r="65" spans="2:25" ht="18" x14ac:dyDescent="0.25">
      <c r="B65" s="19" t="s">
        <v>75</v>
      </c>
      <c r="C65" s="22"/>
      <c r="D65" s="22">
        <v>3</v>
      </c>
      <c r="E65" s="22">
        <f t="shared" si="0"/>
        <v>3</v>
      </c>
      <c r="F65" s="22">
        <v>1</v>
      </c>
      <c r="G65" s="27" t="s">
        <v>219</v>
      </c>
      <c r="J65" s="19" t="s">
        <v>75</v>
      </c>
      <c r="K65" s="16">
        <v>2</v>
      </c>
      <c r="L65" s="16">
        <v>2</v>
      </c>
      <c r="M65" s="16">
        <f t="shared" si="1"/>
        <v>4</v>
      </c>
      <c r="N65" s="22">
        <v>3</v>
      </c>
      <c r="O65" s="17" t="s">
        <v>230</v>
      </c>
      <c r="P65" s="6"/>
      <c r="Q65" s="6"/>
      <c r="R65" s="14" t="s">
        <v>75</v>
      </c>
      <c r="S65" s="2"/>
      <c r="T65" s="2"/>
      <c r="U65" s="22">
        <f t="shared" si="2"/>
        <v>0</v>
      </c>
      <c r="V65" s="22"/>
      <c r="W65" s="5"/>
      <c r="X65" s="22"/>
      <c r="Y65" s="15"/>
    </row>
    <row r="66" spans="2:25" x14ac:dyDescent="0.25">
      <c r="B66" s="19" t="s">
        <v>76</v>
      </c>
      <c r="C66" s="22"/>
      <c r="D66" s="22"/>
      <c r="E66" s="22">
        <f t="shared" si="0"/>
        <v>0</v>
      </c>
      <c r="F66" s="22"/>
      <c r="G66" s="22"/>
      <c r="J66" s="19" t="s">
        <v>76</v>
      </c>
      <c r="K66" s="16"/>
      <c r="L66" s="16"/>
      <c r="M66" s="16">
        <f t="shared" si="1"/>
        <v>0</v>
      </c>
      <c r="N66" s="22"/>
      <c r="O66" s="17"/>
      <c r="P66" s="6"/>
      <c r="Q66" s="6"/>
      <c r="R66" s="14" t="s">
        <v>76</v>
      </c>
      <c r="S66" s="2"/>
      <c r="T66" s="2"/>
      <c r="U66" s="22">
        <f t="shared" si="2"/>
        <v>0</v>
      </c>
      <c r="V66" s="22"/>
      <c r="W66" s="5"/>
      <c r="X66" s="22"/>
      <c r="Y66" s="5"/>
    </row>
    <row r="67" spans="2:25" x14ac:dyDescent="0.25">
      <c r="B67" s="19" t="s">
        <v>77</v>
      </c>
      <c r="C67" s="22">
        <v>9</v>
      </c>
      <c r="D67" s="22">
        <v>12</v>
      </c>
      <c r="E67" s="22">
        <f t="shared" si="0"/>
        <v>21</v>
      </c>
      <c r="F67" s="22"/>
      <c r="G67" s="22"/>
      <c r="J67" s="19" t="s">
        <v>77</v>
      </c>
      <c r="K67" s="16">
        <v>6</v>
      </c>
      <c r="L67" s="16">
        <v>13</v>
      </c>
      <c r="M67" s="16">
        <f t="shared" si="1"/>
        <v>19</v>
      </c>
      <c r="N67" s="22"/>
      <c r="O67" s="17"/>
      <c r="P67" s="6"/>
      <c r="Q67" s="6"/>
      <c r="R67" s="14" t="s">
        <v>77</v>
      </c>
      <c r="S67" s="2"/>
      <c r="T67" s="2"/>
      <c r="U67" s="22">
        <f t="shared" si="2"/>
        <v>0</v>
      </c>
      <c r="V67" s="22"/>
      <c r="W67" s="5"/>
      <c r="X67" s="22">
        <v>1</v>
      </c>
      <c r="Y67" s="5" t="s">
        <v>261</v>
      </c>
    </row>
    <row r="68" spans="2:25" x14ac:dyDescent="0.25">
      <c r="B68" s="19" t="s">
        <v>78</v>
      </c>
      <c r="C68" s="22">
        <v>3</v>
      </c>
      <c r="D68" s="22">
        <v>9</v>
      </c>
      <c r="E68" s="22">
        <f t="shared" si="0"/>
        <v>12</v>
      </c>
      <c r="F68" s="22"/>
      <c r="G68" s="22"/>
      <c r="J68" s="19" t="s">
        <v>78</v>
      </c>
      <c r="K68" s="16">
        <v>4</v>
      </c>
      <c r="L68" s="16">
        <v>10</v>
      </c>
      <c r="M68" s="16">
        <f t="shared" si="1"/>
        <v>14</v>
      </c>
      <c r="N68" s="22"/>
      <c r="O68" s="17"/>
      <c r="P68" s="6"/>
      <c r="Q68" s="6"/>
      <c r="R68" s="14" t="s">
        <v>78</v>
      </c>
      <c r="S68" s="2"/>
      <c r="T68" s="2"/>
      <c r="U68" s="22">
        <f t="shared" si="2"/>
        <v>0</v>
      </c>
      <c r="V68" s="22"/>
      <c r="W68" s="5"/>
      <c r="X68" s="22">
        <v>2</v>
      </c>
      <c r="Y68" s="5" t="s">
        <v>273</v>
      </c>
    </row>
    <row r="69" spans="2:25" ht="120" x14ac:dyDescent="0.25">
      <c r="B69" s="19" t="s">
        <v>0</v>
      </c>
      <c r="C69" s="22">
        <v>6</v>
      </c>
      <c r="D69" s="22">
        <v>23</v>
      </c>
      <c r="E69" s="22">
        <f t="shared" ref="E69:E132" si="3">SUM(C69:D69)</f>
        <v>29</v>
      </c>
      <c r="F69" s="22">
        <v>1</v>
      </c>
      <c r="G69" s="27" t="s">
        <v>217</v>
      </c>
      <c r="J69" s="19" t="s">
        <v>0</v>
      </c>
      <c r="K69" s="22">
        <v>6</v>
      </c>
      <c r="L69" s="22">
        <v>27</v>
      </c>
      <c r="M69" s="22">
        <f t="shared" ref="M69:M132" si="4">SUM(K69:L69)</f>
        <v>33</v>
      </c>
      <c r="N69" s="22">
        <v>2</v>
      </c>
      <c r="O69" s="17" t="s">
        <v>231</v>
      </c>
      <c r="P69" s="6"/>
      <c r="Q69" s="6"/>
      <c r="R69" s="14" t="s">
        <v>0</v>
      </c>
      <c r="S69" s="2"/>
      <c r="T69" s="2"/>
      <c r="U69" s="22">
        <f t="shared" si="2"/>
        <v>0</v>
      </c>
      <c r="V69" s="22">
        <v>5</v>
      </c>
      <c r="W69" s="5" t="s">
        <v>294</v>
      </c>
      <c r="X69" s="22">
        <v>3</v>
      </c>
      <c r="Y69" s="5" t="s">
        <v>274</v>
      </c>
    </row>
    <row r="70" spans="2:25" x14ac:dyDescent="0.25">
      <c r="B70" s="19" t="s">
        <v>79</v>
      </c>
      <c r="C70" s="22">
        <v>6</v>
      </c>
      <c r="D70" s="22">
        <v>6</v>
      </c>
      <c r="E70" s="22">
        <f t="shared" si="3"/>
        <v>12</v>
      </c>
      <c r="F70" s="22"/>
      <c r="G70" s="22"/>
      <c r="J70" s="19" t="s">
        <v>79</v>
      </c>
      <c r="K70" s="16">
        <v>6</v>
      </c>
      <c r="L70" s="16">
        <v>7</v>
      </c>
      <c r="M70" s="16">
        <f t="shared" si="4"/>
        <v>13</v>
      </c>
      <c r="N70" s="22"/>
      <c r="O70" s="17"/>
      <c r="P70" s="6"/>
      <c r="Q70" s="6"/>
      <c r="R70" s="14" t="s">
        <v>79</v>
      </c>
      <c r="S70" s="2"/>
      <c r="T70" s="2"/>
      <c r="U70" s="22">
        <f t="shared" ref="U70:U133" si="5">SUM(S70:T70)</f>
        <v>0</v>
      </c>
      <c r="V70" s="22"/>
      <c r="W70" s="5"/>
      <c r="X70" s="22">
        <v>1</v>
      </c>
      <c r="Y70" s="5" t="s">
        <v>260</v>
      </c>
    </row>
    <row r="71" spans="2:25" ht="75" x14ac:dyDescent="0.25">
      <c r="B71" s="19" t="s">
        <v>80</v>
      </c>
      <c r="C71" s="22">
        <v>5</v>
      </c>
      <c r="D71" s="22">
        <v>16</v>
      </c>
      <c r="E71" s="22">
        <f t="shared" si="3"/>
        <v>21</v>
      </c>
      <c r="F71" s="22">
        <v>4</v>
      </c>
      <c r="G71" s="28" t="s">
        <v>218</v>
      </c>
      <c r="J71" s="19" t="s">
        <v>80</v>
      </c>
      <c r="K71" s="22">
        <v>4</v>
      </c>
      <c r="L71" s="22">
        <v>16</v>
      </c>
      <c r="M71" s="22">
        <f t="shared" si="4"/>
        <v>20</v>
      </c>
      <c r="N71" s="22">
        <v>3</v>
      </c>
      <c r="O71" s="17" t="s">
        <v>232</v>
      </c>
      <c r="P71" s="6"/>
      <c r="Q71" s="6"/>
      <c r="R71" s="14" t="s">
        <v>80</v>
      </c>
      <c r="S71" s="2"/>
      <c r="T71" s="2"/>
      <c r="U71" s="22">
        <f t="shared" si="5"/>
        <v>0</v>
      </c>
      <c r="V71" s="22">
        <v>3</v>
      </c>
      <c r="W71" s="5" t="s">
        <v>300</v>
      </c>
      <c r="X71" s="22">
        <v>1</v>
      </c>
      <c r="Y71" s="5" t="s">
        <v>252</v>
      </c>
    </row>
    <row r="72" spans="2:25" ht="30" x14ac:dyDescent="0.25">
      <c r="B72" s="19" t="s">
        <v>81</v>
      </c>
      <c r="C72" s="22">
        <v>1</v>
      </c>
      <c r="D72" s="22">
        <v>5</v>
      </c>
      <c r="E72" s="22">
        <f t="shared" si="3"/>
        <v>6</v>
      </c>
      <c r="F72" s="22"/>
      <c r="G72" s="22"/>
      <c r="J72" s="19" t="s">
        <v>81</v>
      </c>
      <c r="K72" s="22">
        <v>1</v>
      </c>
      <c r="L72" s="22">
        <v>5</v>
      </c>
      <c r="M72" s="22">
        <f t="shared" si="4"/>
        <v>6</v>
      </c>
      <c r="N72" s="22"/>
      <c r="O72" s="18"/>
      <c r="R72" s="14" t="s">
        <v>81</v>
      </c>
      <c r="S72" s="2"/>
      <c r="T72" s="2"/>
      <c r="U72" s="22">
        <f t="shared" si="5"/>
        <v>0</v>
      </c>
      <c r="V72" s="22">
        <v>1</v>
      </c>
      <c r="W72" s="5" t="s">
        <v>298</v>
      </c>
      <c r="X72" s="22"/>
      <c r="Y72" s="5"/>
    </row>
    <row r="73" spans="2:25" x14ac:dyDescent="0.25">
      <c r="B73" s="19" t="s">
        <v>82</v>
      </c>
      <c r="C73" s="22"/>
      <c r="D73" s="22"/>
      <c r="E73" s="22">
        <f t="shared" si="3"/>
        <v>0</v>
      </c>
      <c r="F73" s="22"/>
      <c r="G73" s="22"/>
      <c r="J73" s="19" t="s">
        <v>82</v>
      </c>
      <c r="K73" s="16"/>
      <c r="L73" s="16"/>
      <c r="M73" s="16">
        <f t="shared" si="4"/>
        <v>0</v>
      </c>
      <c r="N73" s="22"/>
      <c r="O73" s="18"/>
      <c r="R73" s="14" t="s">
        <v>82</v>
      </c>
      <c r="S73" s="2"/>
      <c r="T73" s="2"/>
      <c r="U73" s="22">
        <f t="shared" si="5"/>
        <v>0</v>
      </c>
      <c r="V73" s="22"/>
      <c r="W73" s="5"/>
      <c r="X73" s="22"/>
      <c r="Y73" s="5"/>
    </row>
    <row r="74" spans="2:25" x14ac:dyDescent="0.25">
      <c r="B74" s="19" t="s">
        <v>83</v>
      </c>
      <c r="C74" s="22"/>
      <c r="D74" s="22">
        <v>7</v>
      </c>
      <c r="E74" s="22">
        <f t="shared" si="3"/>
        <v>7</v>
      </c>
      <c r="F74" s="22"/>
      <c r="G74" s="22"/>
      <c r="J74" s="19" t="s">
        <v>83</v>
      </c>
      <c r="K74" s="16">
        <v>7</v>
      </c>
      <c r="L74" s="16">
        <v>7</v>
      </c>
      <c r="M74" s="16">
        <f t="shared" si="4"/>
        <v>14</v>
      </c>
      <c r="N74" s="22"/>
      <c r="O74" s="18"/>
      <c r="R74" s="14" t="s">
        <v>83</v>
      </c>
      <c r="S74" s="2"/>
      <c r="T74" s="2"/>
      <c r="U74" s="22">
        <f t="shared" si="5"/>
        <v>0</v>
      </c>
      <c r="V74" s="22"/>
      <c r="W74" s="5"/>
      <c r="X74" s="22"/>
      <c r="Y74" s="5"/>
    </row>
    <row r="75" spans="2:25" x14ac:dyDescent="0.25">
      <c r="B75" s="19" t="s">
        <v>84</v>
      </c>
      <c r="C75" s="22"/>
      <c r="D75" s="22">
        <v>1</v>
      </c>
      <c r="E75" s="22">
        <f t="shared" si="3"/>
        <v>1</v>
      </c>
      <c r="F75" s="22"/>
      <c r="G75" s="22"/>
      <c r="J75" s="19" t="s">
        <v>84</v>
      </c>
      <c r="K75" s="16">
        <v>1</v>
      </c>
      <c r="L75" s="16">
        <v>1</v>
      </c>
      <c r="M75" s="16">
        <f t="shared" si="4"/>
        <v>2</v>
      </c>
      <c r="N75" s="22"/>
      <c r="O75" s="18"/>
      <c r="R75" s="14" t="s">
        <v>84</v>
      </c>
      <c r="S75" s="2"/>
      <c r="T75" s="2"/>
      <c r="U75" s="22">
        <f t="shared" si="5"/>
        <v>0</v>
      </c>
      <c r="V75" s="22"/>
      <c r="W75" s="5"/>
      <c r="X75" s="22"/>
      <c r="Y75" s="5"/>
    </row>
    <row r="76" spans="2:25" x14ac:dyDescent="0.25">
      <c r="B76" s="19" t="s">
        <v>85</v>
      </c>
      <c r="C76" s="22"/>
      <c r="D76" s="22"/>
      <c r="E76" s="22">
        <f t="shared" si="3"/>
        <v>0</v>
      </c>
      <c r="F76" s="22"/>
      <c r="G76" s="22"/>
      <c r="J76" s="19" t="s">
        <v>85</v>
      </c>
      <c r="K76" s="16"/>
      <c r="L76" s="16"/>
      <c r="M76" s="16">
        <f t="shared" si="4"/>
        <v>0</v>
      </c>
      <c r="N76" s="22"/>
      <c r="O76" s="18"/>
      <c r="R76" s="14" t="s">
        <v>85</v>
      </c>
      <c r="S76" s="2"/>
      <c r="T76" s="2"/>
      <c r="U76" s="22">
        <f t="shared" si="5"/>
        <v>0</v>
      </c>
      <c r="V76" s="22"/>
      <c r="W76" s="5"/>
      <c r="X76" s="22"/>
      <c r="Y76" s="5"/>
    </row>
    <row r="77" spans="2:25" x14ac:dyDescent="0.25">
      <c r="B77" s="19" t="s">
        <v>86</v>
      </c>
      <c r="C77" s="22"/>
      <c r="D77" s="22">
        <v>1</v>
      </c>
      <c r="E77" s="22">
        <f t="shared" si="3"/>
        <v>1</v>
      </c>
      <c r="F77" s="22"/>
      <c r="G77" s="22"/>
      <c r="J77" s="19" t="s">
        <v>86</v>
      </c>
      <c r="K77" s="16">
        <v>1</v>
      </c>
      <c r="L77" s="16">
        <v>1</v>
      </c>
      <c r="M77" s="16">
        <f t="shared" si="4"/>
        <v>2</v>
      </c>
      <c r="N77" s="22"/>
      <c r="O77" s="18"/>
      <c r="R77" s="14" t="s">
        <v>86</v>
      </c>
      <c r="S77" s="2"/>
      <c r="T77" s="2"/>
      <c r="U77" s="22">
        <f t="shared" si="5"/>
        <v>0</v>
      </c>
      <c r="V77" s="22"/>
      <c r="W77" s="5"/>
      <c r="X77" s="22"/>
      <c r="Y77" s="5"/>
    </row>
    <row r="78" spans="2:25" x14ac:dyDescent="0.25">
      <c r="B78" s="19" t="s">
        <v>87</v>
      </c>
      <c r="C78" s="22"/>
      <c r="D78" s="22">
        <v>1</v>
      </c>
      <c r="E78" s="22">
        <f t="shared" si="3"/>
        <v>1</v>
      </c>
      <c r="F78" s="22"/>
      <c r="G78" s="22"/>
      <c r="J78" s="19" t="s">
        <v>87</v>
      </c>
      <c r="K78" s="16"/>
      <c r="L78" s="16">
        <v>1</v>
      </c>
      <c r="M78" s="16">
        <f t="shared" si="4"/>
        <v>1</v>
      </c>
      <c r="N78" s="22"/>
      <c r="O78" s="18"/>
      <c r="R78" s="14" t="s">
        <v>87</v>
      </c>
      <c r="S78" s="2"/>
      <c r="T78" s="2"/>
      <c r="U78" s="22">
        <f t="shared" si="5"/>
        <v>0</v>
      </c>
      <c r="V78" s="22"/>
      <c r="W78" s="5"/>
      <c r="X78" s="22"/>
      <c r="Y78" s="5"/>
    </row>
    <row r="79" spans="2:25" x14ac:dyDescent="0.25">
      <c r="B79" s="19" t="s">
        <v>88</v>
      </c>
      <c r="C79" s="22"/>
      <c r="D79" s="22"/>
      <c r="E79" s="22">
        <f t="shared" si="3"/>
        <v>0</v>
      </c>
      <c r="F79" s="22"/>
      <c r="G79" s="22"/>
      <c r="J79" s="19" t="s">
        <v>88</v>
      </c>
      <c r="K79" s="16"/>
      <c r="L79" s="16"/>
      <c r="M79" s="16">
        <f t="shared" si="4"/>
        <v>0</v>
      </c>
      <c r="N79" s="22"/>
      <c r="O79" s="18"/>
      <c r="R79" s="14" t="s">
        <v>88</v>
      </c>
      <c r="S79" s="2"/>
      <c r="T79" s="2"/>
      <c r="U79" s="22">
        <f t="shared" si="5"/>
        <v>0</v>
      </c>
      <c r="V79" s="22"/>
      <c r="W79" s="5"/>
      <c r="X79" s="22"/>
      <c r="Y79" s="5"/>
    </row>
    <row r="80" spans="2:25" x14ac:dyDescent="0.25">
      <c r="B80" s="19" t="s">
        <v>89</v>
      </c>
      <c r="C80" s="22"/>
      <c r="D80" s="22"/>
      <c r="E80" s="22">
        <f t="shared" si="3"/>
        <v>0</v>
      </c>
      <c r="F80" s="22"/>
      <c r="G80" s="22"/>
      <c r="J80" s="19" t="s">
        <v>89</v>
      </c>
      <c r="K80" s="16"/>
      <c r="L80" s="16"/>
      <c r="M80" s="16">
        <f t="shared" si="4"/>
        <v>0</v>
      </c>
      <c r="N80" s="22"/>
      <c r="O80" s="18"/>
      <c r="R80" s="14" t="s">
        <v>89</v>
      </c>
      <c r="S80" s="2"/>
      <c r="T80" s="2"/>
      <c r="U80" s="22">
        <f t="shared" si="5"/>
        <v>0</v>
      </c>
      <c r="V80" s="22"/>
      <c r="W80" s="5"/>
      <c r="X80" s="22"/>
      <c r="Y80" s="5"/>
    </row>
    <row r="81" spans="2:25" x14ac:dyDescent="0.25">
      <c r="B81" s="19" t="s">
        <v>90</v>
      </c>
      <c r="C81" s="22"/>
      <c r="D81" s="22">
        <v>1</v>
      </c>
      <c r="E81" s="22">
        <f t="shared" si="3"/>
        <v>1</v>
      </c>
      <c r="F81" s="22"/>
      <c r="G81" s="22"/>
      <c r="J81" s="19" t="s">
        <v>90</v>
      </c>
      <c r="K81" s="16">
        <v>1</v>
      </c>
      <c r="L81" s="16">
        <v>1</v>
      </c>
      <c r="M81" s="16">
        <f t="shared" si="4"/>
        <v>2</v>
      </c>
      <c r="N81" s="22"/>
      <c r="O81" s="18"/>
      <c r="R81" s="14" t="s">
        <v>90</v>
      </c>
      <c r="S81" s="2"/>
      <c r="T81" s="2"/>
      <c r="U81" s="22">
        <f t="shared" si="5"/>
        <v>0</v>
      </c>
      <c r="V81" s="22"/>
      <c r="W81" s="5"/>
      <c r="X81" s="22">
        <v>1</v>
      </c>
      <c r="Y81" s="5" t="s">
        <v>257</v>
      </c>
    </row>
    <row r="82" spans="2:25" x14ac:dyDescent="0.25">
      <c r="B82" s="19" t="s">
        <v>91</v>
      </c>
      <c r="C82" s="22">
        <v>1</v>
      </c>
      <c r="D82" s="22">
        <v>3</v>
      </c>
      <c r="E82" s="22">
        <f t="shared" si="3"/>
        <v>4</v>
      </c>
      <c r="F82" s="22"/>
      <c r="G82" s="22"/>
      <c r="J82" s="19" t="s">
        <v>91</v>
      </c>
      <c r="K82" s="16"/>
      <c r="L82" s="16">
        <v>4</v>
      </c>
      <c r="M82" s="16">
        <f t="shared" si="4"/>
        <v>4</v>
      </c>
      <c r="N82" s="22"/>
      <c r="O82" s="18"/>
      <c r="R82" s="14" t="s">
        <v>91</v>
      </c>
      <c r="S82" s="2"/>
      <c r="T82" s="2"/>
      <c r="U82" s="22">
        <f t="shared" si="5"/>
        <v>0</v>
      </c>
      <c r="V82" s="22"/>
      <c r="W82" s="5"/>
      <c r="X82" s="22"/>
      <c r="Y82" s="5"/>
    </row>
    <row r="83" spans="2:25" x14ac:dyDescent="0.25">
      <c r="B83" s="19" t="s">
        <v>92</v>
      </c>
      <c r="C83" s="22"/>
      <c r="D83" s="22">
        <v>1</v>
      </c>
      <c r="E83" s="22">
        <f t="shared" si="3"/>
        <v>1</v>
      </c>
      <c r="F83" s="22"/>
      <c r="G83" s="22"/>
      <c r="J83" s="19" t="s">
        <v>92</v>
      </c>
      <c r="K83" s="16">
        <v>1</v>
      </c>
      <c r="L83" s="16">
        <v>1</v>
      </c>
      <c r="M83" s="16">
        <f t="shared" si="4"/>
        <v>2</v>
      </c>
      <c r="N83" s="22"/>
      <c r="O83" s="18"/>
      <c r="R83" s="14" t="s">
        <v>92</v>
      </c>
      <c r="T83" s="2"/>
      <c r="U83" s="22">
        <f t="shared" si="5"/>
        <v>0</v>
      </c>
      <c r="V83" s="22"/>
      <c r="W83" s="5"/>
      <c r="X83" s="22"/>
      <c r="Y83" s="5"/>
    </row>
    <row r="84" spans="2:25" x14ac:dyDescent="0.25">
      <c r="B84" s="19" t="s">
        <v>93</v>
      </c>
      <c r="C84" s="22">
        <v>2</v>
      </c>
      <c r="D84" s="22">
        <v>4</v>
      </c>
      <c r="E84" s="22">
        <f t="shared" si="3"/>
        <v>6</v>
      </c>
      <c r="F84" s="22">
        <v>1</v>
      </c>
      <c r="G84" s="27" t="s">
        <v>216</v>
      </c>
      <c r="J84" s="19" t="s">
        <v>93</v>
      </c>
      <c r="K84" s="16">
        <v>2</v>
      </c>
      <c r="L84" s="16">
        <v>4</v>
      </c>
      <c r="M84" s="16">
        <f t="shared" si="4"/>
        <v>6</v>
      </c>
      <c r="N84" s="22"/>
      <c r="O84" s="18"/>
      <c r="R84" s="14" t="s">
        <v>93</v>
      </c>
      <c r="S84" s="2"/>
      <c r="T84" s="2"/>
      <c r="U84" s="22">
        <f>SUM(S84:T84)</f>
        <v>0</v>
      </c>
      <c r="V84" s="22"/>
      <c r="W84" s="5"/>
      <c r="X84" s="22">
        <v>1</v>
      </c>
      <c r="Y84" s="5" t="s">
        <v>259</v>
      </c>
    </row>
    <row r="85" spans="2:25" x14ac:dyDescent="0.25">
      <c r="B85" s="19" t="s">
        <v>94</v>
      </c>
      <c r="C85" s="22"/>
      <c r="D85" s="22">
        <v>3</v>
      </c>
      <c r="E85" s="22">
        <f t="shared" si="3"/>
        <v>3</v>
      </c>
      <c r="F85" s="22"/>
      <c r="G85" s="22"/>
      <c r="J85" s="19" t="s">
        <v>94</v>
      </c>
      <c r="K85" s="16"/>
      <c r="L85" s="16">
        <v>3</v>
      </c>
      <c r="M85" s="16">
        <f t="shared" si="4"/>
        <v>3</v>
      </c>
      <c r="N85" s="22"/>
      <c r="O85" s="18"/>
      <c r="R85" s="14" t="s">
        <v>94</v>
      </c>
      <c r="S85" s="2"/>
      <c r="T85" s="2"/>
      <c r="U85" s="22">
        <f t="shared" si="5"/>
        <v>0</v>
      </c>
      <c r="V85" s="22"/>
      <c r="W85" s="5"/>
      <c r="X85" s="22"/>
      <c r="Y85" s="5"/>
    </row>
    <row r="86" spans="2:25" x14ac:dyDescent="0.25">
      <c r="B86" s="19" t="s">
        <v>95</v>
      </c>
      <c r="C86" s="22"/>
      <c r="D86" s="22"/>
      <c r="E86" s="22">
        <f t="shared" si="3"/>
        <v>0</v>
      </c>
      <c r="F86" s="22"/>
      <c r="G86" s="22"/>
      <c r="J86" s="19" t="s">
        <v>95</v>
      </c>
      <c r="K86" s="16"/>
      <c r="L86" s="16"/>
      <c r="M86" s="16">
        <f t="shared" si="4"/>
        <v>0</v>
      </c>
      <c r="N86" s="22"/>
      <c r="O86" s="18"/>
      <c r="R86" s="14" t="s">
        <v>95</v>
      </c>
      <c r="S86" s="2"/>
      <c r="T86" s="2"/>
      <c r="U86" s="22">
        <f t="shared" si="5"/>
        <v>0</v>
      </c>
      <c r="V86" s="22"/>
      <c r="W86" s="5"/>
      <c r="X86" s="22"/>
      <c r="Y86" s="5"/>
    </row>
    <row r="87" spans="2:25" x14ac:dyDescent="0.25">
      <c r="B87" s="19" t="s">
        <v>96</v>
      </c>
      <c r="C87" s="22"/>
      <c r="D87" s="22">
        <v>1</v>
      </c>
      <c r="E87" s="22">
        <f t="shared" si="3"/>
        <v>1</v>
      </c>
      <c r="F87" s="22"/>
      <c r="G87" s="22"/>
      <c r="J87" s="19" t="s">
        <v>96</v>
      </c>
      <c r="K87" s="16"/>
      <c r="L87" s="16">
        <v>1</v>
      </c>
      <c r="M87" s="16">
        <f t="shared" si="4"/>
        <v>1</v>
      </c>
      <c r="N87" s="22"/>
      <c r="O87" s="18"/>
      <c r="R87" s="14" t="s">
        <v>96</v>
      </c>
      <c r="S87" s="2"/>
      <c r="T87" s="2"/>
      <c r="U87" s="22">
        <f t="shared" si="5"/>
        <v>0</v>
      </c>
      <c r="V87" s="22"/>
      <c r="W87" s="5"/>
      <c r="X87" s="22"/>
      <c r="Y87" s="5"/>
    </row>
    <row r="88" spans="2:25" x14ac:dyDescent="0.25">
      <c r="B88" s="19" t="s">
        <v>97</v>
      </c>
      <c r="C88" s="22"/>
      <c r="D88" s="22"/>
      <c r="E88" s="22">
        <f t="shared" si="3"/>
        <v>0</v>
      </c>
      <c r="F88" s="22"/>
      <c r="G88" s="22"/>
      <c r="J88" s="19" t="s">
        <v>97</v>
      </c>
      <c r="K88" s="16"/>
      <c r="L88" s="16"/>
      <c r="M88" s="16">
        <f t="shared" si="4"/>
        <v>0</v>
      </c>
      <c r="N88" s="22"/>
      <c r="O88" s="18"/>
      <c r="R88" s="14" t="s">
        <v>97</v>
      </c>
      <c r="S88" s="2"/>
      <c r="T88" s="2"/>
      <c r="U88" s="22">
        <f t="shared" si="5"/>
        <v>0</v>
      </c>
      <c r="V88" s="22"/>
      <c r="W88" s="5"/>
      <c r="X88" s="22"/>
      <c r="Y88" s="5"/>
    </row>
    <row r="89" spans="2:25" x14ac:dyDescent="0.25">
      <c r="B89" s="19" t="s">
        <v>98</v>
      </c>
      <c r="C89" s="22"/>
      <c r="D89" s="22"/>
      <c r="E89" s="22">
        <f t="shared" si="3"/>
        <v>0</v>
      </c>
      <c r="F89" s="22"/>
      <c r="G89" s="22"/>
      <c r="J89" s="19" t="s">
        <v>98</v>
      </c>
      <c r="K89" s="16"/>
      <c r="L89" s="16"/>
      <c r="M89" s="16">
        <f t="shared" si="4"/>
        <v>0</v>
      </c>
      <c r="N89" s="22"/>
      <c r="O89" s="18"/>
      <c r="R89" s="14" t="s">
        <v>98</v>
      </c>
      <c r="S89" s="2"/>
      <c r="T89" s="2"/>
      <c r="U89" s="22">
        <f t="shared" si="5"/>
        <v>0</v>
      </c>
      <c r="V89" s="22"/>
      <c r="W89" s="5"/>
      <c r="X89" s="22"/>
      <c r="Y89" s="5"/>
    </row>
    <row r="90" spans="2:25" x14ac:dyDescent="0.25">
      <c r="B90" s="19" t="s">
        <v>99</v>
      </c>
      <c r="C90" s="22"/>
      <c r="D90" s="22"/>
      <c r="E90" s="22">
        <f t="shared" si="3"/>
        <v>0</v>
      </c>
      <c r="F90" s="22"/>
      <c r="G90" s="22"/>
      <c r="J90" s="19" t="s">
        <v>99</v>
      </c>
      <c r="K90" s="16"/>
      <c r="L90" s="16"/>
      <c r="M90" s="16">
        <f t="shared" si="4"/>
        <v>0</v>
      </c>
      <c r="N90" s="22"/>
      <c r="O90" s="18"/>
      <c r="R90" s="14" t="s">
        <v>99</v>
      </c>
      <c r="S90" s="2"/>
      <c r="T90" s="2"/>
      <c r="U90" s="22">
        <f t="shared" si="5"/>
        <v>0</v>
      </c>
      <c r="V90" s="22"/>
      <c r="W90" s="5"/>
      <c r="X90" s="22"/>
      <c r="Y90" s="5"/>
    </row>
    <row r="91" spans="2:25" x14ac:dyDescent="0.25">
      <c r="B91" s="19" t="s">
        <v>100</v>
      </c>
      <c r="C91" s="22"/>
      <c r="D91" s="22">
        <v>5</v>
      </c>
      <c r="E91" s="22">
        <f t="shared" si="3"/>
        <v>5</v>
      </c>
      <c r="F91" s="22"/>
      <c r="G91" s="22"/>
      <c r="J91" s="19" t="s">
        <v>100</v>
      </c>
      <c r="K91" s="16">
        <v>6</v>
      </c>
      <c r="L91" s="16">
        <v>6</v>
      </c>
      <c r="M91" s="16">
        <f t="shared" si="4"/>
        <v>12</v>
      </c>
      <c r="N91" s="22"/>
      <c r="O91" s="18"/>
      <c r="R91" s="14" t="s">
        <v>100</v>
      </c>
      <c r="S91" s="2"/>
      <c r="T91" s="2"/>
      <c r="U91" s="22">
        <f t="shared" si="5"/>
        <v>0</v>
      </c>
      <c r="V91" s="22"/>
      <c r="W91" s="5"/>
      <c r="X91" s="22"/>
      <c r="Y91" s="5"/>
    </row>
    <row r="92" spans="2:25" x14ac:dyDescent="0.25">
      <c r="B92" s="19" t="s">
        <v>101</v>
      </c>
      <c r="C92" s="22"/>
      <c r="D92" s="22"/>
      <c r="E92" s="22">
        <f t="shared" si="3"/>
        <v>0</v>
      </c>
      <c r="F92" s="22"/>
      <c r="G92" s="22"/>
      <c r="J92" s="19" t="s">
        <v>101</v>
      </c>
      <c r="K92" s="16"/>
      <c r="L92" s="16"/>
      <c r="M92" s="16">
        <f t="shared" si="4"/>
        <v>0</v>
      </c>
      <c r="N92" s="22"/>
      <c r="O92" s="18"/>
      <c r="R92" s="14" t="s">
        <v>101</v>
      </c>
      <c r="S92" s="2"/>
      <c r="T92" s="2"/>
      <c r="U92" s="22">
        <f t="shared" si="5"/>
        <v>0</v>
      </c>
      <c r="V92" s="22"/>
      <c r="W92" s="5"/>
      <c r="X92" s="22"/>
      <c r="Y92" s="5"/>
    </row>
    <row r="93" spans="2:25" x14ac:dyDescent="0.25">
      <c r="B93" s="19" t="s">
        <v>102</v>
      </c>
      <c r="C93" s="22"/>
      <c r="D93" s="22">
        <v>3</v>
      </c>
      <c r="E93" s="22">
        <f t="shared" si="3"/>
        <v>3</v>
      </c>
      <c r="F93" s="22">
        <v>1</v>
      </c>
      <c r="G93" s="27" t="s">
        <v>215</v>
      </c>
      <c r="J93" s="19" t="s">
        <v>102</v>
      </c>
      <c r="K93" s="16"/>
      <c r="L93" s="16">
        <v>3</v>
      </c>
      <c r="M93" s="16">
        <f t="shared" si="4"/>
        <v>3</v>
      </c>
      <c r="N93" s="22"/>
      <c r="O93" s="18"/>
      <c r="R93" s="14" t="s">
        <v>102</v>
      </c>
      <c r="S93" s="2"/>
      <c r="T93" s="2"/>
      <c r="U93" s="22">
        <f t="shared" si="5"/>
        <v>0</v>
      </c>
      <c r="V93" s="22"/>
      <c r="W93" s="5"/>
      <c r="X93" s="22"/>
      <c r="Y93" s="5"/>
    </row>
    <row r="94" spans="2:25" x14ac:dyDescent="0.25">
      <c r="B94" s="19" t="s">
        <v>103</v>
      </c>
      <c r="C94" s="22"/>
      <c r="D94" s="22"/>
      <c r="E94" s="22">
        <f t="shared" si="3"/>
        <v>0</v>
      </c>
      <c r="F94" s="22"/>
      <c r="G94" s="22"/>
      <c r="J94" s="19" t="s">
        <v>103</v>
      </c>
      <c r="K94" s="16"/>
      <c r="L94" s="16"/>
      <c r="M94" s="16">
        <f t="shared" si="4"/>
        <v>0</v>
      </c>
      <c r="N94" s="22"/>
      <c r="O94" s="18"/>
      <c r="R94" s="14" t="s">
        <v>103</v>
      </c>
      <c r="S94" s="2"/>
      <c r="T94" s="2"/>
      <c r="U94" s="22">
        <f t="shared" si="5"/>
        <v>0</v>
      </c>
      <c r="V94" s="22"/>
      <c r="W94" s="5"/>
      <c r="X94" s="22"/>
      <c r="Y94" s="5"/>
    </row>
    <row r="95" spans="2:25" x14ac:dyDescent="0.25">
      <c r="B95" s="19" t="s">
        <v>104</v>
      </c>
      <c r="C95" s="22"/>
      <c r="D95" s="22"/>
      <c r="E95" s="22">
        <f t="shared" si="3"/>
        <v>0</v>
      </c>
      <c r="F95" s="22"/>
      <c r="G95" s="22"/>
      <c r="J95" s="19" t="s">
        <v>104</v>
      </c>
      <c r="K95" s="16"/>
      <c r="L95" s="16"/>
      <c r="M95" s="16">
        <f t="shared" si="4"/>
        <v>0</v>
      </c>
      <c r="N95" s="22"/>
      <c r="O95" s="18"/>
      <c r="R95" s="14" t="s">
        <v>104</v>
      </c>
      <c r="S95" s="2"/>
      <c r="T95" s="2"/>
      <c r="U95" s="22">
        <f t="shared" si="5"/>
        <v>0</v>
      </c>
      <c r="V95" s="22"/>
      <c r="W95" s="5"/>
      <c r="X95" s="22"/>
      <c r="Y95" s="5"/>
    </row>
    <row r="96" spans="2:25" x14ac:dyDescent="0.25">
      <c r="B96" s="19" t="s">
        <v>105</v>
      </c>
      <c r="C96" s="22"/>
      <c r="D96" s="22"/>
      <c r="E96" s="22">
        <f t="shared" si="3"/>
        <v>0</v>
      </c>
      <c r="F96" s="22"/>
      <c r="G96" s="22"/>
      <c r="J96" s="19" t="s">
        <v>105</v>
      </c>
      <c r="K96" s="16"/>
      <c r="L96" s="16"/>
      <c r="M96" s="16">
        <f t="shared" si="4"/>
        <v>0</v>
      </c>
      <c r="N96" s="22"/>
      <c r="O96" s="18"/>
      <c r="R96" s="14" t="s">
        <v>105</v>
      </c>
      <c r="S96" s="2"/>
      <c r="T96" s="2"/>
      <c r="U96" s="22">
        <f t="shared" si="5"/>
        <v>0</v>
      </c>
      <c r="V96" s="22"/>
      <c r="W96" s="5"/>
      <c r="X96" s="22"/>
      <c r="Y96" s="5"/>
    </row>
    <row r="97" spans="2:25" x14ac:dyDescent="0.25">
      <c r="B97" s="19" t="s">
        <v>106</v>
      </c>
      <c r="C97" s="22"/>
      <c r="D97" s="22"/>
      <c r="E97" s="22">
        <f t="shared" si="3"/>
        <v>0</v>
      </c>
      <c r="F97" s="22"/>
      <c r="G97" s="22"/>
      <c r="J97" s="19" t="s">
        <v>106</v>
      </c>
      <c r="K97" s="16"/>
      <c r="L97" s="16"/>
      <c r="M97" s="16">
        <f t="shared" si="4"/>
        <v>0</v>
      </c>
      <c r="N97" s="22"/>
      <c r="O97" s="18"/>
      <c r="R97" s="14" t="s">
        <v>106</v>
      </c>
      <c r="S97" s="2"/>
      <c r="T97" s="2"/>
      <c r="U97" s="22">
        <f t="shared" si="5"/>
        <v>0</v>
      </c>
      <c r="V97" s="22"/>
      <c r="W97" s="5"/>
      <c r="X97" s="22"/>
      <c r="Y97" s="5"/>
    </row>
    <row r="98" spans="2:25" x14ac:dyDescent="0.25">
      <c r="B98" s="19" t="s">
        <v>107</v>
      </c>
      <c r="C98" s="22"/>
      <c r="D98" s="22"/>
      <c r="E98" s="22">
        <f t="shared" si="3"/>
        <v>0</v>
      </c>
      <c r="F98" s="22"/>
      <c r="G98" s="22"/>
      <c r="J98" s="19" t="s">
        <v>107</v>
      </c>
      <c r="K98" s="16"/>
      <c r="L98" s="16"/>
      <c r="M98" s="16">
        <f t="shared" si="4"/>
        <v>0</v>
      </c>
      <c r="N98" s="22"/>
      <c r="O98" s="18"/>
      <c r="R98" s="14" t="s">
        <v>107</v>
      </c>
      <c r="S98" s="2"/>
      <c r="T98" s="2"/>
      <c r="U98" s="22">
        <f t="shared" si="5"/>
        <v>0</v>
      </c>
      <c r="V98" s="22"/>
      <c r="W98" s="5"/>
      <c r="X98" s="22"/>
      <c r="Y98" s="5"/>
    </row>
    <row r="99" spans="2:25" x14ac:dyDescent="0.25">
      <c r="B99" s="19" t="s">
        <v>108</v>
      </c>
      <c r="C99" s="22"/>
      <c r="D99" s="22"/>
      <c r="E99" s="22">
        <f t="shared" si="3"/>
        <v>0</v>
      </c>
      <c r="F99" s="22"/>
      <c r="G99" s="22"/>
      <c r="J99" s="19" t="s">
        <v>108</v>
      </c>
      <c r="K99" s="16"/>
      <c r="L99" s="16"/>
      <c r="M99" s="16">
        <f t="shared" si="4"/>
        <v>0</v>
      </c>
      <c r="N99" s="22"/>
      <c r="O99" s="18"/>
      <c r="R99" s="14" t="s">
        <v>108</v>
      </c>
      <c r="S99" s="2"/>
      <c r="T99" s="2"/>
      <c r="U99" s="22">
        <f t="shared" si="5"/>
        <v>0</v>
      </c>
      <c r="V99" s="22"/>
      <c r="W99" s="5"/>
      <c r="X99" s="22"/>
      <c r="Y99" s="5"/>
    </row>
    <row r="100" spans="2:25" x14ac:dyDescent="0.25">
      <c r="B100" s="19" t="s">
        <v>109</v>
      </c>
      <c r="C100" s="22"/>
      <c r="D100" s="22"/>
      <c r="E100" s="22">
        <f t="shared" si="3"/>
        <v>0</v>
      </c>
      <c r="F100" s="22"/>
      <c r="G100" s="22"/>
      <c r="J100" s="19" t="s">
        <v>109</v>
      </c>
      <c r="K100" s="16"/>
      <c r="L100" s="16"/>
      <c r="M100" s="16">
        <f t="shared" si="4"/>
        <v>0</v>
      </c>
      <c r="N100" s="22"/>
      <c r="O100" s="18"/>
      <c r="R100" s="14" t="s">
        <v>109</v>
      </c>
      <c r="S100" s="2"/>
      <c r="T100" s="2"/>
      <c r="U100" s="22">
        <f t="shared" si="5"/>
        <v>0</v>
      </c>
      <c r="V100" s="22"/>
      <c r="W100" s="5"/>
      <c r="X100" s="22"/>
      <c r="Y100" s="5"/>
    </row>
    <row r="101" spans="2:25" ht="30" x14ac:dyDescent="0.25">
      <c r="B101" s="19" t="s">
        <v>110</v>
      </c>
      <c r="C101" s="22">
        <v>2</v>
      </c>
      <c r="D101" s="22">
        <v>7</v>
      </c>
      <c r="E101" s="22">
        <f t="shared" si="3"/>
        <v>9</v>
      </c>
      <c r="F101" s="22"/>
      <c r="G101" s="22"/>
      <c r="J101" s="19" t="s">
        <v>110</v>
      </c>
      <c r="K101" s="22">
        <v>2</v>
      </c>
      <c r="L101" s="22">
        <v>7</v>
      </c>
      <c r="M101" s="22">
        <f t="shared" si="4"/>
        <v>9</v>
      </c>
      <c r="N101" s="22"/>
      <c r="O101" s="18"/>
      <c r="R101" s="14" t="s">
        <v>110</v>
      </c>
      <c r="S101" s="2"/>
      <c r="T101" s="2"/>
      <c r="U101" s="22">
        <f t="shared" si="5"/>
        <v>0</v>
      </c>
      <c r="V101" s="22"/>
      <c r="W101" s="5"/>
      <c r="X101" s="22">
        <v>1</v>
      </c>
      <c r="Y101" s="18" t="s">
        <v>264</v>
      </c>
    </row>
    <row r="102" spans="2:25" x14ac:dyDescent="0.25">
      <c r="B102" s="19" t="s">
        <v>111</v>
      </c>
      <c r="C102" s="22"/>
      <c r="D102" s="22"/>
      <c r="E102" s="22">
        <f t="shared" si="3"/>
        <v>0</v>
      </c>
      <c r="F102" s="22"/>
      <c r="G102" s="22"/>
      <c r="J102" s="19" t="s">
        <v>111</v>
      </c>
      <c r="K102" s="16"/>
      <c r="L102" s="16"/>
      <c r="M102" s="16">
        <f t="shared" si="4"/>
        <v>0</v>
      </c>
      <c r="N102" s="22"/>
      <c r="O102" s="18"/>
      <c r="R102" s="14" t="s">
        <v>111</v>
      </c>
      <c r="S102" s="2"/>
      <c r="T102" s="2"/>
      <c r="U102" s="22">
        <f t="shared" si="5"/>
        <v>0</v>
      </c>
      <c r="V102" s="22"/>
      <c r="W102" s="5"/>
      <c r="X102" s="22"/>
      <c r="Y102" s="5"/>
    </row>
    <row r="103" spans="2:25" x14ac:dyDescent="0.25">
      <c r="B103" s="19" t="s">
        <v>112</v>
      </c>
      <c r="C103" s="22"/>
      <c r="D103" s="22">
        <v>4</v>
      </c>
      <c r="E103" s="22">
        <f t="shared" si="3"/>
        <v>4</v>
      </c>
      <c r="F103" s="22"/>
      <c r="G103" s="22"/>
      <c r="J103" s="19" t="s">
        <v>112</v>
      </c>
      <c r="K103" s="16"/>
      <c r="L103" s="16">
        <v>4</v>
      </c>
      <c r="M103" s="16">
        <f t="shared" si="4"/>
        <v>4</v>
      </c>
      <c r="N103" s="22"/>
      <c r="O103" s="18"/>
      <c r="R103" s="14" t="s">
        <v>112</v>
      </c>
      <c r="S103" s="2"/>
      <c r="T103" s="2"/>
      <c r="U103" s="22">
        <f t="shared" si="5"/>
        <v>0</v>
      </c>
      <c r="V103" s="22"/>
      <c r="W103" s="5"/>
      <c r="X103" s="22"/>
      <c r="Y103" s="5"/>
    </row>
    <row r="104" spans="2:25" x14ac:dyDescent="0.25">
      <c r="B104" s="19" t="s">
        <v>113</v>
      </c>
      <c r="C104" s="22"/>
      <c r="D104" s="22">
        <v>1</v>
      </c>
      <c r="E104" s="22">
        <f t="shared" si="3"/>
        <v>1</v>
      </c>
      <c r="F104" s="22"/>
      <c r="G104" s="22"/>
      <c r="J104" s="19" t="s">
        <v>113</v>
      </c>
      <c r="K104" s="16"/>
      <c r="L104" s="16">
        <v>1</v>
      </c>
      <c r="M104" s="16">
        <f t="shared" si="4"/>
        <v>1</v>
      </c>
      <c r="N104" s="22"/>
      <c r="O104" s="18"/>
      <c r="R104" s="14" t="s">
        <v>113</v>
      </c>
      <c r="S104" s="2"/>
      <c r="T104" s="2"/>
      <c r="U104" s="22">
        <f t="shared" si="5"/>
        <v>0</v>
      </c>
      <c r="V104" s="22"/>
      <c r="W104" s="5"/>
      <c r="X104" s="22"/>
      <c r="Y104" s="5"/>
    </row>
    <row r="105" spans="2:25" x14ac:dyDescent="0.25">
      <c r="B105" s="19" t="s">
        <v>114</v>
      </c>
      <c r="C105" s="22">
        <v>1</v>
      </c>
      <c r="D105" s="22"/>
      <c r="E105" s="22">
        <f t="shared" si="3"/>
        <v>1</v>
      </c>
      <c r="F105" s="22"/>
      <c r="G105" s="22"/>
      <c r="J105" s="19" t="s">
        <v>114</v>
      </c>
      <c r="K105" s="16">
        <v>1</v>
      </c>
      <c r="L105" s="16"/>
      <c r="M105" s="16">
        <f t="shared" si="4"/>
        <v>1</v>
      </c>
      <c r="N105" s="22"/>
      <c r="O105" s="18"/>
      <c r="R105" s="14" t="s">
        <v>114</v>
      </c>
      <c r="S105" s="2"/>
      <c r="T105" s="2"/>
      <c r="U105" s="22">
        <f t="shared" si="5"/>
        <v>0</v>
      </c>
      <c r="V105" s="22"/>
      <c r="W105" s="5"/>
      <c r="X105" s="22"/>
      <c r="Y105" s="5"/>
    </row>
    <row r="106" spans="2:25" x14ac:dyDescent="0.25">
      <c r="B106" s="19" t="s">
        <v>115</v>
      </c>
      <c r="C106" s="22"/>
      <c r="D106" s="22">
        <v>2</v>
      </c>
      <c r="E106" s="22">
        <f t="shared" si="3"/>
        <v>2</v>
      </c>
      <c r="F106" s="22"/>
      <c r="G106" s="22"/>
      <c r="J106" s="19" t="s">
        <v>115</v>
      </c>
      <c r="K106" s="16">
        <v>2</v>
      </c>
      <c r="L106" s="16">
        <v>2</v>
      </c>
      <c r="M106" s="16">
        <f t="shared" si="4"/>
        <v>4</v>
      </c>
      <c r="N106" s="22"/>
      <c r="O106" s="18"/>
      <c r="R106" s="14" t="s">
        <v>115</v>
      </c>
      <c r="S106" s="2"/>
      <c r="U106" s="22">
        <f>SUM(S106:S106)</f>
        <v>0</v>
      </c>
      <c r="V106" s="22"/>
      <c r="W106" s="5"/>
      <c r="X106" s="22"/>
      <c r="Y106" s="5"/>
    </row>
    <row r="107" spans="2:25" x14ac:dyDescent="0.25">
      <c r="B107" s="19" t="s">
        <v>116</v>
      </c>
      <c r="C107" s="22"/>
      <c r="D107" s="22"/>
      <c r="E107" s="22">
        <f t="shared" si="3"/>
        <v>0</v>
      </c>
      <c r="F107" s="22"/>
      <c r="G107" s="22"/>
      <c r="J107" s="19" t="s">
        <v>116</v>
      </c>
      <c r="K107" s="16"/>
      <c r="L107" s="16"/>
      <c r="M107" s="16">
        <f t="shared" si="4"/>
        <v>0</v>
      </c>
      <c r="N107" s="22"/>
      <c r="O107" s="18"/>
      <c r="R107" s="14" t="s">
        <v>116</v>
      </c>
      <c r="S107" s="2"/>
      <c r="T107" s="2"/>
      <c r="U107" s="22">
        <f t="shared" si="5"/>
        <v>0</v>
      </c>
      <c r="V107" s="22"/>
      <c r="W107" s="5"/>
      <c r="X107" s="22"/>
      <c r="Y107" s="5"/>
    </row>
    <row r="108" spans="2:25" x14ac:dyDescent="0.25">
      <c r="B108" s="19" t="s">
        <v>117</v>
      </c>
      <c r="C108" s="22"/>
      <c r="D108" s="22">
        <v>1</v>
      </c>
      <c r="E108" s="22">
        <f t="shared" si="3"/>
        <v>1</v>
      </c>
      <c r="F108" s="22"/>
      <c r="G108" s="22"/>
      <c r="J108" s="19" t="s">
        <v>117</v>
      </c>
      <c r="K108" s="16"/>
      <c r="L108" s="16">
        <v>1</v>
      </c>
      <c r="M108" s="16">
        <f t="shared" si="4"/>
        <v>1</v>
      </c>
      <c r="N108" s="22"/>
      <c r="O108" s="18"/>
      <c r="R108" s="14" t="s">
        <v>117</v>
      </c>
      <c r="S108" s="2"/>
      <c r="T108" s="2"/>
      <c r="U108" s="22">
        <f t="shared" si="5"/>
        <v>0</v>
      </c>
      <c r="V108" s="22"/>
      <c r="W108" s="5"/>
      <c r="X108" s="22"/>
      <c r="Y108" s="5"/>
    </row>
    <row r="109" spans="2:25" ht="45" x14ac:dyDescent="0.25">
      <c r="B109" s="19" t="s">
        <v>118</v>
      </c>
      <c r="C109" s="22">
        <v>1</v>
      </c>
      <c r="D109" s="22">
        <v>2</v>
      </c>
      <c r="E109" s="22">
        <f t="shared" si="3"/>
        <v>3</v>
      </c>
      <c r="F109" s="22">
        <v>1</v>
      </c>
      <c r="G109" s="28" t="s">
        <v>214</v>
      </c>
      <c r="J109" s="19" t="s">
        <v>118</v>
      </c>
      <c r="K109" s="22">
        <v>1</v>
      </c>
      <c r="L109" s="22">
        <v>2</v>
      </c>
      <c r="M109" s="22">
        <f t="shared" si="4"/>
        <v>3</v>
      </c>
      <c r="N109" s="22">
        <v>1</v>
      </c>
      <c r="O109" s="17" t="s">
        <v>233</v>
      </c>
      <c r="R109" s="14" t="s">
        <v>118</v>
      </c>
      <c r="S109" s="2"/>
      <c r="T109" s="2"/>
      <c r="U109" s="22">
        <f t="shared" si="5"/>
        <v>0</v>
      </c>
      <c r="V109" s="22">
        <v>1</v>
      </c>
      <c r="W109" s="5" t="s">
        <v>292</v>
      </c>
      <c r="X109" s="22">
        <v>1</v>
      </c>
      <c r="Y109" s="5" t="s">
        <v>251</v>
      </c>
    </row>
    <row r="110" spans="2:25" ht="30" x14ac:dyDescent="0.25">
      <c r="B110" s="19" t="s">
        <v>119</v>
      </c>
      <c r="C110" s="22">
        <v>1</v>
      </c>
      <c r="D110" s="22">
        <v>8</v>
      </c>
      <c r="E110" s="22">
        <f t="shared" si="3"/>
        <v>9</v>
      </c>
      <c r="F110" s="22">
        <v>1</v>
      </c>
      <c r="G110" s="27" t="s">
        <v>210</v>
      </c>
      <c r="J110" s="19" t="s">
        <v>119</v>
      </c>
      <c r="K110" s="22">
        <v>1</v>
      </c>
      <c r="L110" s="22">
        <v>8</v>
      </c>
      <c r="M110" s="22">
        <f t="shared" si="4"/>
        <v>9</v>
      </c>
      <c r="N110" s="22"/>
      <c r="O110" s="18"/>
      <c r="R110" s="14" t="s">
        <v>119</v>
      </c>
      <c r="S110" s="2"/>
      <c r="T110" s="2"/>
      <c r="U110" s="22">
        <f t="shared" si="5"/>
        <v>0</v>
      </c>
      <c r="V110" s="22">
        <v>1</v>
      </c>
      <c r="W110" s="5" t="s">
        <v>282</v>
      </c>
      <c r="X110" s="22"/>
      <c r="Y110" s="5"/>
    </row>
    <row r="111" spans="2:25" ht="30" x14ac:dyDescent="0.25">
      <c r="B111" s="19" t="s">
        <v>5</v>
      </c>
      <c r="C111" s="22">
        <v>3</v>
      </c>
      <c r="D111" s="22">
        <v>16</v>
      </c>
      <c r="E111" s="22">
        <f t="shared" si="3"/>
        <v>19</v>
      </c>
      <c r="F111" s="22">
        <v>1</v>
      </c>
      <c r="G111" s="28" t="s">
        <v>211</v>
      </c>
      <c r="J111" s="19" t="s">
        <v>5</v>
      </c>
      <c r="K111" s="22">
        <v>3</v>
      </c>
      <c r="L111" s="22">
        <v>15</v>
      </c>
      <c r="M111" s="22">
        <f t="shared" si="4"/>
        <v>18</v>
      </c>
      <c r="N111" s="22"/>
      <c r="O111" s="18"/>
      <c r="R111" s="14" t="s">
        <v>5</v>
      </c>
      <c r="S111" s="2"/>
      <c r="T111" s="2"/>
      <c r="U111" s="22">
        <f t="shared" si="5"/>
        <v>0</v>
      </c>
      <c r="V111" s="22">
        <v>1</v>
      </c>
      <c r="W111" s="5" t="s">
        <v>291</v>
      </c>
      <c r="X111" s="22">
        <v>3</v>
      </c>
      <c r="Y111" s="5" t="s">
        <v>275</v>
      </c>
    </row>
    <row r="112" spans="2:25" x14ac:dyDescent="0.25">
      <c r="B112" s="19" t="s">
        <v>120</v>
      </c>
      <c r="C112" s="22">
        <v>1</v>
      </c>
      <c r="D112" s="22">
        <v>1</v>
      </c>
      <c r="E112" s="22">
        <f t="shared" si="3"/>
        <v>2</v>
      </c>
      <c r="F112" s="22"/>
      <c r="G112" s="27"/>
      <c r="J112" s="19" t="s">
        <v>120</v>
      </c>
      <c r="K112" s="16">
        <v>1</v>
      </c>
      <c r="L112" s="16">
        <v>2</v>
      </c>
      <c r="M112" s="16">
        <f t="shared" si="4"/>
        <v>3</v>
      </c>
      <c r="N112" s="22"/>
      <c r="O112" s="18"/>
      <c r="R112" s="14" t="s">
        <v>120</v>
      </c>
      <c r="S112" s="2"/>
      <c r="T112" s="2"/>
      <c r="U112" s="22">
        <f t="shared" si="5"/>
        <v>0</v>
      </c>
      <c r="V112" s="22"/>
      <c r="W112" s="5"/>
      <c r="X112" s="22"/>
      <c r="Y112" s="5"/>
    </row>
    <row r="113" spans="2:25" x14ac:dyDescent="0.25">
      <c r="B113" s="19" t="s">
        <v>121</v>
      </c>
      <c r="C113" s="22"/>
      <c r="D113" s="22">
        <v>6</v>
      </c>
      <c r="E113" s="22">
        <f t="shared" si="3"/>
        <v>6</v>
      </c>
      <c r="F113" s="22"/>
      <c r="G113" s="22"/>
      <c r="J113" s="19" t="s">
        <v>121</v>
      </c>
      <c r="K113" s="16"/>
      <c r="L113" s="16">
        <v>6</v>
      </c>
      <c r="M113" s="16">
        <f t="shared" si="4"/>
        <v>6</v>
      </c>
      <c r="N113" s="22"/>
      <c r="O113" s="18"/>
      <c r="R113" s="14" t="s">
        <v>121</v>
      </c>
      <c r="S113" s="2"/>
      <c r="T113" s="2"/>
      <c r="U113" s="22">
        <f t="shared" si="5"/>
        <v>0</v>
      </c>
      <c r="V113" s="22"/>
      <c r="W113" s="5"/>
      <c r="X113" s="22"/>
      <c r="Y113" s="5"/>
    </row>
    <row r="114" spans="2:25" ht="30" x14ac:dyDescent="0.25">
      <c r="B114" s="19" t="s">
        <v>3</v>
      </c>
      <c r="C114" s="22">
        <v>2</v>
      </c>
      <c r="D114" s="22">
        <v>15</v>
      </c>
      <c r="E114" s="22">
        <f t="shared" si="3"/>
        <v>17</v>
      </c>
      <c r="F114" s="22">
        <v>1</v>
      </c>
      <c r="G114" s="28" t="s">
        <v>208</v>
      </c>
      <c r="J114" s="19" t="s">
        <v>3</v>
      </c>
      <c r="K114" s="22">
        <v>2</v>
      </c>
      <c r="L114" s="22">
        <v>15</v>
      </c>
      <c r="M114" s="22">
        <f t="shared" si="4"/>
        <v>17</v>
      </c>
      <c r="N114" s="22"/>
      <c r="O114" s="18"/>
      <c r="R114" s="14" t="s">
        <v>3</v>
      </c>
      <c r="S114" s="2"/>
      <c r="T114" s="2"/>
      <c r="U114" s="22">
        <f t="shared" si="5"/>
        <v>0</v>
      </c>
      <c r="V114" s="22">
        <v>1</v>
      </c>
      <c r="W114" s="5" t="s">
        <v>287</v>
      </c>
      <c r="X114" s="22">
        <v>1</v>
      </c>
      <c r="Y114" s="5" t="s">
        <v>250</v>
      </c>
    </row>
    <row r="115" spans="2:25" ht="75" x14ac:dyDescent="0.25">
      <c r="B115" s="19" t="s">
        <v>122</v>
      </c>
      <c r="C115" s="22">
        <v>1</v>
      </c>
      <c r="D115" s="22">
        <v>6</v>
      </c>
      <c r="E115" s="22">
        <f t="shared" si="3"/>
        <v>7</v>
      </c>
      <c r="F115" s="22">
        <v>4</v>
      </c>
      <c r="G115" s="28" t="s">
        <v>209</v>
      </c>
      <c r="J115" s="19" t="s">
        <v>122</v>
      </c>
      <c r="K115" s="22">
        <v>1</v>
      </c>
      <c r="L115" s="22">
        <v>7</v>
      </c>
      <c r="M115" s="22">
        <f t="shared" si="4"/>
        <v>8</v>
      </c>
      <c r="N115" s="22">
        <v>1</v>
      </c>
      <c r="O115" s="17" t="s">
        <v>234</v>
      </c>
      <c r="R115" s="14" t="s">
        <v>122</v>
      </c>
      <c r="S115" s="2"/>
      <c r="T115" s="2"/>
      <c r="U115" s="22">
        <f t="shared" si="5"/>
        <v>0</v>
      </c>
      <c r="V115" s="22">
        <v>4</v>
      </c>
      <c r="W115" s="5" t="s">
        <v>288</v>
      </c>
      <c r="Y115" s="5"/>
    </row>
    <row r="116" spans="2:25" x14ac:dyDescent="0.25">
      <c r="B116" s="19" t="s">
        <v>123</v>
      </c>
      <c r="C116" s="22">
        <v>2</v>
      </c>
      <c r="D116" s="22">
        <v>2</v>
      </c>
      <c r="E116" s="22">
        <f t="shared" si="3"/>
        <v>4</v>
      </c>
      <c r="F116" s="22"/>
      <c r="G116" s="22"/>
      <c r="J116" s="19" t="s">
        <v>123</v>
      </c>
      <c r="K116" s="16">
        <v>2</v>
      </c>
      <c r="L116" s="16">
        <v>2</v>
      </c>
      <c r="M116" s="16">
        <f t="shared" si="4"/>
        <v>4</v>
      </c>
      <c r="N116" s="22"/>
      <c r="O116" s="18"/>
      <c r="R116" s="14" t="s">
        <v>123</v>
      </c>
      <c r="S116" s="2"/>
      <c r="T116" s="2"/>
      <c r="U116" s="22">
        <f t="shared" si="5"/>
        <v>0</v>
      </c>
      <c r="V116" s="22"/>
      <c r="W116" s="5"/>
      <c r="X116" s="22">
        <v>1</v>
      </c>
      <c r="Y116" s="5" t="s">
        <v>266</v>
      </c>
    </row>
    <row r="117" spans="2:25" ht="30" x14ac:dyDescent="0.25">
      <c r="B117" s="19" t="s">
        <v>124</v>
      </c>
      <c r="C117" s="22"/>
      <c r="D117" s="22">
        <v>10</v>
      </c>
      <c r="E117" s="22">
        <f t="shared" si="3"/>
        <v>10</v>
      </c>
      <c r="F117" s="22">
        <v>1</v>
      </c>
      <c r="G117" s="27" t="s">
        <v>213</v>
      </c>
      <c r="J117" s="19" t="s">
        <v>124</v>
      </c>
      <c r="K117" s="22">
        <v>10</v>
      </c>
      <c r="L117" s="22">
        <v>10</v>
      </c>
      <c r="M117" s="22">
        <f t="shared" si="4"/>
        <v>20</v>
      </c>
      <c r="N117" s="22"/>
      <c r="O117" s="18"/>
      <c r="R117" s="14" t="s">
        <v>124</v>
      </c>
      <c r="S117" s="2"/>
      <c r="T117" s="2"/>
      <c r="U117" s="22">
        <f t="shared" si="5"/>
        <v>0</v>
      </c>
      <c r="V117" s="22">
        <v>1</v>
      </c>
      <c r="W117" s="5" t="s">
        <v>285</v>
      </c>
      <c r="X117" s="22"/>
      <c r="Y117" s="5"/>
    </row>
    <row r="118" spans="2:25" ht="30" x14ac:dyDescent="0.25">
      <c r="B118" s="19" t="s">
        <v>125</v>
      </c>
      <c r="C118" s="22">
        <v>1</v>
      </c>
      <c r="D118" s="22">
        <v>5</v>
      </c>
      <c r="E118" s="22">
        <f t="shared" si="3"/>
        <v>6</v>
      </c>
      <c r="F118" s="22"/>
      <c r="G118" s="22"/>
      <c r="J118" s="19" t="s">
        <v>125</v>
      </c>
      <c r="K118" s="22">
        <v>2</v>
      </c>
      <c r="L118" s="22">
        <v>6</v>
      </c>
      <c r="M118" s="22">
        <f t="shared" si="4"/>
        <v>8</v>
      </c>
      <c r="N118" s="22"/>
      <c r="O118" s="18"/>
      <c r="R118" s="14" t="s">
        <v>125</v>
      </c>
      <c r="S118" s="2"/>
      <c r="T118" s="2"/>
      <c r="U118" s="22">
        <f t="shared" si="5"/>
        <v>0</v>
      </c>
      <c r="V118" s="22">
        <v>1</v>
      </c>
      <c r="W118" s="5" t="s">
        <v>293</v>
      </c>
      <c r="X118" s="22"/>
      <c r="Y118" s="5"/>
    </row>
    <row r="119" spans="2:25" ht="45" x14ac:dyDescent="0.25">
      <c r="B119" s="19" t="s">
        <v>126</v>
      </c>
      <c r="C119" s="22"/>
      <c r="D119" s="22">
        <v>7</v>
      </c>
      <c r="E119" s="22">
        <f t="shared" si="3"/>
        <v>7</v>
      </c>
      <c r="F119" s="22">
        <v>1</v>
      </c>
      <c r="G119" s="27" t="s">
        <v>212</v>
      </c>
      <c r="J119" s="19" t="s">
        <v>126</v>
      </c>
      <c r="K119" s="22">
        <v>7</v>
      </c>
      <c r="L119" s="22">
        <v>7</v>
      </c>
      <c r="M119" s="22">
        <f t="shared" si="4"/>
        <v>14</v>
      </c>
      <c r="N119" s="22">
        <v>1</v>
      </c>
      <c r="O119" s="17" t="s">
        <v>235</v>
      </c>
      <c r="R119" s="14" t="s">
        <v>126</v>
      </c>
      <c r="S119" s="2"/>
      <c r="T119" s="2"/>
      <c r="U119" s="22">
        <f t="shared" si="5"/>
        <v>0</v>
      </c>
      <c r="V119" s="22">
        <v>1</v>
      </c>
      <c r="W119" s="5" t="s">
        <v>280</v>
      </c>
      <c r="X119" s="22"/>
      <c r="Y119" s="5"/>
    </row>
    <row r="120" spans="2:25" x14ac:dyDescent="0.25">
      <c r="B120" s="19" t="s">
        <v>127</v>
      </c>
      <c r="C120" s="22"/>
      <c r="D120" s="22">
        <v>4</v>
      </c>
      <c r="E120" s="22">
        <f t="shared" si="3"/>
        <v>4</v>
      </c>
      <c r="F120" s="22"/>
      <c r="G120" s="22"/>
      <c r="J120" s="19" t="s">
        <v>127</v>
      </c>
      <c r="K120" s="16">
        <v>4</v>
      </c>
      <c r="L120" s="16">
        <v>4</v>
      </c>
      <c r="M120" s="16">
        <f t="shared" si="4"/>
        <v>8</v>
      </c>
      <c r="N120" s="22"/>
      <c r="O120" s="18"/>
      <c r="R120" s="14" t="s">
        <v>127</v>
      </c>
      <c r="S120" s="2"/>
      <c r="T120" s="2"/>
      <c r="U120" s="22">
        <f t="shared" si="5"/>
        <v>0</v>
      </c>
      <c r="V120" s="22"/>
      <c r="W120" s="5"/>
      <c r="X120" s="22"/>
      <c r="Y120" s="5"/>
    </row>
    <row r="121" spans="2:25" x14ac:dyDescent="0.25">
      <c r="B121" s="19" t="s">
        <v>7</v>
      </c>
      <c r="C121" s="22"/>
      <c r="D121" s="22">
        <v>15</v>
      </c>
      <c r="E121" s="22">
        <f t="shared" si="3"/>
        <v>15</v>
      </c>
      <c r="F121" s="22"/>
      <c r="G121" s="22"/>
      <c r="J121" s="19" t="s">
        <v>7</v>
      </c>
      <c r="K121" s="16">
        <v>15</v>
      </c>
      <c r="L121" s="16">
        <v>15</v>
      </c>
      <c r="M121" s="16">
        <f t="shared" si="4"/>
        <v>30</v>
      </c>
      <c r="N121" s="22">
        <v>1</v>
      </c>
      <c r="O121" s="17" t="s">
        <v>236</v>
      </c>
      <c r="R121" s="14" t="s">
        <v>7</v>
      </c>
      <c r="S121" s="2"/>
      <c r="T121" s="2"/>
      <c r="U121" s="22">
        <f t="shared" si="5"/>
        <v>0</v>
      </c>
      <c r="V121" s="22"/>
      <c r="W121" s="5"/>
      <c r="X121" s="22">
        <v>1</v>
      </c>
      <c r="Y121" s="5" t="s">
        <v>265</v>
      </c>
    </row>
    <row r="122" spans="2:25" x14ac:dyDescent="0.25">
      <c r="B122" s="19" t="s">
        <v>13</v>
      </c>
      <c r="C122" s="22">
        <v>1</v>
      </c>
      <c r="D122" s="22">
        <v>17</v>
      </c>
      <c r="E122" s="22">
        <f t="shared" si="3"/>
        <v>18</v>
      </c>
      <c r="F122" s="22"/>
      <c r="G122" s="22"/>
      <c r="J122" s="19" t="s">
        <v>13</v>
      </c>
      <c r="K122" s="16">
        <v>1</v>
      </c>
      <c r="L122" s="16">
        <v>17</v>
      </c>
      <c r="M122" s="16">
        <f t="shared" si="4"/>
        <v>18</v>
      </c>
      <c r="N122" s="22"/>
      <c r="O122" s="18"/>
      <c r="R122" s="14" t="s">
        <v>13</v>
      </c>
      <c r="S122" s="2"/>
      <c r="T122" s="2"/>
      <c r="U122" s="22">
        <f t="shared" si="5"/>
        <v>0</v>
      </c>
      <c r="V122" s="22"/>
      <c r="W122" s="5"/>
      <c r="X122" s="22">
        <v>1</v>
      </c>
      <c r="Y122" s="5" t="s">
        <v>263</v>
      </c>
    </row>
    <row r="123" spans="2:25" x14ac:dyDescent="0.25">
      <c r="B123" s="19" t="s">
        <v>128</v>
      </c>
      <c r="C123" s="22"/>
      <c r="D123" s="22">
        <v>4</v>
      </c>
      <c r="E123" s="22">
        <f t="shared" si="3"/>
        <v>4</v>
      </c>
      <c r="F123" s="22"/>
      <c r="G123" s="22"/>
      <c r="J123" s="19" t="s">
        <v>128</v>
      </c>
      <c r="K123" s="16">
        <v>1</v>
      </c>
      <c r="L123" s="16">
        <v>4</v>
      </c>
      <c r="M123" s="16">
        <f t="shared" si="4"/>
        <v>5</v>
      </c>
      <c r="N123" s="22"/>
      <c r="O123" s="18"/>
      <c r="R123" s="14" t="s">
        <v>128</v>
      </c>
      <c r="S123" s="2"/>
      <c r="T123" s="2"/>
      <c r="U123" s="22">
        <f t="shared" si="5"/>
        <v>0</v>
      </c>
      <c r="V123" s="22"/>
      <c r="W123" s="5"/>
      <c r="X123" s="22"/>
      <c r="Y123" s="5"/>
    </row>
    <row r="124" spans="2:25" ht="30" x14ac:dyDescent="0.25">
      <c r="B124" s="19" t="s">
        <v>129</v>
      </c>
      <c r="C124" s="22"/>
      <c r="D124" s="22">
        <v>8</v>
      </c>
      <c r="E124" s="22">
        <f t="shared" si="3"/>
        <v>8</v>
      </c>
      <c r="F124" s="22"/>
      <c r="G124" s="22"/>
      <c r="J124" s="19" t="s">
        <v>129</v>
      </c>
      <c r="K124" s="22"/>
      <c r="L124" s="22">
        <v>9</v>
      </c>
      <c r="M124" s="22">
        <f t="shared" si="4"/>
        <v>9</v>
      </c>
      <c r="N124" s="22"/>
      <c r="O124" s="18"/>
      <c r="R124" s="14" t="s">
        <v>129</v>
      </c>
      <c r="S124" s="2"/>
      <c r="T124" s="2"/>
      <c r="U124" s="22">
        <f t="shared" si="5"/>
        <v>0</v>
      </c>
      <c r="V124" s="22">
        <v>1</v>
      </c>
      <c r="W124" s="5" t="s">
        <v>283</v>
      </c>
      <c r="X124" s="22"/>
      <c r="Y124" s="5"/>
    </row>
    <row r="125" spans="2:25" x14ac:dyDescent="0.25">
      <c r="B125" s="19" t="s">
        <v>130</v>
      </c>
      <c r="C125" s="22"/>
      <c r="D125" s="22">
        <v>3</v>
      </c>
      <c r="E125" s="22">
        <f t="shared" si="3"/>
        <v>3</v>
      </c>
      <c r="F125" s="22"/>
      <c r="G125" s="22"/>
      <c r="J125" s="19" t="s">
        <v>130</v>
      </c>
      <c r="K125" s="22"/>
      <c r="L125" s="22">
        <v>2</v>
      </c>
      <c r="M125" s="22">
        <f t="shared" si="4"/>
        <v>2</v>
      </c>
      <c r="N125" s="22"/>
      <c r="O125" s="18"/>
      <c r="R125" s="14" t="s">
        <v>130</v>
      </c>
      <c r="S125" s="2"/>
      <c r="T125" s="2"/>
      <c r="U125" s="22">
        <f t="shared" si="5"/>
        <v>0</v>
      </c>
      <c r="V125" s="22">
        <v>1</v>
      </c>
      <c r="W125" s="5" t="s">
        <v>302</v>
      </c>
      <c r="X125" s="22"/>
      <c r="Y125" s="5"/>
    </row>
    <row r="126" spans="2:25" ht="60" x14ac:dyDescent="0.25">
      <c r="B126" s="19" t="s">
        <v>131</v>
      </c>
      <c r="C126" s="22">
        <v>1</v>
      </c>
      <c r="D126" s="22">
        <v>2</v>
      </c>
      <c r="E126" s="22">
        <f t="shared" si="3"/>
        <v>3</v>
      </c>
      <c r="F126" s="22">
        <v>1</v>
      </c>
      <c r="G126" s="27" t="s">
        <v>207</v>
      </c>
      <c r="J126" s="19" t="s">
        <v>131</v>
      </c>
      <c r="K126" s="22">
        <v>1</v>
      </c>
      <c r="L126" s="22">
        <v>2</v>
      </c>
      <c r="M126" s="22">
        <f t="shared" si="4"/>
        <v>3</v>
      </c>
      <c r="N126" s="22">
        <v>1</v>
      </c>
      <c r="O126" s="17" t="s">
        <v>237</v>
      </c>
      <c r="R126" s="14" t="s">
        <v>131</v>
      </c>
      <c r="S126" s="2"/>
      <c r="T126" s="2"/>
      <c r="U126" s="22">
        <f t="shared" si="5"/>
        <v>0</v>
      </c>
      <c r="V126" s="22">
        <v>2</v>
      </c>
      <c r="W126" s="5" t="s">
        <v>289</v>
      </c>
      <c r="X126" s="22">
        <v>2</v>
      </c>
      <c r="Y126" s="5" t="s">
        <v>276</v>
      </c>
    </row>
    <row r="127" spans="2:25" x14ac:dyDescent="0.25">
      <c r="B127" s="19" t="s">
        <v>132</v>
      </c>
      <c r="C127" s="22"/>
      <c r="D127" s="22"/>
      <c r="E127" s="22">
        <f t="shared" si="3"/>
        <v>0</v>
      </c>
      <c r="F127" s="22"/>
      <c r="G127" s="22"/>
      <c r="J127" s="19" t="s">
        <v>132</v>
      </c>
      <c r="K127" s="16"/>
      <c r="L127" s="16"/>
      <c r="M127" s="16">
        <f t="shared" si="4"/>
        <v>0</v>
      </c>
      <c r="N127" s="22"/>
      <c r="O127" s="18"/>
      <c r="R127" s="14" t="s">
        <v>132</v>
      </c>
      <c r="S127" s="2"/>
      <c r="T127" s="2"/>
      <c r="U127" s="22">
        <f t="shared" si="5"/>
        <v>0</v>
      </c>
      <c r="V127" s="22"/>
      <c r="W127" s="5"/>
      <c r="X127" s="22"/>
      <c r="Y127" s="5"/>
    </row>
    <row r="128" spans="2:25" x14ac:dyDescent="0.25">
      <c r="B128" s="19" t="s">
        <v>133</v>
      </c>
      <c r="C128" s="22"/>
      <c r="D128" s="22">
        <v>3</v>
      </c>
      <c r="E128" s="22">
        <f t="shared" si="3"/>
        <v>3</v>
      </c>
      <c r="F128" s="22"/>
      <c r="G128" s="22"/>
      <c r="J128" s="19" t="s">
        <v>133</v>
      </c>
      <c r="K128" s="16">
        <v>4</v>
      </c>
      <c r="L128" s="16">
        <v>4</v>
      </c>
      <c r="M128" s="16">
        <f t="shared" si="4"/>
        <v>8</v>
      </c>
      <c r="N128" s="22"/>
      <c r="O128" s="18"/>
      <c r="R128" s="14" t="s">
        <v>133</v>
      </c>
      <c r="S128" s="2"/>
      <c r="T128" s="2"/>
      <c r="U128" s="22">
        <f t="shared" si="5"/>
        <v>0</v>
      </c>
      <c r="V128" s="22"/>
      <c r="W128" s="5"/>
      <c r="X128" s="22"/>
      <c r="Y128" s="5"/>
    </row>
    <row r="129" spans="2:25" x14ac:dyDescent="0.25">
      <c r="B129" s="19" t="s">
        <v>134</v>
      </c>
      <c r="C129" s="22"/>
      <c r="D129" s="22">
        <v>3</v>
      </c>
      <c r="E129" s="22">
        <f t="shared" si="3"/>
        <v>3</v>
      </c>
      <c r="F129" s="22"/>
      <c r="G129" s="22"/>
      <c r="J129" s="19" t="s">
        <v>134</v>
      </c>
      <c r="K129" s="16"/>
      <c r="L129" s="16">
        <v>3</v>
      </c>
      <c r="M129" s="16">
        <f t="shared" si="4"/>
        <v>3</v>
      </c>
      <c r="N129" s="22"/>
      <c r="O129" s="18"/>
      <c r="R129" s="14" t="s">
        <v>134</v>
      </c>
      <c r="S129" s="2"/>
      <c r="T129" s="2"/>
      <c r="U129" s="22">
        <f t="shared" si="5"/>
        <v>0</v>
      </c>
      <c r="V129" s="22"/>
      <c r="W129" s="5"/>
      <c r="X129" s="22"/>
      <c r="Y129" s="5"/>
    </row>
    <row r="130" spans="2:25" x14ac:dyDescent="0.25">
      <c r="B130" s="19" t="s">
        <v>135</v>
      </c>
      <c r="C130" s="22"/>
      <c r="D130" s="22"/>
      <c r="E130" s="22">
        <f t="shared" si="3"/>
        <v>0</v>
      </c>
      <c r="F130" s="22"/>
      <c r="G130" s="22"/>
      <c r="J130" s="19" t="s">
        <v>135</v>
      </c>
      <c r="K130" s="16"/>
      <c r="L130" s="16"/>
      <c r="M130" s="16">
        <f t="shared" si="4"/>
        <v>0</v>
      </c>
      <c r="N130" s="22"/>
      <c r="O130" s="18"/>
      <c r="R130" s="14" t="s">
        <v>135</v>
      </c>
      <c r="S130" s="2"/>
      <c r="T130" s="2"/>
      <c r="U130" s="22">
        <f t="shared" si="5"/>
        <v>0</v>
      </c>
      <c r="V130" s="22"/>
      <c r="W130" s="5"/>
      <c r="X130" s="22"/>
      <c r="Y130" s="5"/>
    </row>
    <row r="131" spans="2:25" x14ac:dyDescent="0.25">
      <c r="B131" s="19" t="s">
        <v>2</v>
      </c>
      <c r="C131" s="22">
        <v>2</v>
      </c>
      <c r="D131" s="22">
        <v>11</v>
      </c>
      <c r="E131" s="22">
        <f t="shared" si="3"/>
        <v>13</v>
      </c>
      <c r="F131" s="22"/>
      <c r="G131" s="22"/>
      <c r="J131" s="19" t="s">
        <v>2</v>
      </c>
      <c r="K131" s="16">
        <v>2</v>
      </c>
      <c r="L131" s="16">
        <v>12</v>
      </c>
      <c r="M131" s="16">
        <f t="shared" si="4"/>
        <v>14</v>
      </c>
      <c r="N131" s="22"/>
      <c r="O131" s="18"/>
      <c r="R131" s="14" t="s">
        <v>2</v>
      </c>
      <c r="S131" s="2"/>
      <c r="T131" s="2"/>
      <c r="U131" s="22">
        <f t="shared" si="5"/>
        <v>0</v>
      </c>
      <c r="V131" s="22"/>
      <c r="W131" s="5"/>
      <c r="X131" s="22"/>
      <c r="Y131" s="5"/>
    </row>
    <row r="132" spans="2:25" x14ac:dyDescent="0.25">
      <c r="B132" s="19" t="s">
        <v>136</v>
      </c>
      <c r="C132" s="22"/>
      <c r="D132" s="22"/>
      <c r="E132" s="22">
        <f t="shared" si="3"/>
        <v>0</v>
      </c>
      <c r="F132" s="22"/>
      <c r="G132" s="22"/>
      <c r="J132" s="19" t="s">
        <v>136</v>
      </c>
      <c r="K132" s="16"/>
      <c r="L132" s="16"/>
      <c r="M132" s="16">
        <f t="shared" si="4"/>
        <v>0</v>
      </c>
      <c r="N132" s="22"/>
      <c r="O132" s="18"/>
      <c r="R132" s="14" t="s">
        <v>136</v>
      </c>
      <c r="S132" s="2"/>
      <c r="T132" s="2"/>
      <c r="U132" s="22">
        <f t="shared" si="5"/>
        <v>0</v>
      </c>
      <c r="V132" s="22"/>
      <c r="W132" s="5"/>
      <c r="X132" s="22"/>
      <c r="Y132" s="5"/>
    </row>
    <row r="133" spans="2:25" x14ac:dyDescent="0.25">
      <c r="B133" s="19" t="s">
        <v>137</v>
      </c>
      <c r="C133" s="22"/>
      <c r="D133" s="22">
        <v>3</v>
      </c>
      <c r="E133" s="22">
        <f t="shared" ref="E133:E185" si="6">SUM(C133:D133)</f>
        <v>3</v>
      </c>
      <c r="F133" s="22"/>
      <c r="G133" s="22"/>
      <c r="J133" s="19" t="s">
        <v>137</v>
      </c>
      <c r="K133" s="16">
        <v>3</v>
      </c>
      <c r="L133" s="16">
        <v>3</v>
      </c>
      <c r="M133" s="16">
        <f t="shared" ref="M133:M185" si="7">SUM(K133:L133)</f>
        <v>6</v>
      </c>
      <c r="N133" s="22"/>
      <c r="O133" s="18"/>
      <c r="R133" s="14" t="s">
        <v>137</v>
      </c>
      <c r="S133" s="2"/>
      <c r="T133" s="2"/>
      <c r="U133" s="22">
        <f t="shared" si="5"/>
        <v>0</v>
      </c>
      <c r="V133" s="22"/>
      <c r="W133" s="5"/>
      <c r="X133" s="22">
        <v>1</v>
      </c>
      <c r="Y133" s="5" t="s">
        <v>255</v>
      </c>
    </row>
    <row r="134" spans="2:25" x14ac:dyDescent="0.25">
      <c r="B134" s="19" t="s">
        <v>9</v>
      </c>
      <c r="C134" s="22">
        <v>1</v>
      </c>
      <c r="D134" s="22">
        <v>8</v>
      </c>
      <c r="E134" s="22">
        <f t="shared" si="6"/>
        <v>9</v>
      </c>
      <c r="F134" s="22"/>
      <c r="G134" s="22"/>
      <c r="J134" s="19" t="s">
        <v>9</v>
      </c>
      <c r="K134" s="16">
        <v>1</v>
      </c>
      <c r="L134" s="16">
        <v>8</v>
      </c>
      <c r="M134" s="16">
        <f t="shared" si="7"/>
        <v>9</v>
      </c>
      <c r="N134" s="22"/>
      <c r="O134" s="18"/>
      <c r="R134" s="14" t="s">
        <v>9</v>
      </c>
      <c r="S134" s="2"/>
      <c r="T134" s="2"/>
      <c r="U134" s="22">
        <f t="shared" ref="U134:U136" si="8">SUM(S134:T134)</f>
        <v>0</v>
      </c>
      <c r="V134" s="22"/>
      <c r="W134" s="5"/>
      <c r="X134" s="22"/>
      <c r="Y134" s="5"/>
    </row>
    <row r="135" spans="2:25" x14ac:dyDescent="0.25">
      <c r="B135" s="19" t="s">
        <v>138</v>
      </c>
      <c r="C135" s="22">
        <v>1</v>
      </c>
      <c r="D135" s="22">
        <v>8</v>
      </c>
      <c r="E135" s="22">
        <f t="shared" si="6"/>
        <v>9</v>
      </c>
      <c r="F135" s="22"/>
      <c r="G135" s="22"/>
      <c r="J135" s="19" t="s">
        <v>138</v>
      </c>
      <c r="K135" s="16">
        <v>2</v>
      </c>
      <c r="L135" s="16">
        <v>8</v>
      </c>
      <c r="M135" s="16">
        <f t="shared" si="7"/>
        <v>10</v>
      </c>
      <c r="N135" s="22">
        <v>1</v>
      </c>
      <c r="O135" s="17" t="s">
        <v>238</v>
      </c>
      <c r="R135" s="14" t="s">
        <v>138</v>
      </c>
      <c r="S135" s="2"/>
      <c r="T135" s="2"/>
      <c r="U135" s="22">
        <f t="shared" si="8"/>
        <v>0</v>
      </c>
      <c r="V135" s="22"/>
      <c r="W135" s="5"/>
      <c r="X135" s="22"/>
      <c r="Y135" s="5"/>
    </row>
    <row r="136" spans="2:25" x14ac:dyDescent="0.25">
      <c r="B136" s="19" t="s">
        <v>139</v>
      </c>
      <c r="C136" s="22"/>
      <c r="D136" s="22">
        <v>2</v>
      </c>
      <c r="E136" s="22">
        <f t="shared" si="6"/>
        <v>2</v>
      </c>
      <c r="F136" s="22"/>
      <c r="G136" s="22"/>
      <c r="J136" s="19" t="s">
        <v>139</v>
      </c>
      <c r="K136" s="16">
        <v>2</v>
      </c>
      <c r="L136" s="16">
        <v>2</v>
      </c>
      <c r="M136" s="16">
        <f t="shared" si="7"/>
        <v>4</v>
      </c>
      <c r="N136" s="22"/>
      <c r="O136" s="18"/>
      <c r="R136" s="14" t="s">
        <v>139</v>
      </c>
      <c r="S136" s="2"/>
      <c r="T136" s="2"/>
      <c r="U136" s="22">
        <f t="shared" si="8"/>
        <v>0</v>
      </c>
      <c r="V136" s="22"/>
      <c r="W136" s="5"/>
      <c r="X136" s="22"/>
      <c r="Y136" s="5"/>
    </row>
    <row r="137" spans="2:25" ht="30" x14ac:dyDescent="0.25">
      <c r="B137" s="19" t="s">
        <v>140</v>
      </c>
      <c r="C137" s="22">
        <v>1</v>
      </c>
      <c r="D137" s="22">
        <v>10</v>
      </c>
      <c r="E137" s="22">
        <f t="shared" si="6"/>
        <v>11</v>
      </c>
      <c r="F137" s="22">
        <v>1</v>
      </c>
      <c r="G137" s="28" t="s">
        <v>206</v>
      </c>
      <c r="J137" s="19" t="s">
        <v>140</v>
      </c>
      <c r="K137" s="22">
        <v>2</v>
      </c>
      <c r="L137" s="22">
        <v>10</v>
      </c>
      <c r="M137" s="22">
        <f>SUM((K137:L137))</f>
        <v>12</v>
      </c>
      <c r="N137" s="22">
        <v>2</v>
      </c>
      <c r="O137" s="17" t="s">
        <v>239</v>
      </c>
      <c r="R137" s="14" t="s">
        <v>140</v>
      </c>
      <c r="S137" s="2"/>
      <c r="T137" s="2"/>
      <c r="U137" s="22">
        <f>SUM((S137:T137))</f>
        <v>0</v>
      </c>
      <c r="V137" s="22">
        <v>1</v>
      </c>
      <c r="W137" s="5" t="s">
        <v>303</v>
      </c>
      <c r="X137" s="22"/>
      <c r="Y137" s="5"/>
    </row>
    <row r="138" spans="2:25" ht="27" x14ac:dyDescent="0.25">
      <c r="B138" s="19" t="s">
        <v>141</v>
      </c>
      <c r="C138" s="22">
        <v>1</v>
      </c>
      <c r="D138" s="22">
        <v>8</v>
      </c>
      <c r="E138" s="22">
        <f t="shared" si="6"/>
        <v>9</v>
      </c>
      <c r="F138" s="22">
        <v>3</v>
      </c>
      <c r="G138" s="28" t="s">
        <v>205</v>
      </c>
      <c r="J138" s="19" t="s">
        <v>141</v>
      </c>
      <c r="K138" s="22">
        <v>1</v>
      </c>
      <c r="L138" s="22">
        <v>6</v>
      </c>
      <c r="M138" s="22">
        <f t="shared" si="7"/>
        <v>7</v>
      </c>
      <c r="N138" s="22"/>
      <c r="O138" s="18"/>
      <c r="R138" s="14" t="s">
        <v>141</v>
      </c>
      <c r="S138" s="2"/>
      <c r="T138" s="2"/>
      <c r="U138" s="22">
        <f t="shared" ref="U138:U185" si="9">SUM(S138:T138)</f>
        <v>0</v>
      </c>
      <c r="V138" s="22">
        <v>1</v>
      </c>
      <c r="W138" s="5" t="s">
        <v>284</v>
      </c>
      <c r="X138" s="22"/>
      <c r="Y138" s="5"/>
    </row>
    <row r="139" spans="2:25" ht="45" x14ac:dyDescent="0.25">
      <c r="B139" s="19" t="s">
        <v>142</v>
      </c>
      <c r="C139" s="22">
        <v>1</v>
      </c>
      <c r="D139" s="22">
        <v>9</v>
      </c>
      <c r="E139" s="22">
        <f t="shared" si="6"/>
        <v>10</v>
      </c>
      <c r="F139" s="22"/>
      <c r="G139" s="27"/>
      <c r="J139" s="19" t="s">
        <v>142</v>
      </c>
      <c r="K139" s="22"/>
      <c r="L139" s="22">
        <v>8</v>
      </c>
      <c r="M139" s="22">
        <f t="shared" si="7"/>
        <v>8</v>
      </c>
      <c r="N139" s="22"/>
      <c r="O139" s="18"/>
      <c r="R139" s="14" t="s">
        <v>142</v>
      </c>
      <c r="S139" s="2"/>
      <c r="T139" s="2"/>
      <c r="U139" s="22">
        <f t="shared" si="9"/>
        <v>0</v>
      </c>
      <c r="V139" s="22">
        <v>2</v>
      </c>
      <c r="W139" s="5" t="s">
        <v>297</v>
      </c>
      <c r="X139" s="22">
        <v>1</v>
      </c>
      <c r="Y139" s="5" t="s">
        <v>254</v>
      </c>
    </row>
    <row r="140" spans="2:25" x14ac:dyDescent="0.25">
      <c r="B140" s="19" t="s">
        <v>143</v>
      </c>
      <c r="C140" s="22">
        <v>1</v>
      </c>
      <c r="D140" s="22">
        <v>3</v>
      </c>
      <c r="E140" s="22">
        <f t="shared" si="6"/>
        <v>4</v>
      </c>
      <c r="F140" s="22"/>
      <c r="G140" s="27"/>
      <c r="J140" s="19" t="s">
        <v>143</v>
      </c>
      <c r="K140" s="22">
        <v>1</v>
      </c>
      <c r="L140" s="22">
        <v>5</v>
      </c>
      <c r="M140" s="22">
        <f t="shared" si="7"/>
        <v>6</v>
      </c>
      <c r="N140" s="22"/>
      <c r="O140" s="18"/>
      <c r="R140" s="14" t="s">
        <v>143</v>
      </c>
      <c r="S140" s="2"/>
      <c r="T140" s="2"/>
      <c r="U140" s="22">
        <f t="shared" si="9"/>
        <v>0</v>
      </c>
      <c r="V140" s="22"/>
      <c r="W140" s="5"/>
      <c r="X140" s="22"/>
      <c r="Y140" s="5"/>
    </row>
    <row r="141" spans="2:25" x14ac:dyDescent="0.25">
      <c r="B141" s="19" t="s">
        <v>144</v>
      </c>
      <c r="C141" s="22"/>
      <c r="D141" s="22"/>
      <c r="E141" s="22">
        <f t="shared" si="6"/>
        <v>0</v>
      </c>
      <c r="F141" s="22"/>
      <c r="G141" s="27"/>
      <c r="J141" s="19" t="s">
        <v>144</v>
      </c>
      <c r="K141" s="22"/>
      <c r="L141" s="22"/>
      <c r="M141" s="22">
        <f t="shared" si="7"/>
        <v>0</v>
      </c>
      <c r="N141" s="22"/>
      <c r="O141" s="18"/>
      <c r="R141" s="14" t="s">
        <v>144</v>
      </c>
      <c r="S141" s="2"/>
      <c r="T141" s="2"/>
      <c r="U141" s="22">
        <f t="shared" si="9"/>
        <v>0</v>
      </c>
      <c r="V141" s="22"/>
      <c r="W141" s="5"/>
      <c r="X141" s="22"/>
      <c r="Y141" s="5"/>
    </row>
    <row r="142" spans="2:25" x14ac:dyDescent="0.25">
      <c r="B142" s="19" t="s">
        <v>145</v>
      </c>
      <c r="C142" s="22"/>
      <c r="D142" s="22">
        <v>3</v>
      </c>
      <c r="E142" s="22">
        <f t="shared" si="6"/>
        <v>3</v>
      </c>
      <c r="F142" s="22"/>
      <c r="G142" s="27"/>
      <c r="J142" s="19" t="s">
        <v>145</v>
      </c>
      <c r="K142" s="22">
        <v>2</v>
      </c>
      <c r="L142" s="22">
        <v>3</v>
      </c>
      <c r="M142" s="22">
        <f t="shared" si="7"/>
        <v>5</v>
      </c>
      <c r="N142" s="22"/>
      <c r="O142" s="18"/>
      <c r="R142" s="14" t="s">
        <v>145</v>
      </c>
      <c r="S142" s="2"/>
      <c r="T142" s="2"/>
      <c r="U142" s="22">
        <f t="shared" si="9"/>
        <v>0</v>
      </c>
      <c r="V142" s="22"/>
      <c r="W142" s="5"/>
      <c r="X142" s="22"/>
      <c r="Y142" s="5"/>
    </row>
    <row r="143" spans="2:25" ht="45" x14ac:dyDescent="0.25">
      <c r="B143" s="19" t="s">
        <v>146</v>
      </c>
      <c r="C143" s="22">
        <v>6</v>
      </c>
      <c r="D143" s="22">
        <v>23</v>
      </c>
      <c r="E143" s="22">
        <f t="shared" si="6"/>
        <v>29</v>
      </c>
      <c r="F143" s="22">
        <v>2</v>
      </c>
      <c r="G143" s="28" t="s">
        <v>305</v>
      </c>
      <c r="J143" s="19" t="s">
        <v>146</v>
      </c>
      <c r="K143" s="22">
        <v>6</v>
      </c>
      <c r="L143" s="22">
        <v>22</v>
      </c>
      <c r="M143" s="22">
        <f t="shared" si="7"/>
        <v>28</v>
      </c>
      <c r="N143" s="22">
        <v>2</v>
      </c>
      <c r="O143" s="17" t="s">
        <v>240</v>
      </c>
      <c r="R143" s="14" t="s">
        <v>146</v>
      </c>
      <c r="S143" s="2"/>
      <c r="T143" s="2"/>
      <c r="U143" s="22">
        <f t="shared" si="9"/>
        <v>0</v>
      </c>
      <c r="V143" s="22"/>
      <c r="W143" s="5"/>
      <c r="X143" s="22">
        <v>4</v>
      </c>
      <c r="Y143" s="5" t="s">
        <v>277</v>
      </c>
    </row>
    <row r="144" spans="2:25" ht="18" x14ac:dyDescent="0.25">
      <c r="B144" s="19" t="s">
        <v>8</v>
      </c>
      <c r="C144" s="22">
        <v>1</v>
      </c>
      <c r="D144" s="22">
        <v>16</v>
      </c>
      <c r="E144" s="22">
        <f t="shared" si="6"/>
        <v>17</v>
      </c>
      <c r="F144" s="22"/>
      <c r="G144" s="22"/>
      <c r="J144" s="19" t="s">
        <v>8</v>
      </c>
      <c r="K144" s="22">
        <v>1</v>
      </c>
      <c r="L144" s="22">
        <v>16</v>
      </c>
      <c r="M144" s="22">
        <f t="shared" si="7"/>
        <v>17</v>
      </c>
      <c r="N144" s="22">
        <v>1</v>
      </c>
      <c r="O144" s="17" t="s">
        <v>241</v>
      </c>
      <c r="R144" s="14" t="s">
        <v>8</v>
      </c>
      <c r="S144" s="2"/>
      <c r="T144" s="2"/>
      <c r="U144" s="22">
        <f t="shared" si="9"/>
        <v>0</v>
      </c>
      <c r="V144" s="22">
        <v>1</v>
      </c>
      <c r="W144" s="5" t="s">
        <v>301</v>
      </c>
      <c r="X144" s="22"/>
      <c r="Y144" s="5"/>
    </row>
    <row r="145" spans="2:25" x14ac:dyDescent="0.25">
      <c r="B145" s="19" t="s">
        <v>147</v>
      </c>
      <c r="C145" s="22"/>
      <c r="D145" s="22">
        <v>1</v>
      </c>
      <c r="E145" s="22">
        <f t="shared" si="6"/>
        <v>1</v>
      </c>
      <c r="F145" s="22"/>
      <c r="G145" s="22"/>
      <c r="J145" s="19" t="s">
        <v>147</v>
      </c>
      <c r="K145" s="22">
        <v>1</v>
      </c>
      <c r="L145" s="22">
        <v>1</v>
      </c>
      <c r="M145" s="22">
        <f t="shared" si="7"/>
        <v>2</v>
      </c>
      <c r="N145" s="22"/>
      <c r="O145" s="18"/>
      <c r="R145" s="14" t="s">
        <v>147</v>
      </c>
      <c r="S145" s="2"/>
      <c r="T145" s="2"/>
      <c r="U145" s="22">
        <f t="shared" si="9"/>
        <v>0</v>
      </c>
      <c r="V145" s="22"/>
      <c r="W145" s="5"/>
      <c r="X145" s="22"/>
      <c r="Y145" s="5"/>
    </row>
    <row r="146" spans="2:25" x14ac:dyDescent="0.25">
      <c r="B146" s="19" t="s">
        <v>148</v>
      </c>
      <c r="C146" s="22">
        <v>1</v>
      </c>
      <c r="D146" s="22">
        <v>5</v>
      </c>
      <c r="E146" s="22">
        <f t="shared" si="6"/>
        <v>6</v>
      </c>
      <c r="F146" s="22"/>
      <c r="G146" s="22"/>
      <c r="J146" s="19" t="s">
        <v>148</v>
      </c>
      <c r="K146" s="22">
        <v>1</v>
      </c>
      <c r="L146" s="22">
        <v>8</v>
      </c>
      <c r="M146" s="22">
        <f t="shared" si="7"/>
        <v>9</v>
      </c>
      <c r="N146" s="22"/>
      <c r="O146" s="18"/>
      <c r="R146" s="14" t="s">
        <v>148</v>
      </c>
      <c r="S146" s="2"/>
      <c r="T146" s="2"/>
      <c r="U146" s="22">
        <f t="shared" si="9"/>
        <v>0</v>
      </c>
      <c r="V146" s="22"/>
      <c r="W146" s="5"/>
      <c r="X146" s="22"/>
      <c r="Y146" s="5"/>
    </row>
    <row r="147" spans="2:25" x14ac:dyDescent="0.25">
      <c r="B147" s="19" t="s">
        <v>149</v>
      </c>
      <c r="C147" s="22"/>
      <c r="D147" s="22"/>
      <c r="E147" s="22">
        <f t="shared" si="6"/>
        <v>0</v>
      </c>
      <c r="F147" s="22"/>
      <c r="G147" s="22"/>
      <c r="J147" s="19" t="s">
        <v>149</v>
      </c>
      <c r="K147" s="22"/>
      <c r="L147" s="22"/>
      <c r="M147" s="22">
        <f t="shared" si="7"/>
        <v>0</v>
      </c>
      <c r="N147" s="22"/>
      <c r="O147" s="18"/>
      <c r="R147" s="14" t="s">
        <v>149</v>
      </c>
      <c r="S147" s="2"/>
      <c r="T147" s="2"/>
      <c r="U147" s="22">
        <f t="shared" si="9"/>
        <v>0</v>
      </c>
      <c r="V147" s="22"/>
      <c r="W147" s="5"/>
      <c r="X147" s="22"/>
      <c r="Y147" s="5"/>
    </row>
    <row r="148" spans="2:25" x14ac:dyDescent="0.25">
      <c r="B148" s="19" t="s">
        <v>150</v>
      </c>
      <c r="C148" s="22"/>
      <c r="D148" s="22">
        <v>1</v>
      </c>
      <c r="E148" s="22">
        <f t="shared" si="6"/>
        <v>1</v>
      </c>
      <c r="F148" s="22"/>
      <c r="G148" s="22"/>
      <c r="J148" s="19" t="s">
        <v>150</v>
      </c>
      <c r="K148" s="22">
        <v>1</v>
      </c>
      <c r="L148" s="22">
        <v>1</v>
      </c>
      <c r="M148" s="22">
        <f t="shared" si="7"/>
        <v>2</v>
      </c>
      <c r="N148" s="22"/>
      <c r="O148" s="18"/>
      <c r="R148" s="14" t="s">
        <v>150</v>
      </c>
      <c r="S148" s="2"/>
      <c r="T148" s="2"/>
      <c r="U148" s="22">
        <f t="shared" si="9"/>
        <v>0</v>
      </c>
      <c r="V148" s="22"/>
      <c r="W148" s="5"/>
      <c r="X148" s="22"/>
      <c r="Y148" s="5"/>
    </row>
    <row r="149" spans="2:25" x14ac:dyDescent="0.25">
      <c r="B149" s="19" t="s">
        <v>151</v>
      </c>
      <c r="C149" s="22">
        <v>1</v>
      </c>
      <c r="D149" s="22">
        <v>4</v>
      </c>
      <c r="E149" s="22">
        <f t="shared" si="6"/>
        <v>5</v>
      </c>
      <c r="F149" s="22"/>
      <c r="G149" s="22"/>
      <c r="J149" s="19" t="s">
        <v>151</v>
      </c>
      <c r="K149" s="22">
        <v>1</v>
      </c>
      <c r="L149" s="22">
        <v>4</v>
      </c>
      <c r="M149" s="22">
        <f t="shared" si="7"/>
        <v>5</v>
      </c>
      <c r="N149" s="22"/>
      <c r="O149" s="18"/>
      <c r="R149" s="14" t="s">
        <v>151</v>
      </c>
      <c r="S149" s="2"/>
      <c r="T149" s="2"/>
      <c r="U149" s="22">
        <f t="shared" si="9"/>
        <v>0</v>
      </c>
      <c r="V149" s="22"/>
      <c r="W149" s="5"/>
      <c r="X149" s="22"/>
      <c r="Y149" s="5"/>
    </row>
    <row r="150" spans="2:25" x14ac:dyDescent="0.25">
      <c r="B150" s="19" t="s">
        <v>152</v>
      </c>
      <c r="C150" s="22"/>
      <c r="D150" s="22"/>
      <c r="E150" s="22">
        <f t="shared" si="6"/>
        <v>0</v>
      </c>
      <c r="F150" s="22"/>
      <c r="G150" s="22"/>
      <c r="J150" s="19" t="s">
        <v>152</v>
      </c>
      <c r="K150" s="22"/>
      <c r="L150" s="22"/>
      <c r="M150" s="22">
        <f t="shared" si="7"/>
        <v>0</v>
      </c>
      <c r="N150" s="22"/>
      <c r="O150" s="18"/>
      <c r="R150" s="14" t="s">
        <v>152</v>
      </c>
      <c r="S150" s="2"/>
      <c r="T150" s="2"/>
      <c r="U150" s="22">
        <f t="shared" si="9"/>
        <v>0</v>
      </c>
      <c r="V150" s="22"/>
      <c r="W150" s="5"/>
      <c r="X150" s="22"/>
      <c r="Y150" s="5"/>
    </row>
    <row r="151" spans="2:25" x14ac:dyDescent="0.25">
      <c r="B151" s="19" t="s">
        <v>153</v>
      </c>
      <c r="C151" s="22">
        <v>1</v>
      </c>
      <c r="D151" s="22">
        <v>3</v>
      </c>
      <c r="E151" s="22">
        <f t="shared" si="6"/>
        <v>4</v>
      </c>
      <c r="F151" s="22"/>
      <c r="G151" s="22"/>
      <c r="J151" s="19" t="s">
        <v>153</v>
      </c>
      <c r="K151" s="22">
        <v>1</v>
      </c>
      <c r="L151" s="22">
        <v>3</v>
      </c>
      <c r="M151" s="22">
        <f t="shared" si="7"/>
        <v>4</v>
      </c>
      <c r="N151" s="22"/>
      <c r="O151" s="18"/>
      <c r="R151" s="14" t="s">
        <v>153</v>
      </c>
      <c r="S151" s="2"/>
      <c r="T151" s="2"/>
      <c r="U151" s="22">
        <f t="shared" si="9"/>
        <v>0</v>
      </c>
      <c r="V151" s="22"/>
      <c r="W151" s="5"/>
      <c r="X151" s="22"/>
      <c r="Y151" s="5"/>
    </row>
    <row r="152" spans="2:25" x14ac:dyDescent="0.25">
      <c r="B152" s="19" t="s">
        <v>154</v>
      </c>
      <c r="C152" s="22"/>
      <c r="D152" s="22">
        <v>1</v>
      </c>
      <c r="E152" s="22">
        <f t="shared" si="6"/>
        <v>1</v>
      </c>
      <c r="F152" s="22"/>
      <c r="G152" s="22"/>
      <c r="J152" s="19" t="s">
        <v>154</v>
      </c>
      <c r="K152" s="22">
        <v>1</v>
      </c>
      <c r="L152" s="22">
        <v>1</v>
      </c>
      <c r="M152" s="22">
        <f t="shared" si="7"/>
        <v>2</v>
      </c>
      <c r="N152" s="22"/>
      <c r="O152" s="18"/>
      <c r="R152" s="14" t="s">
        <v>154</v>
      </c>
      <c r="S152" s="2"/>
      <c r="T152" s="2"/>
      <c r="U152" s="22">
        <f t="shared" si="9"/>
        <v>0</v>
      </c>
      <c r="V152" s="22"/>
      <c r="W152" s="5"/>
      <c r="X152" s="22"/>
      <c r="Y152" s="5"/>
    </row>
    <row r="153" spans="2:25" x14ac:dyDescent="0.25">
      <c r="B153" s="19" t="s">
        <v>155</v>
      </c>
      <c r="C153" s="22"/>
      <c r="D153" s="22">
        <v>1</v>
      </c>
      <c r="E153" s="22">
        <f t="shared" si="6"/>
        <v>1</v>
      </c>
      <c r="F153" s="22"/>
      <c r="G153" s="22"/>
      <c r="J153" s="19" t="s">
        <v>155</v>
      </c>
      <c r="K153" s="22">
        <v>1</v>
      </c>
      <c r="L153" s="22">
        <v>1</v>
      </c>
      <c r="M153" s="22">
        <f t="shared" si="7"/>
        <v>2</v>
      </c>
      <c r="N153" s="22"/>
      <c r="O153" s="18"/>
      <c r="R153" s="14" t="s">
        <v>155</v>
      </c>
      <c r="S153" s="2"/>
      <c r="T153" s="2"/>
      <c r="U153" s="22">
        <f t="shared" si="9"/>
        <v>0</v>
      </c>
      <c r="V153" s="22"/>
      <c r="W153" s="5"/>
      <c r="X153" s="22"/>
      <c r="Y153" s="5"/>
    </row>
    <row r="154" spans="2:25" x14ac:dyDescent="0.25">
      <c r="B154" s="19" t="s">
        <v>156</v>
      </c>
      <c r="C154" s="22"/>
      <c r="D154" s="22"/>
      <c r="E154" s="22">
        <f t="shared" si="6"/>
        <v>0</v>
      </c>
      <c r="F154" s="22"/>
      <c r="G154" s="22"/>
      <c r="J154" s="19" t="s">
        <v>156</v>
      </c>
      <c r="K154" s="22"/>
      <c r="L154" s="22"/>
      <c r="M154" s="22">
        <f t="shared" si="7"/>
        <v>0</v>
      </c>
      <c r="N154" s="22"/>
      <c r="O154" s="18"/>
      <c r="R154" s="14" t="s">
        <v>156</v>
      </c>
      <c r="S154" s="2"/>
      <c r="T154" s="2"/>
      <c r="U154" s="22">
        <f t="shared" si="9"/>
        <v>0</v>
      </c>
      <c r="V154" s="22"/>
      <c r="W154" s="5"/>
      <c r="X154" s="22"/>
      <c r="Y154" s="5"/>
    </row>
    <row r="155" spans="2:25" x14ac:dyDescent="0.25">
      <c r="B155" s="19" t="s">
        <v>157</v>
      </c>
      <c r="C155" s="22"/>
      <c r="D155" s="22"/>
      <c r="E155" s="22">
        <f t="shared" si="6"/>
        <v>0</v>
      </c>
      <c r="F155" s="22"/>
      <c r="G155" s="22"/>
      <c r="J155" s="19" t="s">
        <v>157</v>
      </c>
      <c r="K155" s="22"/>
      <c r="L155" s="22"/>
      <c r="M155" s="22">
        <f t="shared" si="7"/>
        <v>0</v>
      </c>
      <c r="N155" s="22"/>
      <c r="O155" s="18"/>
      <c r="R155" s="14" t="s">
        <v>157</v>
      </c>
      <c r="S155" s="2"/>
      <c r="T155" s="2"/>
      <c r="U155" s="22">
        <f t="shared" si="9"/>
        <v>0</v>
      </c>
      <c r="V155" s="22"/>
      <c r="W155" s="5"/>
      <c r="X155" s="22"/>
      <c r="Y155" s="5"/>
    </row>
    <row r="156" spans="2:25" x14ac:dyDescent="0.25">
      <c r="B156" s="19" t="s">
        <v>158</v>
      </c>
      <c r="C156" s="22"/>
      <c r="D156" s="22">
        <v>1</v>
      </c>
      <c r="E156" s="22">
        <f t="shared" si="6"/>
        <v>1</v>
      </c>
      <c r="F156" s="22"/>
      <c r="G156" s="22"/>
      <c r="J156" s="19" t="s">
        <v>158</v>
      </c>
      <c r="K156" s="22">
        <v>1</v>
      </c>
      <c r="L156" s="22">
        <v>1</v>
      </c>
      <c r="M156" s="22">
        <f t="shared" si="7"/>
        <v>2</v>
      </c>
      <c r="N156" s="22"/>
      <c r="O156" s="18"/>
      <c r="R156" s="14" t="s">
        <v>158</v>
      </c>
      <c r="S156" s="2"/>
      <c r="T156" s="2"/>
      <c r="U156" s="22">
        <f t="shared" si="9"/>
        <v>0</v>
      </c>
      <c r="V156" s="22"/>
      <c r="W156" s="5"/>
      <c r="X156" s="22"/>
      <c r="Y156" s="5"/>
    </row>
    <row r="157" spans="2:25" x14ac:dyDescent="0.25">
      <c r="B157" s="19" t="s">
        <v>159</v>
      </c>
      <c r="C157" s="22"/>
      <c r="D157" s="22"/>
      <c r="E157" s="22">
        <f>SUM(C157:D157)</f>
        <v>0</v>
      </c>
      <c r="F157" s="22"/>
      <c r="G157" s="22"/>
      <c r="J157" s="19" t="s">
        <v>159</v>
      </c>
      <c r="K157" s="22"/>
      <c r="L157" s="22"/>
      <c r="M157" s="22">
        <f t="shared" si="7"/>
        <v>0</v>
      </c>
      <c r="N157" s="22"/>
      <c r="O157" s="18"/>
      <c r="R157" s="14" t="s">
        <v>159</v>
      </c>
      <c r="S157" s="2"/>
      <c r="T157" s="2"/>
      <c r="U157" s="22">
        <f t="shared" si="9"/>
        <v>0</v>
      </c>
      <c r="V157" s="22"/>
      <c r="W157" s="5"/>
      <c r="X157" s="22"/>
      <c r="Y157" s="5"/>
    </row>
    <row r="158" spans="2:25" x14ac:dyDescent="0.25">
      <c r="B158" s="19" t="s">
        <v>160</v>
      </c>
      <c r="C158" s="22"/>
      <c r="D158" s="21"/>
      <c r="E158" s="22">
        <f t="shared" si="6"/>
        <v>0</v>
      </c>
      <c r="F158" s="22"/>
      <c r="G158" s="22"/>
      <c r="J158" s="19" t="s">
        <v>160</v>
      </c>
      <c r="K158" s="22"/>
      <c r="L158" s="22"/>
      <c r="M158" s="22">
        <f t="shared" si="7"/>
        <v>0</v>
      </c>
      <c r="N158" s="22"/>
      <c r="O158" s="18"/>
      <c r="R158" s="14" t="s">
        <v>160</v>
      </c>
      <c r="S158" s="2"/>
      <c r="T158" s="2"/>
      <c r="U158" s="22">
        <f t="shared" si="9"/>
        <v>0</v>
      </c>
      <c r="V158" s="22"/>
      <c r="W158" s="5"/>
      <c r="X158" s="22"/>
      <c r="Y158" s="5"/>
    </row>
    <row r="159" spans="2:25" x14ac:dyDescent="0.25">
      <c r="B159" s="19" t="s">
        <v>161</v>
      </c>
      <c r="C159" s="22"/>
      <c r="D159" s="22"/>
      <c r="E159" s="22">
        <f t="shared" si="6"/>
        <v>0</v>
      </c>
      <c r="F159" s="22"/>
      <c r="G159" s="22"/>
      <c r="J159" s="19" t="s">
        <v>161</v>
      </c>
      <c r="K159" s="22"/>
      <c r="L159" s="22"/>
      <c r="M159" s="22">
        <f t="shared" si="7"/>
        <v>0</v>
      </c>
      <c r="N159" s="22"/>
      <c r="O159" s="18"/>
      <c r="R159" s="14" t="s">
        <v>161</v>
      </c>
      <c r="S159" s="2"/>
      <c r="T159" s="2"/>
      <c r="U159" s="22">
        <f t="shared" si="9"/>
        <v>0</v>
      </c>
      <c r="V159" s="22"/>
      <c r="W159" s="5"/>
      <c r="X159" s="22"/>
      <c r="Y159" s="5"/>
    </row>
    <row r="160" spans="2:25" x14ac:dyDescent="0.25">
      <c r="B160" s="19" t="s">
        <v>162</v>
      </c>
      <c r="C160" s="22"/>
      <c r="D160" s="22">
        <v>8</v>
      </c>
      <c r="E160" s="22">
        <f t="shared" si="6"/>
        <v>8</v>
      </c>
      <c r="F160" s="22"/>
      <c r="G160" s="22"/>
      <c r="J160" s="19" t="s">
        <v>162</v>
      </c>
      <c r="K160" s="22">
        <v>9</v>
      </c>
      <c r="L160" s="22">
        <v>9</v>
      </c>
      <c r="M160" s="22">
        <f t="shared" si="7"/>
        <v>18</v>
      </c>
      <c r="N160" s="22"/>
      <c r="O160" s="18"/>
      <c r="R160" s="14" t="s">
        <v>162</v>
      </c>
      <c r="S160" s="2"/>
      <c r="T160" s="2"/>
      <c r="U160" s="22">
        <f t="shared" si="9"/>
        <v>0</v>
      </c>
      <c r="V160" s="22"/>
      <c r="W160" s="5"/>
      <c r="X160" s="22"/>
      <c r="Y160" s="5"/>
    </row>
    <row r="161" spans="2:25" x14ac:dyDescent="0.25">
      <c r="B161" s="19" t="s">
        <v>163</v>
      </c>
      <c r="C161" s="22"/>
      <c r="D161" s="22"/>
      <c r="E161" s="22">
        <f>SUM(C161:D161)</f>
        <v>0</v>
      </c>
      <c r="F161" s="22"/>
      <c r="G161" s="22"/>
      <c r="J161" s="19" t="s">
        <v>163</v>
      </c>
      <c r="K161" s="22"/>
      <c r="L161" s="22"/>
      <c r="M161" s="22">
        <f t="shared" si="7"/>
        <v>0</v>
      </c>
      <c r="N161" s="22"/>
      <c r="O161" s="18"/>
      <c r="R161" s="14" t="s">
        <v>163</v>
      </c>
      <c r="S161" s="2"/>
      <c r="T161" s="2"/>
      <c r="U161" s="22">
        <f t="shared" si="9"/>
        <v>0</v>
      </c>
      <c r="V161" s="22"/>
      <c r="W161" s="5"/>
      <c r="X161" s="22"/>
      <c r="Y161" s="5"/>
    </row>
    <row r="162" spans="2:25" x14ac:dyDescent="0.25">
      <c r="B162" s="19" t="s">
        <v>164</v>
      </c>
      <c r="C162" s="22"/>
      <c r="D162" s="21"/>
      <c r="E162" s="22">
        <f t="shared" si="6"/>
        <v>0</v>
      </c>
      <c r="F162" s="22"/>
      <c r="G162" s="22"/>
      <c r="J162" s="19" t="s">
        <v>164</v>
      </c>
      <c r="K162" s="22"/>
      <c r="L162" s="22"/>
      <c r="M162" s="22">
        <f t="shared" si="7"/>
        <v>0</v>
      </c>
      <c r="N162" s="22"/>
      <c r="O162" s="18"/>
      <c r="R162" s="14" t="s">
        <v>164</v>
      </c>
      <c r="S162" s="2"/>
      <c r="T162" s="2"/>
      <c r="U162" s="22">
        <f t="shared" si="9"/>
        <v>0</v>
      </c>
      <c r="V162" s="22"/>
      <c r="W162" s="5"/>
      <c r="X162" s="22"/>
      <c r="Y162" s="5"/>
    </row>
    <row r="163" spans="2:25" x14ac:dyDescent="0.25">
      <c r="B163" s="19" t="s">
        <v>165</v>
      </c>
      <c r="C163" s="22"/>
      <c r="D163" s="22"/>
      <c r="E163" s="22">
        <f t="shared" si="6"/>
        <v>0</v>
      </c>
      <c r="F163" s="22"/>
      <c r="G163" s="22"/>
      <c r="J163" s="19" t="s">
        <v>165</v>
      </c>
      <c r="K163" s="22"/>
      <c r="L163" s="22"/>
      <c r="M163" s="22">
        <f t="shared" si="7"/>
        <v>0</v>
      </c>
      <c r="N163" s="22"/>
      <c r="O163" s="18"/>
      <c r="R163" s="14" t="s">
        <v>165</v>
      </c>
      <c r="S163" s="2"/>
      <c r="T163" s="2"/>
      <c r="U163" s="22">
        <f t="shared" si="9"/>
        <v>0</v>
      </c>
      <c r="V163" s="22"/>
      <c r="W163" s="5"/>
      <c r="X163" s="22"/>
      <c r="Y163" s="5"/>
    </row>
    <row r="164" spans="2:25" ht="18" x14ac:dyDescent="0.25">
      <c r="B164" s="19" t="s">
        <v>166</v>
      </c>
      <c r="C164" s="22"/>
      <c r="D164" s="22">
        <v>1</v>
      </c>
      <c r="E164" s="22">
        <f t="shared" si="6"/>
        <v>1</v>
      </c>
      <c r="F164" s="22"/>
      <c r="G164" s="22"/>
      <c r="J164" s="19" t="s">
        <v>166</v>
      </c>
      <c r="K164" s="22">
        <v>1</v>
      </c>
      <c r="L164" s="22">
        <v>1</v>
      </c>
      <c r="M164" s="22">
        <f t="shared" si="7"/>
        <v>2</v>
      </c>
      <c r="N164" s="22">
        <v>1</v>
      </c>
      <c r="O164" s="17" t="s">
        <v>242</v>
      </c>
      <c r="R164" s="14" t="s">
        <v>166</v>
      </c>
      <c r="S164" s="2"/>
      <c r="T164" s="2"/>
      <c r="U164" s="22">
        <f t="shared" si="9"/>
        <v>0</v>
      </c>
      <c r="V164" s="22"/>
      <c r="W164" s="5"/>
      <c r="X164" s="22"/>
      <c r="Y164" s="5"/>
    </row>
    <row r="165" spans="2:25" x14ac:dyDescent="0.25">
      <c r="B165" s="19" t="s">
        <v>167</v>
      </c>
      <c r="C165" s="22"/>
      <c r="D165" s="22">
        <v>2</v>
      </c>
      <c r="E165" s="22">
        <f t="shared" si="6"/>
        <v>2</v>
      </c>
      <c r="F165" s="22"/>
      <c r="G165" s="22"/>
      <c r="J165" s="19" t="s">
        <v>167</v>
      </c>
      <c r="K165" s="22"/>
      <c r="L165" s="22">
        <v>1</v>
      </c>
      <c r="M165" s="22">
        <f t="shared" si="7"/>
        <v>1</v>
      </c>
      <c r="N165" s="22"/>
      <c r="O165" s="18"/>
      <c r="R165" s="14" t="s">
        <v>167</v>
      </c>
      <c r="S165" s="2"/>
      <c r="T165" s="2"/>
      <c r="U165" s="22">
        <f t="shared" si="9"/>
        <v>0</v>
      </c>
      <c r="V165" s="22"/>
      <c r="W165" s="5"/>
      <c r="X165" s="22"/>
      <c r="Y165" s="5"/>
    </row>
    <row r="166" spans="2:25" x14ac:dyDescent="0.25">
      <c r="B166" s="19" t="s">
        <v>168</v>
      </c>
      <c r="C166" s="22"/>
      <c r="D166" s="22"/>
      <c r="E166" s="22">
        <f t="shared" si="6"/>
        <v>0</v>
      </c>
      <c r="F166" s="22"/>
      <c r="G166" s="22"/>
      <c r="J166" s="19" t="s">
        <v>168</v>
      </c>
      <c r="K166" s="22"/>
      <c r="L166" s="22"/>
      <c r="M166" s="22">
        <f t="shared" si="7"/>
        <v>0</v>
      </c>
      <c r="N166" s="22"/>
      <c r="O166" s="18"/>
      <c r="R166" s="14" t="s">
        <v>168</v>
      </c>
      <c r="S166" s="2"/>
      <c r="T166" s="2"/>
      <c r="U166" s="22">
        <f t="shared" si="9"/>
        <v>0</v>
      </c>
      <c r="V166" s="22"/>
      <c r="W166" s="5"/>
      <c r="X166" s="22"/>
      <c r="Y166" s="5"/>
    </row>
    <row r="167" spans="2:25" x14ac:dyDescent="0.25">
      <c r="B167" s="19" t="s">
        <v>169</v>
      </c>
      <c r="C167" s="22"/>
      <c r="D167" s="22"/>
      <c r="E167" s="22">
        <f t="shared" si="6"/>
        <v>0</v>
      </c>
      <c r="F167" s="22"/>
      <c r="G167" s="22"/>
      <c r="J167" s="19" t="s">
        <v>169</v>
      </c>
      <c r="K167" s="22"/>
      <c r="L167" s="22"/>
      <c r="M167" s="22">
        <f t="shared" si="7"/>
        <v>0</v>
      </c>
      <c r="N167" s="22"/>
      <c r="O167" s="18"/>
      <c r="R167" s="14" t="s">
        <v>169</v>
      </c>
      <c r="S167" s="2"/>
      <c r="T167" s="2"/>
      <c r="U167" s="22">
        <f t="shared" si="9"/>
        <v>0</v>
      </c>
      <c r="V167" s="22"/>
      <c r="W167" s="5"/>
      <c r="X167" s="22"/>
      <c r="Y167" s="5"/>
    </row>
    <row r="168" spans="2:25" x14ac:dyDescent="0.25">
      <c r="B168" s="19" t="s">
        <v>170</v>
      </c>
      <c r="C168" s="22"/>
      <c r="D168" s="22">
        <v>1</v>
      </c>
      <c r="E168" s="22">
        <f t="shared" si="6"/>
        <v>1</v>
      </c>
      <c r="F168" s="22"/>
      <c r="G168" s="22"/>
      <c r="J168" s="19" t="s">
        <v>170</v>
      </c>
      <c r="K168" s="22"/>
      <c r="L168" s="22">
        <v>1</v>
      </c>
      <c r="M168" s="22">
        <f t="shared" si="7"/>
        <v>1</v>
      </c>
      <c r="N168" s="22"/>
      <c r="O168" s="18"/>
      <c r="R168" s="14" t="s">
        <v>170</v>
      </c>
      <c r="S168" s="2"/>
      <c r="T168" s="2"/>
      <c r="U168" s="22">
        <f t="shared" si="9"/>
        <v>0</v>
      </c>
      <c r="V168" s="22"/>
      <c r="W168" s="5"/>
      <c r="X168" s="22"/>
      <c r="Y168" s="5"/>
    </row>
    <row r="169" spans="2:25" x14ac:dyDescent="0.25">
      <c r="B169" s="19" t="s">
        <v>171</v>
      </c>
      <c r="C169" s="22"/>
      <c r="D169" s="22"/>
      <c r="E169" s="22">
        <f t="shared" si="6"/>
        <v>0</v>
      </c>
      <c r="F169" s="22"/>
      <c r="G169" s="22"/>
      <c r="J169" s="19" t="s">
        <v>171</v>
      </c>
      <c r="K169" s="22"/>
      <c r="L169" s="22"/>
      <c r="M169" s="22">
        <f t="shared" si="7"/>
        <v>0</v>
      </c>
      <c r="N169" s="22"/>
      <c r="O169" s="18"/>
      <c r="R169" s="14" t="s">
        <v>171</v>
      </c>
      <c r="S169" s="2"/>
      <c r="T169" s="2"/>
      <c r="U169" s="22">
        <f t="shared" si="9"/>
        <v>0</v>
      </c>
      <c r="V169" s="22"/>
      <c r="W169" s="5"/>
      <c r="X169" s="22"/>
      <c r="Y169" s="5"/>
    </row>
    <row r="170" spans="2:25" x14ac:dyDescent="0.25">
      <c r="B170" s="19" t="s">
        <v>172</v>
      </c>
      <c r="C170" s="22"/>
      <c r="D170" s="22"/>
      <c r="E170" s="22">
        <f t="shared" si="6"/>
        <v>0</v>
      </c>
      <c r="F170" s="22"/>
      <c r="G170" s="22"/>
      <c r="J170" s="19" t="s">
        <v>172</v>
      </c>
      <c r="K170" s="22"/>
      <c r="L170" s="22"/>
      <c r="M170" s="22">
        <f t="shared" si="7"/>
        <v>0</v>
      </c>
      <c r="N170" s="22"/>
      <c r="O170" s="18"/>
      <c r="R170" s="14" t="s">
        <v>172</v>
      </c>
      <c r="S170" s="2"/>
      <c r="T170" s="2"/>
      <c r="U170" s="22">
        <f t="shared" si="9"/>
        <v>0</v>
      </c>
      <c r="V170" s="22"/>
      <c r="W170" s="5"/>
      <c r="X170" s="22"/>
      <c r="Y170" s="5"/>
    </row>
    <row r="171" spans="2:25" x14ac:dyDescent="0.25">
      <c r="B171" s="19" t="s">
        <v>173</v>
      </c>
      <c r="C171" s="22"/>
      <c r="D171" s="22"/>
      <c r="E171" s="22">
        <f t="shared" si="6"/>
        <v>0</v>
      </c>
      <c r="F171" s="22"/>
      <c r="G171" s="22"/>
      <c r="J171" s="19" t="s">
        <v>173</v>
      </c>
      <c r="K171" s="22"/>
      <c r="L171" s="22"/>
      <c r="M171" s="22">
        <f t="shared" si="7"/>
        <v>0</v>
      </c>
      <c r="N171" s="22"/>
      <c r="O171" s="18"/>
      <c r="R171" s="14" t="s">
        <v>173</v>
      </c>
      <c r="S171" s="2"/>
      <c r="T171" s="2"/>
      <c r="U171" s="22">
        <f t="shared" si="9"/>
        <v>0</v>
      </c>
      <c r="V171" s="22"/>
      <c r="W171" s="5"/>
      <c r="X171" s="22"/>
      <c r="Y171" s="5"/>
    </row>
    <row r="172" spans="2:25" x14ac:dyDescent="0.25">
      <c r="B172" s="19" t="s">
        <v>174</v>
      </c>
      <c r="C172" s="22">
        <v>1</v>
      </c>
      <c r="D172" s="22">
        <v>1</v>
      </c>
      <c r="E172" s="22">
        <f t="shared" si="6"/>
        <v>2</v>
      </c>
      <c r="F172" s="22"/>
      <c r="G172" s="22"/>
      <c r="J172" s="19" t="s">
        <v>174</v>
      </c>
      <c r="K172" s="22"/>
      <c r="L172" s="22"/>
      <c r="M172" s="22">
        <f t="shared" si="7"/>
        <v>0</v>
      </c>
      <c r="N172" s="22"/>
      <c r="O172" s="18"/>
      <c r="R172" s="14" t="s">
        <v>174</v>
      </c>
      <c r="S172" s="2"/>
      <c r="T172" s="2"/>
      <c r="U172" s="22">
        <f t="shared" si="9"/>
        <v>0</v>
      </c>
      <c r="V172" s="22"/>
      <c r="W172" s="5"/>
      <c r="X172" s="22"/>
      <c r="Y172" s="5"/>
    </row>
    <row r="173" spans="2:25" x14ac:dyDescent="0.25">
      <c r="B173" s="19" t="s">
        <v>175</v>
      </c>
      <c r="C173" s="22"/>
      <c r="D173" s="22"/>
      <c r="E173" s="22">
        <f t="shared" si="6"/>
        <v>0</v>
      </c>
      <c r="F173" s="22"/>
      <c r="G173" s="22"/>
      <c r="J173" s="19" t="s">
        <v>175</v>
      </c>
      <c r="K173" s="22">
        <v>1</v>
      </c>
      <c r="L173" s="22">
        <v>1</v>
      </c>
      <c r="M173" s="22">
        <f t="shared" si="7"/>
        <v>2</v>
      </c>
      <c r="N173" s="22"/>
      <c r="O173" s="18"/>
      <c r="R173" s="14" t="s">
        <v>175</v>
      </c>
      <c r="S173" s="2"/>
      <c r="T173" s="2"/>
      <c r="U173" s="22">
        <f t="shared" si="9"/>
        <v>0</v>
      </c>
      <c r="V173" s="22"/>
      <c r="W173" s="5"/>
      <c r="X173" s="22"/>
      <c r="Y173" s="5"/>
    </row>
    <row r="174" spans="2:25" x14ac:dyDescent="0.25">
      <c r="B174" s="19" t="s">
        <v>176</v>
      </c>
      <c r="C174" s="22"/>
      <c r="D174" s="22"/>
      <c r="E174" s="22">
        <f t="shared" si="6"/>
        <v>0</v>
      </c>
      <c r="F174" s="22"/>
      <c r="G174" s="22"/>
      <c r="J174" s="19" t="s">
        <v>176</v>
      </c>
      <c r="K174" s="22"/>
      <c r="L174" s="22"/>
      <c r="M174" s="22">
        <f t="shared" si="7"/>
        <v>0</v>
      </c>
      <c r="N174" s="22"/>
      <c r="O174" s="18"/>
      <c r="R174" s="14" t="s">
        <v>176</v>
      </c>
      <c r="S174" s="2"/>
      <c r="T174" s="2"/>
      <c r="U174" s="22">
        <f t="shared" si="9"/>
        <v>0</v>
      </c>
      <c r="V174" s="22"/>
      <c r="W174" s="5"/>
      <c r="X174" s="22"/>
      <c r="Y174" s="5"/>
    </row>
    <row r="175" spans="2:25" x14ac:dyDescent="0.25">
      <c r="B175" s="19" t="s">
        <v>177</v>
      </c>
      <c r="C175" s="22"/>
      <c r="D175" s="22">
        <v>1</v>
      </c>
      <c r="E175" s="22">
        <f t="shared" si="6"/>
        <v>1</v>
      </c>
      <c r="F175" s="22"/>
      <c r="G175" s="22"/>
      <c r="J175" s="19" t="s">
        <v>177</v>
      </c>
      <c r="K175" s="22">
        <v>1</v>
      </c>
      <c r="L175" s="22">
        <v>1</v>
      </c>
      <c r="M175" s="22">
        <f t="shared" si="7"/>
        <v>2</v>
      </c>
      <c r="N175" s="22"/>
      <c r="O175" s="18"/>
      <c r="R175" s="14" t="s">
        <v>177</v>
      </c>
      <c r="S175" s="2"/>
      <c r="T175" s="2"/>
      <c r="U175" s="22">
        <f t="shared" si="9"/>
        <v>0</v>
      </c>
      <c r="V175" s="22"/>
      <c r="W175" s="5"/>
      <c r="X175" s="22"/>
      <c r="Y175" s="5"/>
    </row>
    <row r="176" spans="2:25" x14ac:dyDescent="0.25">
      <c r="B176" s="19" t="s">
        <v>178</v>
      </c>
      <c r="C176" s="22"/>
      <c r="D176" s="22">
        <v>2</v>
      </c>
      <c r="E176" s="22">
        <f t="shared" si="6"/>
        <v>2</v>
      </c>
      <c r="F176" s="22"/>
      <c r="G176" s="22"/>
      <c r="J176" s="19" t="s">
        <v>178</v>
      </c>
      <c r="K176" s="22"/>
      <c r="L176" s="22">
        <v>3</v>
      </c>
      <c r="M176" s="22">
        <f t="shared" si="7"/>
        <v>3</v>
      </c>
      <c r="N176" s="22"/>
      <c r="O176" s="18"/>
      <c r="R176" s="14" t="s">
        <v>178</v>
      </c>
      <c r="S176" s="2"/>
      <c r="T176" s="2"/>
      <c r="U176" s="22">
        <f t="shared" si="9"/>
        <v>0</v>
      </c>
      <c r="V176" s="22"/>
      <c r="W176" s="5"/>
      <c r="X176" s="22"/>
      <c r="Y176" s="5"/>
    </row>
    <row r="177" spans="2:25" x14ac:dyDescent="0.25">
      <c r="B177" s="19" t="s">
        <v>179</v>
      </c>
      <c r="C177" s="22">
        <v>1</v>
      </c>
      <c r="D177" s="22">
        <v>2</v>
      </c>
      <c r="E177" s="22">
        <f t="shared" si="6"/>
        <v>3</v>
      </c>
      <c r="F177" s="22"/>
      <c r="G177" s="22"/>
      <c r="J177" s="19" t="s">
        <v>179</v>
      </c>
      <c r="K177" s="22">
        <v>1</v>
      </c>
      <c r="L177" s="22">
        <v>2</v>
      </c>
      <c r="M177" s="22">
        <f t="shared" si="7"/>
        <v>3</v>
      </c>
      <c r="N177" s="22"/>
      <c r="O177" s="18"/>
      <c r="R177" s="14" t="s">
        <v>179</v>
      </c>
      <c r="S177" s="2"/>
      <c r="T177" s="2"/>
      <c r="U177" s="22">
        <f t="shared" si="9"/>
        <v>0</v>
      </c>
      <c r="V177" s="22"/>
      <c r="W177" s="5"/>
      <c r="X177" s="22"/>
      <c r="Y177" s="5"/>
    </row>
    <row r="178" spans="2:25" x14ac:dyDescent="0.25">
      <c r="B178" s="19" t="s">
        <v>180</v>
      </c>
      <c r="C178" s="22"/>
      <c r="D178" s="22">
        <v>1</v>
      </c>
      <c r="E178" s="22">
        <f t="shared" si="6"/>
        <v>1</v>
      </c>
      <c r="F178" s="22"/>
      <c r="G178" s="22"/>
      <c r="J178" s="19" t="s">
        <v>180</v>
      </c>
      <c r="K178" s="22">
        <v>1</v>
      </c>
      <c r="L178" s="22">
        <v>1</v>
      </c>
      <c r="M178" s="22">
        <f t="shared" si="7"/>
        <v>2</v>
      </c>
      <c r="N178" s="22"/>
      <c r="O178" s="18"/>
      <c r="R178" s="14" t="s">
        <v>180</v>
      </c>
      <c r="S178" s="2"/>
      <c r="T178" s="2"/>
      <c r="U178" s="22">
        <f t="shared" si="9"/>
        <v>0</v>
      </c>
      <c r="V178" s="22"/>
      <c r="W178" s="5"/>
      <c r="X178" s="22"/>
      <c r="Y178" s="5"/>
    </row>
    <row r="179" spans="2:25" x14ac:dyDescent="0.25">
      <c r="B179" s="19" t="s">
        <v>181</v>
      </c>
      <c r="C179" s="22"/>
      <c r="D179" s="22"/>
      <c r="E179" s="22">
        <f t="shared" si="6"/>
        <v>0</v>
      </c>
      <c r="F179" s="22"/>
      <c r="G179" s="22"/>
      <c r="J179" s="19" t="s">
        <v>181</v>
      </c>
      <c r="K179" s="22"/>
      <c r="L179" s="22"/>
      <c r="M179" s="22">
        <f t="shared" si="7"/>
        <v>0</v>
      </c>
      <c r="N179" s="22"/>
      <c r="O179" s="18"/>
      <c r="R179" s="14" t="s">
        <v>181</v>
      </c>
      <c r="S179" s="2"/>
      <c r="T179" s="2"/>
      <c r="U179" s="22">
        <f t="shared" si="9"/>
        <v>0</v>
      </c>
      <c r="V179" s="22"/>
      <c r="W179" s="5"/>
      <c r="X179" s="22"/>
      <c r="Y179" s="5"/>
    </row>
    <row r="180" spans="2:25" x14ac:dyDescent="0.25">
      <c r="B180" s="19" t="s">
        <v>182</v>
      </c>
      <c r="C180" s="22"/>
      <c r="D180" s="22">
        <v>1</v>
      </c>
      <c r="E180" s="22">
        <f t="shared" si="6"/>
        <v>1</v>
      </c>
      <c r="F180" s="22"/>
      <c r="G180" s="22"/>
      <c r="J180" s="19" t="s">
        <v>182</v>
      </c>
      <c r="K180" s="22">
        <v>1</v>
      </c>
      <c r="L180" s="22">
        <v>1</v>
      </c>
      <c r="M180" s="22">
        <f t="shared" si="7"/>
        <v>2</v>
      </c>
      <c r="N180" s="22"/>
      <c r="O180" s="18"/>
      <c r="R180" s="14" t="s">
        <v>182</v>
      </c>
      <c r="S180" s="2"/>
      <c r="T180" s="2"/>
      <c r="U180" s="22">
        <f t="shared" si="9"/>
        <v>0</v>
      </c>
      <c r="V180" s="22"/>
      <c r="W180" s="5"/>
      <c r="X180" s="22"/>
      <c r="Y180" s="5"/>
    </row>
    <row r="181" spans="2:25" x14ac:dyDescent="0.25">
      <c r="B181" s="19" t="s">
        <v>311</v>
      </c>
      <c r="C181" s="22"/>
      <c r="D181" s="22"/>
      <c r="E181" s="22">
        <f t="shared" si="6"/>
        <v>0</v>
      </c>
      <c r="F181" s="22"/>
      <c r="G181" s="22"/>
      <c r="J181" s="19" t="s">
        <v>311</v>
      </c>
      <c r="K181" s="22"/>
      <c r="L181" s="22"/>
      <c r="M181" s="22">
        <f t="shared" si="7"/>
        <v>0</v>
      </c>
      <c r="N181" s="22"/>
      <c r="O181" s="18"/>
      <c r="R181" s="14" t="s">
        <v>311</v>
      </c>
      <c r="S181" s="2"/>
      <c r="T181" s="2"/>
      <c r="U181" s="22">
        <f t="shared" si="9"/>
        <v>0</v>
      </c>
      <c r="V181" s="22"/>
      <c r="W181" s="5"/>
      <c r="X181" s="22"/>
      <c r="Y181" s="5"/>
    </row>
    <row r="182" spans="2:25" x14ac:dyDescent="0.25">
      <c r="B182" s="19" t="s">
        <v>183</v>
      </c>
      <c r="C182" s="22"/>
      <c r="D182" s="22"/>
      <c r="E182" s="22">
        <f t="shared" si="6"/>
        <v>0</v>
      </c>
      <c r="F182" s="22"/>
      <c r="G182" s="22"/>
      <c r="J182" s="19" t="s">
        <v>183</v>
      </c>
      <c r="K182" s="22"/>
      <c r="L182" s="22"/>
      <c r="M182" s="22">
        <f t="shared" si="7"/>
        <v>0</v>
      </c>
      <c r="N182" s="22"/>
      <c r="O182" s="18"/>
      <c r="R182" s="14" t="s">
        <v>183</v>
      </c>
      <c r="S182" s="2"/>
      <c r="T182" s="2"/>
      <c r="U182" s="22">
        <f t="shared" si="9"/>
        <v>0</v>
      </c>
      <c r="V182" s="22"/>
      <c r="W182" s="5"/>
      <c r="X182" s="22"/>
      <c r="Y182" s="5"/>
    </row>
    <row r="183" spans="2:25" x14ac:dyDescent="0.25">
      <c r="B183" s="19" t="s">
        <v>184</v>
      </c>
      <c r="C183" s="22"/>
      <c r="D183" s="22">
        <v>1</v>
      </c>
      <c r="E183" s="22">
        <f t="shared" si="6"/>
        <v>1</v>
      </c>
      <c r="F183" s="22"/>
      <c r="G183" s="22"/>
      <c r="J183" s="19" t="s">
        <v>184</v>
      </c>
      <c r="K183" s="22">
        <v>1</v>
      </c>
      <c r="L183" s="22">
        <v>1</v>
      </c>
      <c r="M183" s="22">
        <f t="shared" si="7"/>
        <v>2</v>
      </c>
      <c r="N183" s="22"/>
      <c r="O183" s="18"/>
      <c r="R183" s="14" t="s">
        <v>184</v>
      </c>
      <c r="S183" s="2"/>
      <c r="T183" s="2"/>
      <c r="U183" s="22">
        <f t="shared" si="9"/>
        <v>0</v>
      </c>
      <c r="V183" s="22"/>
      <c r="W183" s="5"/>
      <c r="X183" s="22"/>
      <c r="Y183" s="5"/>
    </row>
    <row r="184" spans="2:25" x14ac:dyDescent="0.25">
      <c r="B184" s="19" t="s">
        <v>185</v>
      </c>
      <c r="C184" s="22"/>
      <c r="D184" s="22"/>
      <c r="E184" s="22">
        <f t="shared" si="6"/>
        <v>0</v>
      </c>
      <c r="F184" s="22"/>
      <c r="G184" s="22"/>
      <c r="J184" s="19" t="s">
        <v>185</v>
      </c>
      <c r="K184" s="22"/>
      <c r="L184" s="22"/>
      <c r="M184" s="22">
        <f t="shared" ref="M184" si="10">SUM(K184:L184)</f>
        <v>0</v>
      </c>
      <c r="N184" s="22"/>
      <c r="O184" s="18"/>
      <c r="R184" s="14" t="s">
        <v>185</v>
      </c>
      <c r="S184" s="2"/>
      <c r="T184" s="2"/>
      <c r="U184" s="22">
        <f t="shared" si="9"/>
        <v>0</v>
      </c>
      <c r="V184" s="22"/>
      <c r="W184" s="5"/>
      <c r="X184" s="22"/>
      <c r="Y184" s="5"/>
    </row>
    <row r="185" spans="2:25" x14ac:dyDescent="0.25">
      <c r="B185" s="19" t="s">
        <v>186</v>
      </c>
      <c r="C185" s="22"/>
      <c r="D185" s="22"/>
      <c r="E185" s="22">
        <f t="shared" si="6"/>
        <v>0</v>
      </c>
      <c r="F185" s="22"/>
      <c r="G185" s="22"/>
      <c r="J185" s="19" t="s">
        <v>186</v>
      </c>
      <c r="K185" s="22"/>
      <c r="L185" s="22"/>
      <c r="M185" s="22">
        <f t="shared" si="7"/>
        <v>0</v>
      </c>
      <c r="N185" s="22"/>
      <c r="O185" s="18"/>
      <c r="R185" s="14" t="s">
        <v>186</v>
      </c>
      <c r="S185" s="2"/>
      <c r="T185" s="2"/>
      <c r="U185" s="22">
        <f t="shared" si="9"/>
        <v>0</v>
      </c>
      <c r="V185" s="22"/>
      <c r="W185" s="5"/>
      <c r="X185" s="22"/>
      <c r="Y185" s="5"/>
    </row>
    <row r="186" spans="2:25" x14ac:dyDescent="0.25">
      <c r="B186" s="19" t="s">
        <v>307</v>
      </c>
      <c r="C186" s="22">
        <f>SUM(C3:C185)</f>
        <v>103</v>
      </c>
      <c r="D186" s="22">
        <f>SUM(D3:D185)</f>
        <v>553</v>
      </c>
      <c r="E186" s="22">
        <f>SUM(E3:E185)</f>
        <v>656</v>
      </c>
      <c r="F186" s="22">
        <f>SUM(F3:F185)</f>
        <v>32</v>
      </c>
      <c r="J186" s="19" t="s">
        <v>307</v>
      </c>
      <c r="K186" s="22">
        <f>SUM(K3:K185)</f>
        <v>209</v>
      </c>
      <c r="L186" s="22">
        <f>SUM(L3:L185)</f>
        <v>571</v>
      </c>
      <c r="M186" s="30">
        <f>SUM(M3:M185)</f>
        <v>780</v>
      </c>
      <c r="N186" s="22">
        <f>SUM(N3:N185)</f>
        <v>30</v>
      </c>
    </row>
  </sheetData>
  <mergeCells count="3">
    <mergeCell ref="S1:Y1"/>
    <mergeCell ref="C1:G1"/>
    <mergeCell ref="K1: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63D3-739D-42CF-B691-9CD9C17A3DA7}">
  <dimension ref="B1:O23"/>
  <sheetViews>
    <sheetView topLeftCell="A2" workbookViewId="0">
      <selection activeCell="F26" sqref="F26"/>
    </sheetView>
  </sheetViews>
  <sheetFormatPr baseColWidth="10" defaultRowHeight="15" x14ac:dyDescent="0.25"/>
  <cols>
    <col min="2" max="2" width="20.5703125" customWidth="1"/>
    <col min="5" max="5" width="14.42578125" customWidth="1"/>
    <col min="6" max="6" width="12.85546875" customWidth="1"/>
  </cols>
  <sheetData>
    <row r="1" spans="2:15" x14ac:dyDescent="0.25">
      <c r="C1" s="26">
        <v>2023</v>
      </c>
      <c r="D1" s="26"/>
      <c r="E1" s="26"/>
      <c r="F1" s="26"/>
      <c r="L1" s="26">
        <v>2024</v>
      </c>
      <c r="M1" s="26"/>
      <c r="N1" s="26"/>
      <c r="O1" s="26"/>
    </row>
    <row r="2" spans="2:15" ht="60" x14ac:dyDescent="0.25">
      <c r="C2" s="1" t="s">
        <v>18</v>
      </c>
      <c r="D2" s="1" t="s">
        <v>17</v>
      </c>
      <c r="E2" s="1" t="s">
        <v>20</v>
      </c>
      <c r="F2" s="1" t="s">
        <v>197</v>
      </c>
      <c r="L2" s="1" t="s">
        <v>18</v>
      </c>
      <c r="M2" s="1" t="s">
        <v>17</v>
      </c>
      <c r="N2" s="1" t="s">
        <v>16</v>
      </c>
      <c r="O2" s="1" t="s">
        <v>197</v>
      </c>
    </row>
    <row r="3" spans="2:15" x14ac:dyDescent="0.25">
      <c r="B3" s="2" t="s">
        <v>244</v>
      </c>
      <c r="C3" s="10">
        <v>1</v>
      </c>
      <c r="D3" s="10">
        <v>9</v>
      </c>
      <c r="E3" s="11">
        <f t="shared" ref="E3:E4" si="0">SUM(C3:D3)</f>
        <v>10</v>
      </c>
      <c r="F3" s="10">
        <v>4</v>
      </c>
      <c r="K3" s="2" t="s">
        <v>244</v>
      </c>
      <c r="L3" s="10">
        <v>8</v>
      </c>
      <c r="M3" s="10">
        <v>9</v>
      </c>
      <c r="N3" s="2">
        <f t="shared" ref="N3:N6" si="1">SUM(L3:M3)</f>
        <v>17</v>
      </c>
      <c r="O3" s="10">
        <v>4</v>
      </c>
    </row>
    <row r="4" spans="2:15" x14ac:dyDescent="0.25">
      <c r="B4" s="2" t="s">
        <v>245</v>
      </c>
      <c r="C4" s="10">
        <v>6</v>
      </c>
      <c r="D4" s="10">
        <v>23</v>
      </c>
      <c r="E4" s="11">
        <f t="shared" si="0"/>
        <v>29</v>
      </c>
      <c r="F4" s="10">
        <v>2</v>
      </c>
      <c r="K4" s="2" t="s">
        <v>245</v>
      </c>
      <c r="L4" s="12">
        <v>6</v>
      </c>
      <c r="M4" s="10">
        <v>22</v>
      </c>
      <c r="N4" s="2">
        <f t="shared" si="1"/>
        <v>28</v>
      </c>
      <c r="O4" s="10">
        <v>2</v>
      </c>
    </row>
    <row r="5" spans="2:15" x14ac:dyDescent="0.25">
      <c r="B5" s="2" t="s">
        <v>246</v>
      </c>
      <c r="C5" s="11">
        <v>1</v>
      </c>
      <c r="D5" s="11">
        <v>2</v>
      </c>
      <c r="E5" s="11">
        <f>SUM(C5:D5)</f>
        <v>3</v>
      </c>
      <c r="F5" s="11">
        <v>3</v>
      </c>
      <c r="K5" s="2" t="s">
        <v>246</v>
      </c>
      <c r="L5" s="11">
        <v>1</v>
      </c>
      <c r="M5" s="11">
        <v>2</v>
      </c>
      <c r="N5" s="2">
        <f t="shared" si="1"/>
        <v>3</v>
      </c>
      <c r="O5" s="11">
        <v>3</v>
      </c>
    </row>
    <row r="6" spans="2:15" x14ac:dyDescent="0.25">
      <c r="B6" s="2" t="s">
        <v>247</v>
      </c>
      <c r="C6" s="11">
        <v>12</v>
      </c>
      <c r="D6" s="11">
        <v>29</v>
      </c>
      <c r="E6" s="11">
        <f>SUM(C6:D6)</f>
        <v>41</v>
      </c>
      <c r="F6" s="11">
        <v>1</v>
      </c>
      <c r="K6" s="2" t="s">
        <v>247</v>
      </c>
      <c r="L6" s="11">
        <v>12</v>
      </c>
      <c r="M6" s="11">
        <v>34</v>
      </c>
      <c r="N6" s="2">
        <f t="shared" si="1"/>
        <v>46</v>
      </c>
      <c r="O6" s="11">
        <v>2</v>
      </c>
    </row>
    <row r="7" spans="2:15" x14ac:dyDescent="0.25">
      <c r="B7" s="2" t="s">
        <v>248</v>
      </c>
      <c r="C7" s="2">
        <v>11</v>
      </c>
      <c r="D7" s="2">
        <v>28</v>
      </c>
      <c r="E7" s="2">
        <f t="shared" ref="E7:E23" si="2">SUM(C7:D7)</f>
        <v>39</v>
      </c>
      <c r="F7" s="2">
        <v>11</v>
      </c>
      <c r="K7" s="2" t="s">
        <v>248</v>
      </c>
      <c r="L7" s="2">
        <v>10</v>
      </c>
      <c r="M7" s="2">
        <v>29</v>
      </c>
      <c r="N7" s="2">
        <f>SUM(L7:M7)</f>
        <v>39</v>
      </c>
      <c r="O7" s="2">
        <v>5</v>
      </c>
    </row>
    <row r="8" spans="2:15" x14ac:dyDescent="0.25">
      <c r="B8" s="2" t="s">
        <v>1</v>
      </c>
      <c r="C8" s="2">
        <v>1</v>
      </c>
      <c r="D8" s="2">
        <v>17</v>
      </c>
      <c r="E8" s="2">
        <f t="shared" si="2"/>
        <v>18</v>
      </c>
      <c r="F8" s="2"/>
      <c r="K8" s="2" t="s">
        <v>1</v>
      </c>
      <c r="L8" s="2">
        <v>11</v>
      </c>
      <c r="M8" s="2">
        <v>18</v>
      </c>
      <c r="N8" s="2">
        <f>SUM(L8:M8)</f>
        <v>29</v>
      </c>
      <c r="O8" s="2">
        <v>1</v>
      </c>
    </row>
    <row r="9" spans="2:15" x14ac:dyDescent="0.25">
      <c r="B9" s="2" t="s">
        <v>2</v>
      </c>
      <c r="C9" s="2">
        <v>5</v>
      </c>
      <c r="D9" s="2">
        <v>44</v>
      </c>
      <c r="E9" s="2">
        <f t="shared" si="2"/>
        <v>49</v>
      </c>
      <c r="F9" s="2">
        <v>6</v>
      </c>
      <c r="K9" s="2" t="s">
        <v>2</v>
      </c>
      <c r="L9" s="2">
        <v>16</v>
      </c>
      <c r="M9" s="2">
        <v>45</v>
      </c>
      <c r="N9" s="2">
        <f t="shared" ref="N9:N23" si="3">SUM(L9:M9)</f>
        <v>61</v>
      </c>
      <c r="O9" s="2"/>
    </row>
    <row r="10" spans="2:15" x14ac:dyDescent="0.25">
      <c r="B10" s="2" t="s">
        <v>3</v>
      </c>
      <c r="C10" s="2">
        <v>3</v>
      </c>
      <c r="D10" s="2">
        <v>21</v>
      </c>
      <c r="E10" s="2">
        <f t="shared" si="2"/>
        <v>24</v>
      </c>
      <c r="F10" s="2">
        <v>5</v>
      </c>
      <c r="K10" s="2" t="s">
        <v>3</v>
      </c>
      <c r="L10" s="2">
        <v>3</v>
      </c>
      <c r="M10" s="2">
        <v>22</v>
      </c>
      <c r="N10" s="2">
        <f t="shared" si="3"/>
        <v>25</v>
      </c>
      <c r="O10" s="2">
        <v>1</v>
      </c>
    </row>
    <row r="11" spans="2:15" x14ac:dyDescent="0.25">
      <c r="B11" s="2" t="s">
        <v>4</v>
      </c>
      <c r="C11" s="2">
        <v>5</v>
      </c>
      <c r="D11" s="2">
        <v>39</v>
      </c>
      <c r="E11" s="2">
        <f t="shared" si="2"/>
        <v>44</v>
      </c>
      <c r="F11" s="2">
        <v>1</v>
      </c>
      <c r="K11" s="2" t="s">
        <v>4</v>
      </c>
      <c r="L11" s="2">
        <v>15</v>
      </c>
      <c r="M11" s="2">
        <v>43</v>
      </c>
      <c r="N11" s="2">
        <f t="shared" si="3"/>
        <v>58</v>
      </c>
      <c r="O11" s="2">
        <v>1</v>
      </c>
    </row>
    <row r="12" spans="2:15" x14ac:dyDescent="0.25">
      <c r="B12" s="2" t="s">
        <v>5</v>
      </c>
      <c r="C12" s="2">
        <v>5</v>
      </c>
      <c r="D12" s="2">
        <v>18</v>
      </c>
      <c r="E12" s="2">
        <f t="shared" si="2"/>
        <v>23</v>
      </c>
      <c r="F12" s="2">
        <v>1</v>
      </c>
      <c r="K12" s="2" t="s">
        <v>5</v>
      </c>
      <c r="L12" s="2">
        <v>5</v>
      </c>
      <c r="M12" s="2">
        <v>17</v>
      </c>
      <c r="N12" s="2">
        <f t="shared" si="3"/>
        <v>22</v>
      </c>
      <c r="O12" s="2"/>
    </row>
    <row r="13" spans="2:15" x14ac:dyDescent="0.25">
      <c r="B13" s="2" t="s">
        <v>6</v>
      </c>
      <c r="C13" s="2">
        <v>3</v>
      </c>
      <c r="D13" s="2">
        <v>9</v>
      </c>
      <c r="E13" s="2">
        <f t="shared" si="2"/>
        <v>12</v>
      </c>
      <c r="F13" s="2"/>
      <c r="K13" s="2" t="s">
        <v>6</v>
      </c>
      <c r="L13" s="2">
        <v>3</v>
      </c>
      <c r="M13" s="2">
        <v>9</v>
      </c>
      <c r="N13" s="2">
        <f t="shared" si="3"/>
        <v>12</v>
      </c>
      <c r="O13" s="2"/>
    </row>
    <row r="14" spans="2:15" x14ac:dyDescent="0.25">
      <c r="B14" s="2" t="s">
        <v>19</v>
      </c>
      <c r="C14" s="2">
        <v>6</v>
      </c>
      <c r="D14" s="2">
        <v>17</v>
      </c>
      <c r="E14" s="2">
        <f t="shared" si="2"/>
        <v>23</v>
      </c>
      <c r="F14" s="2"/>
      <c r="K14" s="2" t="s">
        <v>19</v>
      </c>
      <c r="L14" s="2">
        <v>15</v>
      </c>
      <c r="M14" s="2">
        <v>22</v>
      </c>
      <c r="N14" s="2">
        <f t="shared" si="3"/>
        <v>37</v>
      </c>
      <c r="O14" s="2">
        <v>1</v>
      </c>
    </row>
    <row r="15" spans="2:15" x14ac:dyDescent="0.25">
      <c r="B15" s="2" t="s">
        <v>7</v>
      </c>
      <c r="C15" s="2">
        <v>1</v>
      </c>
      <c r="D15" s="2">
        <v>24</v>
      </c>
      <c r="E15" s="2">
        <f t="shared" si="2"/>
        <v>25</v>
      </c>
      <c r="F15" s="2"/>
      <c r="K15" s="2" t="s">
        <v>7</v>
      </c>
      <c r="L15" s="2">
        <v>21</v>
      </c>
      <c r="M15" s="2">
        <v>25</v>
      </c>
      <c r="N15" s="2">
        <f t="shared" si="3"/>
        <v>46</v>
      </c>
      <c r="O15" s="2">
        <v>1</v>
      </c>
    </row>
    <row r="16" spans="2:15" x14ac:dyDescent="0.25">
      <c r="B16" s="2" t="s">
        <v>8</v>
      </c>
      <c r="C16" s="2">
        <v>9</v>
      </c>
      <c r="D16" s="2">
        <v>55</v>
      </c>
      <c r="E16" s="2">
        <f t="shared" si="2"/>
        <v>64</v>
      </c>
      <c r="F16" s="2">
        <v>1</v>
      </c>
      <c r="K16" s="2" t="s">
        <v>8</v>
      </c>
      <c r="L16" s="2">
        <v>12</v>
      </c>
      <c r="M16" s="2">
        <v>52</v>
      </c>
      <c r="N16" s="2">
        <f t="shared" si="3"/>
        <v>64</v>
      </c>
      <c r="O16" s="2">
        <v>3</v>
      </c>
    </row>
    <row r="17" spans="2:15" x14ac:dyDescent="0.25">
      <c r="B17" s="2" t="s">
        <v>9</v>
      </c>
      <c r="C17" s="2">
        <v>3</v>
      </c>
      <c r="D17" s="2">
        <v>29</v>
      </c>
      <c r="E17" s="2">
        <f t="shared" si="2"/>
        <v>32</v>
      </c>
      <c r="F17" s="2">
        <v>1</v>
      </c>
      <c r="K17" s="2" t="s">
        <v>9</v>
      </c>
      <c r="L17" s="2">
        <v>5</v>
      </c>
      <c r="M17" s="2">
        <v>28</v>
      </c>
      <c r="N17" s="2">
        <f t="shared" si="3"/>
        <v>33</v>
      </c>
      <c r="O17" s="2">
        <v>2</v>
      </c>
    </row>
    <row r="18" spans="2:15" x14ac:dyDescent="0.25">
      <c r="B18" s="2" t="s">
        <v>10</v>
      </c>
      <c r="C18" s="2">
        <v>7</v>
      </c>
      <c r="D18" s="2">
        <v>38</v>
      </c>
      <c r="E18" s="2">
        <f t="shared" si="2"/>
        <v>45</v>
      </c>
      <c r="F18" s="2">
        <v>4</v>
      </c>
      <c r="K18" s="2" t="s">
        <v>10</v>
      </c>
      <c r="L18" s="2">
        <v>18</v>
      </c>
      <c r="M18" s="2">
        <v>39</v>
      </c>
      <c r="N18" s="2">
        <f t="shared" si="3"/>
        <v>57</v>
      </c>
      <c r="O18" s="2">
        <v>3</v>
      </c>
    </row>
    <row r="19" spans="2:15" x14ac:dyDescent="0.25">
      <c r="B19" s="2" t="s">
        <v>11</v>
      </c>
      <c r="C19" s="2">
        <v>6</v>
      </c>
      <c r="D19" s="2">
        <v>36</v>
      </c>
      <c r="E19" s="2">
        <f t="shared" si="2"/>
        <v>42</v>
      </c>
      <c r="F19" s="2">
        <v>1</v>
      </c>
      <c r="K19" s="2" t="s">
        <v>11</v>
      </c>
      <c r="L19" s="2">
        <v>10</v>
      </c>
      <c r="M19" s="2">
        <v>39</v>
      </c>
      <c r="N19" s="2">
        <f t="shared" si="3"/>
        <v>49</v>
      </c>
      <c r="O19" s="2">
        <v>3</v>
      </c>
    </row>
    <row r="20" spans="2:15" x14ac:dyDescent="0.25">
      <c r="B20" s="2" t="s">
        <v>12</v>
      </c>
      <c r="C20" s="2">
        <v>5</v>
      </c>
      <c r="D20" s="2">
        <v>25</v>
      </c>
      <c r="E20" s="2">
        <f t="shared" si="2"/>
        <v>30</v>
      </c>
      <c r="F20" s="2">
        <v>1</v>
      </c>
      <c r="K20" s="2" t="s">
        <v>12</v>
      </c>
      <c r="L20" s="2">
        <v>4</v>
      </c>
      <c r="M20" s="2">
        <v>22</v>
      </c>
      <c r="N20" s="2">
        <f t="shared" si="3"/>
        <v>26</v>
      </c>
      <c r="O20" s="2">
        <v>1</v>
      </c>
    </row>
    <row r="21" spans="2:15" x14ac:dyDescent="0.25">
      <c r="B21" s="2" t="s">
        <v>13</v>
      </c>
      <c r="C21" s="2">
        <v>2</v>
      </c>
      <c r="D21" s="2">
        <v>30</v>
      </c>
      <c r="E21" s="2">
        <f t="shared" si="2"/>
        <v>32</v>
      </c>
      <c r="F21" s="2"/>
      <c r="K21" s="2" t="s">
        <v>13</v>
      </c>
      <c r="L21" s="2">
        <v>3</v>
      </c>
      <c r="M21" s="2">
        <v>32</v>
      </c>
      <c r="N21" s="2">
        <f t="shared" si="3"/>
        <v>35</v>
      </c>
      <c r="O21" s="2"/>
    </row>
    <row r="22" spans="2:15" x14ac:dyDescent="0.25">
      <c r="B22" s="2" t="s">
        <v>14</v>
      </c>
      <c r="C22" s="2">
        <v>6</v>
      </c>
      <c r="D22" s="2">
        <v>38</v>
      </c>
      <c r="E22" s="2">
        <f t="shared" si="2"/>
        <v>44</v>
      </c>
      <c r="F22" s="2">
        <v>1</v>
      </c>
      <c r="K22" s="2" t="s">
        <v>14</v>
      </c>
      <c r="L22" s="2">
        <v>22</v>
      </c>
      <c r="M22" s="2">
        <v>39</v>
      </c>
      <c r="N22" s="2">
        <f t="shared" si="3"/>
        <v>61</v>
      </c>
      <c r="O22" s="2">
        <v>1</v>
      </c>
    </row>
    <row r="23" spans="2:15" x14ac:dyDescent="0.25">
      <c r="B23" s="2" t="s">
        <v>15</v>
      </c>
      <c r="C23" s="2">
        <v>5</v>
      </c>
      <c r="D23" s="2">
        <v>22</v>
      </c>
      <c r="E23" s="2">
        <f t="shared" si="2"/>
        <v>27</v>
      </c>
      <c r="F23" s="2">
        <v>3</v>
      </c>
      <c r="K23" s="2" t="s">
        <v>15</v>
      </c>
      <c r="L23" s="2">
        <v>9</v>
      </c>
      <c r="M23" s="2">
        <v>23</v>
      </c>
      <c r="N23" s="2">
        <f t="shared" si="3"/>
        <v>32</v>
      </c>
      <c r="O23" s="2">
        <v>2</v>
      </c>
    </row>
  </sheetData>
  <mergeCells count="2">
    <mergeCell ref="C1:F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64FE-04BC-4A80-A53F-5F2DA08D2FDF}">
  <dimension ref="B1:M14"/>
  <sheetViews>
    <sheetView workbookViewId="0">
      <selection activeCell="D22" sqref="D22"/>
    </sheetView>
  </sheetViews>
  <sheetFormatPr baseColWidth="10" defaultRowHeight="15" x14ac:dyDescent="0.25"/>
  <cols>
    <col min="2" max="2" width="23" customWidth="1"/>
    <col min="5" max="5" width="15.5703125" customWidth="1"/>
    <col min="6" max="6" width="13.7109375" customWidth="1"/>
    <col min="7" max="7" width="12.28515625" customWidth="1"/>
    <col min="9" max="9" width="23.85546875" customWidth="1"/>
    <col min="13" max="13" width="14.28515625" customWidth="1"/>
  </cols>
  <sheetData>
    <row r="1" spans="2:13" x14ac:dyDescent="0.25">
      <c r="C1" s="26">
        <v>2023</v>
      </c>
      <c r="D1" s="26"/>
      <c r="E1" s="26"/>
      <c r="F1" s="26"/>
      <c r="G1" s="7"/>
      <c r="J1" s="26">
        <v>2024</v>
      </c>
      <c r="K1" s="26"/>
      <c r="L1" s="26"/>
      <c r="M1" s="26"/>
    </row>
    <row r="2" spans="2:13" ht="60" x14ac:dyDescent="0.25">
      <c r="C2" s="3" t="s">
        <v>18</v>
      </c>
      <c r="D2" s="3" t="s">
        <v>17</v>
      </c>
      <c r="E2" s="3" t="s">
        <v>16</v>
      </c>
      <c r="F2" s="1" t="s">
        <v>197</v>
      </c>
      <c r="G2" s="8"/>
      <c r="J2" s="3" t="s">
        <v>18</v>
      </c>
      <c r="K2" s="3" t="s">
        <v>17</v>
      </c>
      <c r="L2" s="3" t="s">
        <v>16</v>
      </c>
      <c r="M2" s="1" t="s">
        <v>197</v>
      </c>
    </row>
    <row r="3" spans="2:13" ht="19.149999999999999" customHeight="1" x14ac:dyDescent="0.25">
      <c r="B3" s="5" t="s">
        <v>187</v>
      </c>
      <c r="C3" s="2">
        <v>2</v>
      </c>
      <c r="D3" s="2">
        <v>23</v>
      </c>
      <c r="E3" s="2">
        <f>SUM(C3:D3)</f>
        <v>25</v>
      </c>
      <c r="F3" s="5"/>
      <c r="G3" s="9"/>
      <c r="I3" s="5" t="s">
        <v>187</v>
      </c>
      <c r="J3" s="2">
        <v>18</v>
      </c>
      <c r="K3" s="2">
        <v>24</v>
      </c>
      <c r="L3" s="2">
        <f>SUM(J3:K3)</f>
        <v>42</v>
      </c>
      <c r="M3" s="5">
        <v>1</v>
      </c>
    </row>
    <row r="4" spans="2:13" ht="17.45" customHeight="1" x14ac:dyDescent="0.25">
      <c r="B4" s="5" t="s">
        <v>146</v>
      </c>
      <c r="C4" s="2">
        <v>7</v>
      </c>
      <c r="D4" s="2">
        <v>25</v>
      </c>
      <c r="E4" s="2">
        <f t="shared" ref="E4:E14" si="0">SUM(C4:D4)</f>
        <v>32</v>
      </c>
      <c r="F4" s="5">
        <v>2</v>
      </c>
      <c r="G4" s="9"/>
      <c r="I4" s="5" t="s">
        <v>146</v>
      </c>
      <c r="J4" s="2">
        <v>7</v>
      </c>
      <c r="K4" s="2">
        <v>24</v>
      </c>
      <c r="L4" s="2">
        <f t="shared" ref="L4:L14" si="1">SUM(J4:K4)</f>
        <v>31</v>
      </c>
      <c r="M4" s="5">
        <v>2</v>
      </c>
    </row>
    <row r="5" spans="2:13" ht="15.6" customHeight="1" x14ac:dyDescent="0.25">
      <c r="B5" s="5" t="s">
        <v>188</v>
      </c>
      <c r="C5" s="2">
        <v>21</v>
      </c>
      <c r="D5" s="2">
        <v>87</v>
      </c>
      <c r="E5" s="2">
        <f t="shared" si="0"/>
        <v>108</v>
      </c>
      <c r="F5" s="5">
        <v>4</v>
      </c>
      <c r="G5" s="9"/>
      <c r="I5" s="5" t="s">
        <v>188</v>
      </c>
      <c r="J5" s="2">
        <v>35</v>
      </c>
      <c r="K5" s="2">
        <v>93</v>
      </c>
      <c r="L5" s="2">
        <f t="shared" si="1"/>
        <v>128</v>
      </c>
      <c r="M5" s="5">
        <v>5</v>
      </c>
    </row>
    <row r="6" spans="2:13" ht="18" customHeight="1" x14ac:dyDescent="0.25">
      <c r="B6" s="5" t="s">
        <v>189</v>
      </c>
      <c r="C6" s="2">
        <v>9</v>
      </c>
      <c r="D6" s="2">
        <v>76</v>
      </c>
      <c r="E6" s="2">
        <f t="shared" si="0"/>
        <v>85</v>
      </c>
      <c r="F6" s="5">
        <v>5</v>
      </c>
      <c r="G6" s="9"/>
      <c r="I6" s="5" t="s">
        <v>189</v>
      </c>
      <c r="J6" s="2">
        <v>21</v>
      </c>
      <c r="K6" s="2">
        <v>76</v>
      </c>
      <c r="L6" s="2">
        <f t="shared" si="1"/>
        <v>97</v>
      </c>
      <c r="M6" s="5">
        <v>4</v>
      </c>
    </row>
    <row r="7" spans="2:13" ht="16.899999999999999" customHeight="1" x14ac:dyDescent="0.25">
      <c r="B7" s="5" t="s">
        <v>190</v>
      </c>
      <c r="C7" s="2">
        <v>12</v>
      </c>
      <c r="D7" s="2">
        <v>124</v>
      </c>
      <c r="E7" s="2">
        <f t="shared" si="0"/>
        <v>136</v>
      </c>
      <c r="F7" s="5">
        <v>9</v>
      </c>
      <c r="G7" s="9"/>
      <c r="I7" s="5" t="s">
        <v>190</v>
      </c>
      <c r="J7" s="2">
        <v>50</v>
      </c>
      <c r="K7" s="2">
        <v>127</v>
      </c>
      <c r="L7" s="2">
        <f t="shared" si="1"/>
        <v>177</v>
      </c>
      <c r="M7" s="5">
        <v>3</v>
      </c>
    </row>
    <row r="8" spans="2:13" x14ac:dyDescent="0.25">
      <c r="B8" s="5" t="s">
        <v>118</v>
      </c>
      <c r="C8" s="2"/>
      <c r="D8" s="2"/>
      <c r="E8" s="2">
        <f t="shared" si="0"/>
        <v>0</v>
      </c>
      <c r="F8" s="5">
        <v>1</v>
      </c>
      <c r="G8" s="9"/>
      <c r="I8" s="5" t="s">
        <v>118</v>
      </c>
      <c r="J8" s="2"/>
      <c r="K8" s="2"/>
      <c r="L8" s="2">
        <f t="shared" si="1"/>
        <v>0</v>
      </c>
      <c r="M8" s="5">
        <v>1</v>
      </c>
    </row>
    <row r="9" spans="2:13" ht="15.6" customHeight="1" x14ac:dyDescent="0.25">
      <c r="B9" s="5" t="s">
        <v>191</v>
      </c>
      <c r="C9" s="2">
        <v>3</v>
      </c>
      <c r="D9" s="2">
        <v>24</v>
      </c>
      <c r="E9" s="2">
        <f t="shared" si="0"/>
        <v>27</v>
      </c>
      <c r="F9" s="5">
        <v>2</v>
      </c>
      <c r="G9" s="9"/>
      <c r="I9" s="5" t="s">
        <v>191</v>
      </c>
      <c r="J9" s="2">
        <v>12</v>
      </c>
      <c r="K9" s="2">
        <v>26</v>
      </c>
      <c r="L9" s="2">
        <f t="shared" si="1"/>
        <v>38</v>
      </c>
      <c r="M9" s="5"/>
    </row>
    <row r="10" spans="2:13" ht="17.45" customHeight="1" x14ac:dyDescent="0.25">
      <c r="B10" s="5" t="s">
        <v>192</v>
      </c>
      <c r="C10" s="2">
        <v>34</v>
      </c>
      <c r="D10" s="2">
        <v>105</v>
      </c>
      <c r="E10" s="2">
        <f t="shared" si="0"/>
        <v>139</v>
      </c>
      <c r="F10" s="5">
        <v>7</v>
      </c>
      <c r="G10" s="9"/>
      <c r="I10" s="5" t="s">
        <v>192</v>
      </c>
      <c r="J10" s="2">
        <v>42</v>
      </c>
      <c r="K10" s="2">
        <v>112</v>
      </c>
      <c r="L10" s="2">
        <f t="shared" si="1"/>
        <v>154</v>
      </c>
      <c r="M10" s="5">
        <v>11</v>
      </c>
    </row>
    <row r="11" spans="2:13" ht="26.45" customHeight="1" x14ac:dyDescent="0.25">
      <c r="B11" s="5" t="s">
        <v>196</v>
      </c>
      <c r="C11" s="2">
        <v>3</v>
      </c>
      <c r="D11" s="2">
        <v>15</v>
      </c>
      <c r="E11" s="2">
        <f t="shared" si="0"/>
        <v>18</v>
      </c>
      <c r="F11" s="5"/>
      <c r="G11" s="9"/>
      <c r="I11" s="5" t="s">
        <v>196</v>
      </c>
      <c r="J11" s="2">
        <v>5</v>
      </c>
      <c r="K11" s="2">
        <v>15</v>
      </c>
      <c r="L11" s="2">
        <f t="shared" si="1"/>
        <v>20</v>
      </c>
      <c r="M11" s="5"/>
    </row>
    <row r="12" spans="2:13" ht="27" customHeight="1" x14ac:dyDescent="0.25">
      <c r="B12" s="5" t="s">
        <v>193</v>
      </c>
      <c r="C12" s="2">
        <v>4</v>
      </c>
      <c r="D12" s="2">
        <v>31</v>
      </c>
      <c r="E12" s="2">
        <f t="shared" si="0"/>
        <v>35</v>
      </c>
      <c r="F12" s="5"/>
      <c r="G12" s="9"/>
      <c r="I12" s="5" t="s">
        <v>193</v>
      </c>
      <c r="J12" s="2">
        <v>7</v>
      </c>
      <c r="K12" s="2">
        <v>34</v>
      </c>
      <c r="L12" s="2">
        <f t="shared" si="1"/>
        <v>41</v>
      </c>
      <c r="M12" s="5">
        <v>1</v>
      </c>
    </row>
    <row r="13" spans="2:13" ht="16.149999999999999" customHeight="1" x14ac:dyDescent="0.25">
      <c r="B13" s="5" t="s">
        <v>194</v>
      </c>
      <c r="C13" s="2">
        <v>7</v>
      </c>
      <c r="D13" s="2">
        <v>32</v>
      </c>
      <c r="E13" s="2">
        <f t="shared" si="0"/>
        <v>39</v>
      </c>
      <c r="F13" s="5">
        <v>1</v>
      </c>
      <c r="G13" s="9"/>
      <c r="I13" s="5" t="s">
        <v>194</v>
      </c>
      <c r="J13" s="2">
        <v>7</v>
      </c>
      <c r="K13" s="2">
        <v>29</v>
      </c>
      <c r="L13" s="2">
        <f t="shared" si="1"/>
        <v>36</v>
      </c>
      <c r="M13" s="5">
        <v>2</v>
      </c>
    </row>
    <row r="14" spans="2:13" ht="16.899999999999999" customHeight="1" x14ac:dyDescent="0.25">
      <c r="B14" s="5" t="s">
        <v>243</v>
      </c>
      <c r="C14" s="2">
        <v>1</v>
      </c>
      <c r="D14" s="2">
        <v>11</v>
      </c>
      <c r="E14" s="2">
        <f t="shared" si="0"/>
        <v>12</v>
      </c>
      <c r="F14" s="5">
        <v>1</v>
      </c>
      <c r="G14" s="9"/>
      <c r="I14" s="5" t="s">
        <v>195</v>
      </c>
      <c r="J14" s="2">
        <v>5</v>
      </c>
      <c r="K14" s="2">
        <v>11</v>
      </c>
      <c r="L14" s="2">
        <f t="shared" si="1"/>
        <v>16</v>
      </c>
      <c r="M14" s="5"/>
    </row>
  </sheetData>
  <mergeCells count="2">
    <mergeCell ref="J1:M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 commune soutenu </vt:lpstr>
      <vt:lpstr>Par canton soutenu</vt:lpstr>
      <vt:lpstr>Intercommunalité soutenu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DELCOURT PIERRE</dc:creator>
  <cp:lastModifiedBy>DELCOURT PIERRE</cp:lastModifiedBy>
  <cp:lastPrinted>2026-05-22T07:09:13Z</cp:lastPrinted>
  <dcterms:created xsi:type="dcterms:W3CDTF">2026-05-19T12:52:32Z</dcterms:created>
  <dcterms:modified xsi:type="dcterms:W3CDTF">2026-05-22T12:39:53Z</dcterms:modified>
</cp:coreProperties>
</file>