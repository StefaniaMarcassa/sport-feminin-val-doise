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F:\06_MDPD\CDVO - VF sous ORCA\Projets en cours par direction année N\DGAD\Sport\Etude sport féminin ILEPS\"/>
    </mc:Choice>
  </mc:AlternateContent>
  <xr:revisionPtr revIDLastSave="0" documentId="8_{1B1BC48D-5C62-49D4-A8BF-DB28D035DC14}" xr6:coauthVersionLast="47" xr6:coauthVersionMax="47" xr10:uidLastSave="{00000000-0000-0000-0000-000000000000}"/>
  <bookViews>
    <workbookView xWindow="1515" yWindow="1515" windowWidth="27285" windowHeight="13785" tabRatio="701" firstSheet="3" activeTab="8" xr2:uid="{00000000-000D-0000-FFFF-FFFF00000000}"/>
  </bookViews>
  <sheets>
    <sheet name="RES Licenciées" sheetId="4" r:id="rId1"/>
    <sheet name="RES Bénévoles" sheetId="17" r:id="rId2"/>
    <sheet name="RES Educatrices" sheetId="18" r:id="rId3"/>
    <sheet name="RES Arbitres" sheetId="19" r:id="rId4"/>
    <sheet name="RES Prés. Clubs" sheetId="5" r:id="rId5"/>
    <sheet name="RES Prés. Comités" sheetId="7" r:id="rId6"/>
    <sheet name="RES Prés. Fédérations" sheetId="6" r:id="rId7"/>
    <sheet name="Recap Général 2021" sheetId="1" r:id="rId8"/>
    <sheet name="Recap par clubs 2021" sheetId="15" r:id="rId9"/>
    <sheet name="Tableaux croisés dynamiques" sheetId="16" r:id="rId10"/>
  </sheets>
  <definedNames>
    <definedName name="_xlnm._FilterDatabase" localSheetId="8" hidden="1">'Recap par clubs 2021'!$C$195:$G$257</definedName>
    <definedName name="Segment_Discipline">#N/A</definedName>
    <definedName name="Segment_Discipline1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0" r:id="rId21"/>
    <pivotCache cacheId="11" r:id="rId22"/>
    <pivotCache cacheId="12" r:id="rId23"/>
    <pivotCache cacheId="13" r:id="rId24"/>
    <pivotCache cacheId="14" r:id="rId25"/>
    <pivotCache cacheId="15" r:id="rId26"/>
    <pivotCache cacheId="16" r:id="rId27"/>
  </pivotCaches>
  <extLst>
    <ext xmlns:x14="http://schemas.microsoft.com/office/spreadsheetml/2009/9/main" uri="{BBE1A952-AA13-448e-AADC-164F8A28A991}">
      <x14:slicerCaches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9" l="1"/>
  <c r="E23" i="18"/>
  <c r="E23" i="17"/>
  <c r="J23" i="4"/>
  <c r="E54" i="19" l="1"/>
  <c r="E50" i="19"/>
  <c r="E46" i="19"/>
  <c r="E45" i="19"/>
  <c r="E40" i="19"/>
  <c r="E38" i="19"/>
  <c r="E34" i="19"/>
  <c r="E32" i="19"/>
  <c r="E31" i="19"/>
  <c r="E29" i="19"/>
  <c r="E28" i="19"/>
  <c r="E27" i="19"/>
  <c r="E26" i="19"/>
  <c r="E25" i="19"/>
  <c r="E22" i="19"/>
  <c r="E20" i="19"/>
  <c r="E19" i="19"/>
  <c r="E18" i="19"/>
  <c r="E16" i="19"/>
  <c r="E14" i="19"/>
  <c r="E13" i="19"/>
  <c r="E12" i="19"/>
  <c r="E11" i="19"/>
  <c r="E6" i="19"/>
  <c r="E7" i="19"/>
  <c r="E8" i="19"/>
  <c r="E9" i="19"/>
  <c r="E5" i="19"/>
  <c r="E68" i="18"/>
  <c r="E61" i="18"/>
  <c r="E60" i="18"/>
  <c r="E54" i="18"/>
  <c r="E50" i="18"/>
  <c r="E48" i="18"/>
  <c r="E46" i="18"/>
  <c r="E45" i="18"/>
  <c r="E42" i="18"/>
  <c r="E41" i="18"/>
  <c r="E40" i="18"/>
  <c r="E38" i="18"/>
  <c r="E11" i="18"/>
  <c r="E12" i="18"/>
  <c r="E13" i="18"/>
  <c r="E14" i="18"/>
  <c r="E15" i="18"/>
  <c r="E16" i="18"/>
  <c r="E18" i="18"/>
  <c r="E19" i="18"/>
  <c r="E20" i="18"/>
  <c r="E21" i="18"/>
  <c r="E22" i="18"/>
  <c r="E25" i="18"/>
  <c r="E26" i="18"/>
  <c r="E27" i="18"/>
  <c r="E28" i="18"/>
  <c r="E29" i="18"/>
  <c r="E31" i="18"/>
  <c r="E34" i="18"/>
  <c r="E6" i="18"/>
  <c r="E7" i="18"/>
  <c r="E8" i="18"/>
  <c r="E9" i="18"/>
  <c r="E5" i="18"/>
  <c r="E68" i="17"/>
  <c r="E61" i="17"/>
  <c r="E60" i="17"/>
  <c r="E54" i="17"/>
  <c r="E50" i="17"/>
  <c r="E49" i="17"/>
  <c r="E48" i="17"/>
  <c r="E42" i="17"/>
  <c r="E40" i="17"/>
  <c r="E38" i="17"/>
  <c r="E7" i="17"/>
  <c r="E8" i="17"/>
  <c r="E9" i="17"/>
  <c r="E11" i="17"/>
  <c r="E12" i="17"/>
  <c r="E13" i="17"/>
  <c r="E14" i="17"/>
  <c r="E16" i="17"/>
  <c r="E18" i="17"/>
  <c r="E19" i="17"/>
  <c r="E22" i="17"/>
  <c r="E25" i="17"/>
  <c r="E26" i="17"/>
  <c r="E27" i="17"/>
  <c r="E28" i="17"/>
  <c r="E29" i="17"/>
  <c r="E31" i="17"/>
  <c r="E6" i="17"/>
  <c r="D69" i="17" l="1"/>
  <c r="C69" i="17"/>
  <c r="D64" i="17"/>
  <c r="C64" i="17"/>
  <c r="D57" i="17"/>
  <c r="C57" i="17"/>
  <c r="D51" i="17"/>
  <c r="C51" i="17"/>
  <c r="D35" i="17"/>
  <c r="C35" i="17"/>
  <c r="D69" i="19"/>
  <c r="C69" i="19"/>
  <c r="D64" i="19"/>
  <c r="C64" i="19"/>
  <c r="D57" i="19"/>
  <c r="C57" i="19"/>
  <c r="D51" i="19"/>
  <c r="C51" i="19"/>
  <c r="D35" i="19"/>
  <c r="C35" i="19"/>
  <c r="D69" i="18"/>
  <c r="C69" i="18"/>
  <c r="D64" i="18"/>
  <c r="C64" i="18"/>
  <c r="D57" i="18"/>
  <c r="C57" i="18"/>
  <c r="D51" i="18"/>
  <c r="C51" i="18"/>
  <c r="D35" i="18"/>
  <c r="C35" i="18"/>
  <c r="E51" i="17" l="1"/>
  <c r="E57" i="17"/>
  <c r="E64" i="17"/>
  <c r="C71" i="17"/>
  <c r="D71" i="17"/>
  <c r="E71" i="17" s="1"/>
  <c r="E35" i="17"/>
  <c r="E51" i="19"/>
  <c r="E57" i="19"/>
  <c r="C71" i="19"/>
  <c r="D71" i="19"/>
  <c r="E35" i="19"/>
  <c r="E51" i="18"/>
  <c r="E57" i="18"/>
  <c r="E64" i="18"/>
  <c r="E69" i="18"/>
  <c r="D71" i="18"/>
  <c r="E35" i="18"/>
  <c r="C71" i="18"/>
  <c r="E69" i="17"/>
  <c r="J1102" i="15"/>
  <c r="J973" i="15"/>
  <c r="J963" i="15"/>
  <c r="J935" i="15"/>
  <c r="J901" i="15"/>
  <c r="J810" i="15"/>
  <c r="J806" i="15"/>
  <c r="J802" i="15"/>
  <c r="J791" i="15"/>
  <c r="J735" i="15"/>
  <c r="J542" i="15"/>
  <c r="J524" i="15"/>
  <c r="J495" i="15"/>
  <c r="J467" i="15"/>
  <c r="J434" i="15"/>
  <c r="J363" i="15"/>
  <c r="J345" i="15"/>
  <c r="J198" i="15"/>
  <c r="J170" i="15"/>
  <c r="J148" i="15"/>
  <c r="J105" i="15"/>
  <c r="J66" i="15"/>
  <c r="J59" i="15"/>
  <c r="J22" i="15"/>
  <c r="J7" i="15"/>
  <c r="E71" i="19" l="1"/>
  <c r="E71" i="18"/>
  <c r="F67" i="4"/>
  <c r="F62" i="4"/>
  <c r="F63" i="4"/>
  <c r="F39" i="4"/>
  <c r="F40" i="4"/>
  <c r="F41" i="4"/>
  <c r="F42" i="4"/>
  <c r="F43" i="4"/>
  <c r="F44" i="4"/>
  <c r="F45" i="4"/>
  <c r="F46" i="4"/>
  <c r="F47" i="4"/>
  <c r="F33" i="4"/>
  <c r="F30" i="4"/>
  <c r="F24" i="4"/>
  <c r="F23" i="4"/>
  <c r="F17" i="4"/>
  <c r="F10" i="4"/>
  <c r="F12" i="4" l="1"/>
  <c r="F54" i="4" l="1"/>
  <c r="E6" i="5" l="1"/>
  <c r="F6" i="4"/>
  <c r="F48" i="4" l="1"/>
  <c r="F68" i="4" l="1"/>
  <c r="E35" i="4" l="1"/>
  <c r="D35" i="4"/>
  <c r="F27" i="4"/>
  <c r="D72" i="6"/>
  <c r="C72" i="6"/>
  <c r="C73" i="6" s="1"/>
  <c r="D73" i="6" l="1"/>
  <c r="F35" i="4"/>
  <c r="C73" i="7"/>
  <c r="D73" i="7"/>
  <c r="C74" i="7" l="1"/>
  <c r="D74" i="7" s="1"/>
  <c r="F5" i="4"/>
  <c r="E11" i="5" l="1"/>
  <c r="E8" i="5"/>
  <c r="F8" i="4"/>
  <c r="E20" i="5" l="1"/>
  <c r="E25" i="5"/>
  <c r="F26" i="4"/>
  <c r="F25" i="4"/>
  <c r="F20" i="4" l="1"/>
  <c r="E15" i="5" l="1"/>
  <c r="E16" i="5"/>
  <c r="F15" i="4"/>
  <c r="F50" i="4" l="1"/>
  <c r="F55" i="4"/>
  <c r="D69" i="5"/>
  <c r="D64" i="5"/>
  <c r="D57" i="5"/>
  <c r="D51" i="5"/>
  <c r="D35" i="5"/>
  <c r="E61" i="5"/>
  <c r="E60" i="5"/>
  <c r="E56" i="5"/>
  <c r="E50" i="5"/>
  <c r="E49" i="5"/>
  <c r="E45" i="5"/>
  <c r="E41" i="5"/>
  <c r="E38" i="5"/>
  <c r="E34" i="5"/>
  <c r="E32" i="5"/>
  <c r="E31" i="5"/>
  <c r="E29" i="5"/>
  <c r="E26" i="5"/>
  <c r="E22" i="5"/>
  <c r="E19" i="5"/>
  <c r="E18" i="5"/>
  <c r="E14" i="5"/>
  <c r="E13" i="5"/>
  <c r="E9" i="5"/>
  <c r="E7" i="5"/>
  <c r="C69" i="5"/>
  <c r="C64" i="5"/>
  <c r="E64" i="5" s="1"/>
  <c r="C57" i="5"/>
  <c r="E57" i="5" s="1"/>
  <c r="C51" i="5"/>
  <c r="C35" i="5"/>
  <c r="F60" i="4"/>
  <c r="F61" i="4"/>
  <c r="F56" i="4"/>
  <c r="F49" i="4"/>
  <c r="F38" i="4"/>
  <c r="F9" i="4"/>
  <c r="F11" i="4"/>
  <c r="F13" i="4"/>
  <c r="F14" i="4"/>
  <c r="F16" i="4"/>
  <c r="F18" i="4"/>
  <c r="F19" i="4"/>
  <c r="F21" i="4"/>
  <c r="F22" i="4"/>
  <c r="F28" i="4"/>
  <c r="F29" i="4"/>
  <c r="F31" i="4"/>
  <c r="F32" i="4"/>
  <c r="F34" i="4"/>
  <c r="F7" i="4"/>
  <c r="E69" i="4"/>
  <c r="D69" i="4"/>
  <c r="E64" i="4"/>
  <c r="D64" i="4"/>
  <c r="E57" i="4"/>
  <c r="D57" i="4"/>
  <c r="E51" i="4"/>
  <c r="D51" i="4"/>
  <c r="C69" i="4"/>
  <c r="C64" i="4"/>
  <c r="C57" i="4"/>
  <c r="C51" i="4"/>
  <c r="C35" i="4"/>
  <c r="E51" i="5" l="1"/>
  <c r="D71" i="5"/>
  <c r="C71" i="5"/>
  <c r="E35" i="5"/>
  <c r="F69" i="4"/>
  <c r="F64" i="4"/>
  <c r="F51" i="4"/>
  <c r="F57" i="4"/>
  <c r="C71" i="4"/>
  <c r="D71" i="4"/>
  <c r="E71" i="4"/>
  <c r="E71" i="5" l="1"/>
  <c r="F71" i="4"/>
</calcChain>
</file>

<file path=xl/sharedStrings.xml><?xml version="1.0" encoding="utf-8"?>
<sst xmlns="http://schemas.openxmlformats.org/spreadsheetml/2006/main" count="5186" uniqueCount="1301">
  <si>
    <t xml:space="preserve">Comité </t>
  </si>
  <si>
    <t>Nbr de clubs</t>
  </si>
  <si>
    <t>Nbr de bénévoles F</t>
  </si>
  <si>
    <t>Nbr d'éducatrices F</t>
  </si>
  <si>
    <t>Nbr d'arbitres F</t>
  </si>
  <si>
    <t>Badminton</t>
  </si>
  <si>
    <t>EPGV</t>
  </si>
  <si>
    <t>Escrime</t>
  </si>
  <si>
    <t>Football</t>
  </si>
  <si>
    <t>71 (F) - 111</t>
  </si>
  <si>
    <t xml:space="preserve">Gymnastique </t>
  </si>
  <si>
    <t>Handball</t>
  </si>
  <si>
    <t>Karaté</t>
  </si>
  <si>
    <t>-</t>
  </si>
  <si>
    <t xml:space="preserve">- </t>
  </si>
  <si>
    <t xml:space="preserve">Squash </t>
  </si>
  <si>
    <t>Sports de Glace</t>
  </si>
  <si>
    <t xml:space="preserve">Tennis </t>
  </si>
  <si>
    <t>Triathlon</t>
  </si>
  <si>
    <t xml:space="preserve">VolleyBall </t>
  </si>
  <si>
    <t xml:space="preserve">Nom du club </t>
  </si>
  <si>
    <t>Badminton Argenteuil Détente 95</t>
  </si>
  <si>
    <t>Présidents Badminton</t>
  </si>
  <si>
    <t>Pourcentage</t>
  </si>
  <si>
    <t>Les Volants Arnouville Gonesse</t>
  </si>
  <si>
    <t>Hommes</t>
  </si>
  <si>
    <t>Badminton Club Bessancourtois</t>
  </si>
  <si>
    <t>Femmes</t>
  </si>
  <si>
    <t>Bouffémont Badminton</t>
  </si>
  <si>
    <t xml:space="preserve">Inconnu </t>
  </si>
  <si>
    <t>Les Volants de Cergy</t>
  </si>
  <si>
    <t xml:space="preserve">Total </t>
  </si>
  <si>
    <t>AS Courdimanche</t>
  </si>
  <si>
    <t>Club Sportif Municipal Eaubonne</t>
  </si>
  <si>
    <t>Badminton Club Eragny</t>
  </si>
  <si>
    <t>Ermont Badminton Club</t>
  </si>
  <si>
    <t>Union Sportive Ezanville-Ecouen</t>
  </si>
  <si>
    <t>Badminton Club de Goussainville</t>
  </si>
  <si>
    <t>L’Herblaisienne</t>
  </si>
  <si>
    <t>Fous de la Raquette de Jouy-le-Moutier</t>
  </si>
  <si>
    <t>Association Sportive Luzarchoise</t>
  </si>
  <si>
    <t>Marly Bad</t>
  </si>
  <si>
    <t>Badminton Club de Menucourt</t>
  </si>
  <si>
    <t>Badminton Club des Bords de l’Oise</t>
  </si>
  <si>
    <t>Les Plumes Ignymontaines</t>
  </si>
  <si>
    <t>Montmagny-Sports</t>
  </si>
  <si>
    <t>U.S. Montsoult-Baillet-Maffliers</t>
  </si>
  <si>
    <t>Badminton Club de Pontoise</t>
  </si>
  <si>
    <t>Association Presloises de Badminton</t>
  </si>
  <si>
    <t>Vaillante Omnisport Saint-Brice</t>
  </si>
  <si>
    <t>Ass. Sport. Saint-Gratien Badminton</t>
  </si>
  <si>
    <t>Badminton Saint-Witz</t>
  </si>
  <si>
    <t>Omnia Sports de Sannois</t>
  </si>
  <si>
    <t>As du Volant Taverny-Saint-Leu</t>
  </si>
  <si>
    <t>UMOB GYMNASTIQUE VOLONTAIRE</t>
  </si>
  <si>
    <t>Présidents EPGV</t>
  </si>
  <si>
    <t>GYM VOLONTAIRE DOMONTOISE</t>
  </si>
  <si>
    <t>GV VIARMES ASNIERE SUR OISE</t>
  </si>
  <si>
    <t>AMICALE FRANCONVILLE GV</t>
  </si>
  <si>
    <t>VIVA GYM SANNOIS</t>
  </si>
  <si>
    <t>ASH GYM VOL D HERBLAY</t>
  </si>
  <si>
    <t>GYM VOLONTAIRE ERMONT</t>
  </si>
  <si>
    <t>GV GONESSE- VILLIERS</t>
  </si>
  <si>
    <t>GV L'ISLE ADAM PARMAIN</t>
  </si>
  <si>
    <t>CCT GYMNASTIQUE VOLONTAIRE</t>
  </si>
  <si>
    <t>C S P GYM PIERRELAYE</t>
  </si>
  <si>
    <t>GV SURVILLIERS</t>
  </si>
  <si>
    <t>A.S.O. GYM'TONIK</t>
  </si>
  <si>
    <t>GV de LUZARCHES</t>
  </si>
  <si>
    <t>ASH GYMNASTIQUE VOLONTAIRE</t>
  </si>
  <si>
    <t>CLUB DE GV FREPILLON</t>
  </si>
  <si>
    <t>GYM VOLONTAIRE DE MERIEL</t>
  </si>
  <si>
    <t>ASSOCIATION G V MENUCOURT</t>
  </si>
  <si>
    <t>ASSOCIATION GV DE PRESLES</t>
  </si>
  <si>
    <t>DYNAMIQUE GYM ERAGNY</t>
  </si>
  <si>
    <t>CLUB de l'AMITIE MONTMORENCY</t>
  </si>
  <si>
    <t>ASMEP JUDO AM GOUSSAINVILLE</t>
  </si>
  <si>
    <t>U S M B M</t>
  </si>
  <si>
    <t>AMACSL SECTION GV ST MARTIN DU TERTRE</t>
  </si>
  <si>
    <t>AMICALE ANCIENS ELEVES ST BRICE GV</t>
  </si>
  <si>
    <t>ASS. GYMNASTIQUE ANDILLOISE</t>
  </si>
  <si>
    <t>SMGVS JOIE DE VIVRE</t>
  </si>
  <si>
    <t>ASSOC GYM VOL NERVILLOISE</t>
  </si>
  <si>
    <t>GYMNASTIQUE VOLONTAIRE SAGY</t>
  </si>
  <si>
    <t>AMICALE LAIQUE GV MERY</t>
  </si>
  <si>
    <t>VAILLANTE OMNISPORT</t>
  </si>
  <si>
    <t>FOYER RURAL DE COURDIMANCHE</t>
  </si>
  <si>
    <t>UNION SPORTIVE ARGENTEUIL SECTION GV</t>
  </si>
  <si>
    <t>AMICALE SPORTIVE ATTAINVILLOISE</t>
  </si>
  <si>
    <t>GV SAINT GRATIEN</t>
  </si>
  <si>
    <t>GV DE CHAUMONTEL</t>
  </si>
  <si>
    <t>VITAGYM VAUREAL</t>
  </si>
  <si>
    <t>BEAUCHAMP LOISIRS ET CULTURE</t>
  </si>
  <si>
    <t>GYM 'VITALITE</t>
  </si>
  <si>
    <t>VIVA FORM MONTMAGNY</t>
  </si>
  <si>
    <t>SPORT EN LIBERTE</t>
  </si>
  <si>
    <t>COMA GYM DE MAINTIEN</t>
  </si>
  <si>
    <t>MAISON POUR TOUS BOISSY</t>
  </si>
  <si>
    <t>VITAGYM SPORT ET BIEN-ÊTRE</t>
  </si>
  <si>
    <t>OLYMPIC CLUB JOUY LE MOUTIER</t>
  </si>
  <si>
    <t>ASSOC GYMNIQUE BOUFFEMONT</t>
  </si>
  <si>
    <t>GYMNASTIQUE SPORTIVE AUVERSOISE GSA</t>
  </si>
  <si>
    <t>SAGA</t>
  </si>
  <si>
    <t>CLUB DU BEL AUTOMNE</t>
  </si>
  <si>
    <t>LES CLES DU BIEN ETRE</t>
  </si>
  <si>
    <t>CEPPE - FORME DYNAMISME ET BIEN ETRE</t>
  </si>
  <si>
    <t>GV SPORTS EN MARCHE</t>
  </si>
  <si>
    <t>COMA section YOGA</t>
  </si>
  <si>
    <t>METHODE CECILE PATIN</t>
  </si>
  <si>
    <t>Le YOGA de PRESLES</t>
  </si>
  <si>
    <t>ANCRE DE CHINE</t>
  </si>
  <si>
    <t>JUST FOR YOU</t>
  </si>
  <si>
    <t>ASSOCIATION GENERALE DES FAMILLES DE TAVERNY</t>
  </si>
  <si>
    <t>AH FITNESS</t>
  </si>
  <si>
    <t>GV Mesniloise</t>
  </si>
  <si>
    <t>GYM ET FORME</t>
  </si>
  <si>
    <t>CODEP ESPACES</t>
  </si>
  <si>
    <t>PERSAN</t>
  </si>
  <si>
    <t>Big Wall Franconville</t>
  </si>
  <si>
    <t>Présidents Escalade</t>
  </si>
  <si>
    <t xml:space="preserve">Pourcentage </t>
  </si>
  <si>
    <t>Block Out Cergy</t>
  </si>
  <si>
    <t xml:space="preserve">Hommes </t>
  </si>
  <si>
    <t>Club des Champioux Argenteuil</t>
  </si>
  <si>
    <t xml:space="preserve">Femmes </t>
  </si>
  <si>
    <t>Club Escalade Beaumontois</t>
  </si>
  <si>
    <t>Club Escalade Villers le Bel</t>
  </si>
  <si>
    <t>Club Vertical Ermontois</t>
  </si>
  <si>
    <t>GERC</t>
  </si>
  <si>
    <t>Les Lézards</t>
  </si>
  <si>
    <t>Mur d'Eau Île-de-France</t>
  </si>
  <si>
    <t>Verticale UNION</t>
  </si>
  <si>
    <t>Magny en Vexin</t>
  </si>
  <si>
    <t xml:space="preserve">Présidents Escrime </t>
  </si>
  <si>
    <t>Fosses Escrime</t>
  </si>
  <si>
    <t>L'Isle-Adam</t>
  </si>
  <si>
    <t>Cercle d'Escrime de Beaumont-sur-Oise</t>
  </si>
  <si>
    <t>ASC Escrime Cormeilles en Parisis</t>
  </si>
  <si>
    <t>La Riposte Ignonaise Montigny les Cormeilles</t>
  </si>
  <si>
    <t>Escrime Club de Franconville</t>
  </si>
  <si>
    <t>Cercle d'Escrime de Gonesse</t>
  </si>
  <si>
    <t>AS Herblay sur Seine</t>
  </si>
  <si>
    <t>C.S. Le Plessis Bouchard</t>
  </si>
  <si>
    <t>Isle-Adam CR</t>
  </si>
  <si>
    <t>Cercle d'Escrime de Saint Gratien</t>
  </si>
  <si>
    <t>Cercle d'Escrime de Cergy</t>
  </si>
  <si>
    <t>Cercle d'Escrime de Vauréal</t>
  </si>
  <si>
    <t>Escrime Club de Menucourt</t>
  </si>
  <si>
    <t>CREATIF</t>
  </si>
  <si>
    <t>NC</t>
  </si>
  <si>
    <t>CS Jouy-le-Moutier</t>
  </si>
  <si>
    <t>La Mesnie de Minn Wulf</t>
  </si>
  <si>
    <t xml:space="preserve">NC </t>
  </si>
  <si>
    <t>AVENIRS DE SURVILLIERS</t>
  </si>
  <si>
    <t xml:space="preserve">Présidents Football </t>
  </si>
  <si>
    <t>CORMEILLAIS ACS</t>
  </si>
  <si>
    <t>FRANCONVILLE FC</t>
  </si>
  <si>
    <t>BEAUCHAMP AS</t>
  </si>
  <si>
    <t>VIARMES ASNIERES OL</t>
  </si>
  <si>
    <t>MAGNY EN VEXIN FC</t>
  </si>
  <si>
    <t>SARCELLES AAS</t>
  </si>
  <si>
    <t>ST PRIX ES</t>
  </si>
  <si>
    <t>SOISY ANDILLY MARGENCY FC</t>
  </si>
  <si>
    <t>AUVERS ENNERY FC</t>
  </si>
  <si>
    <t>GONESSE RC</t>
  </si>
  <si>
    <t>AS ERAGNY FC</t>
  </si>
  <si>
    <t>ROISSY EN France FC</t>
  </si>
  <si>
    <t>MONTIGNY LES CORMEILLES F.O</t>
  </si>
  <si>
    <t>DOMONT FC</t>
  </si>
  <si>
    <t>SANNOIS ST GRATIEN ENTENTE</t>
  </si>
  <si>
    <t>MONTMAGNY SPORTS</t>
  </si>
  <si>
    <t>ST OUEN L’AUMONE AS</t>
  </si>
  <si>
    <t>PRESLES USL</t>
  </si>
  <si>
    <t>EAUBONNE CSM</t>
  </si>
  <si>
    <t>MARLY LA VILLE ES</t>
  </si>
  <si>
    <t>THILLAY VAUD’HERLAND ESM</t>
  </si>
  <si>
    <t>OSNY FC</t>
  </si>
  <si>
    <t>PUISEUX LOUVRES FC</t>
  </si>
  <si>
    <t>ARNOUVILLE AS</t>
  </si>
  <si>
    <t>GARGES FCM</t>
  </si>
  <si>
    <t>GROSLAY FC</t>
  </si>
  <si>
    <t>VEMARS ST WITZ FC</t>
  </si>
  <si>
    <t>BRUYERES BERNES USM</t>
  </si>
  <si>
    <t>GAFEPB</t>
  </si>
  <si>
    <t>ST BRICE FC</t>
  </si>
  <si>
    <t>FONTENAY EN PARISIS FC</t>
  </si>
  <si>
    <t>MENUCOURT AS</t>
  </si>
  <si>
    <t>ECOUEN FC</t>
  </si>
  <si>
    <t>BELLOY ST MARTIN ASC</t>
  </si>
  <si>
    <t>PARMAIN AC</t>
  </si>
  <si>
    <t>BEZONS USO</t>
  </si>
  <si>
    <t>NEUVILLE SUR OISE AS</t>
  </si>
  <si>
    <t>JOUY LE MOUTIER FC</t>
  </si>
  <si>
    <t>VAUREAL FCM</t>
  </si>
  <si>
    <t>ADAMOIS OL</t>
  </si>
  <si>
    <t>FOSSES UF</t>
  </si>
  <si>
    <t>COURDIMANCHE AS</t>
  </si>
  <si>
    <t>MONTMORENCY FC</t>
  </si>
  <si>
    <t>COSMOPOLITAN CLUB DE TAVERNY</t>
  </si>
  <si>
    <t>DEUIL ENGHIEN FC</t>
  </si>
  <si>
    <t>CHARS AS</t>
  </si>
  <si>
    <t>ST LEU 95 FC</t>
  </si>
  <si>
    <t>FUTSAL CLUB ELITE DE SANNOIS</t>
  </si>
  <si>
    <t>VILLIERS LE BEL JS</t>
  </si>
  <si>
    <t>PERSAN US 03</t>
  </si>
  <si>
    <t>PONTOISIENNE JS</t>
  </si>
  <si>
    <t>ERMONT AS</t>
  </si>
  <si>
    <t>ARGENTEUIL FC</t>
  </si>
  <si>
    <t>ECLAIR DE PUISEUX AS</t>
  </si>
  <si>
    <t>CERGY PONTOISE FC</t>
  </si>
  <si>
    <t>GARGES DJIBSON ASC</t>
  </si>
  <si>
    <t>CHAMPAGNE 95 SFC</t>
  </si>
  <si>
    <t>ACADEMIE FOOTBALL CLUB ERMONT</t>
  </si>
  <si>
    <t>VEXIN AS</t>
  </si>
  <si>
    <t>PARIS CLUB DE GOUSSAINVILLE FUTSAL</t>
  </si>
  <si>
    <t>ENT.MERY MERIEL BESSANCOURT</t>
  </si>
  <si>
    <t>PARISIS FC</t>
  </si>
  <si>
    <t>CLUB FUTSAL JEUNESSE PERSANAISE</t>
  </si>
  <si>
    <t>MARCOUVILLE CITY CERGY PONTOISE</t>
  </si>
  <si>
    <t>GOUSSAINVILLE FC</t>
  </si>
  <si>
    <t>ENT.BEAUMONT MOURS</t>
  </si>
  <si>
    <t>FOOT INDOOR LOISIR</t>
  </si>
  <si>
    <t>CHAUMONTEL LUZARCHES AS</t>
  </si>
  <si>
    <t>RACING CLUB D’ARGENTEUIL</t>
  </si>
  <si>
    <t>ATTAINVILLE FUTSAL</t>
  </si>
  <si>
    <t>Gymnastique</t>
  </si>
  <si>
    <t xml:space="preserve">Club Gymnique Ermont </t>
  </si>
  <si>
    <t>Présidents Gymnastique</t>
  </si>
  <si>
    <t>Albonaise Gymnastique de Franconville</t>
  </si>
  <si>
    <t>Etoile Goussaivilloise</t>
  </si>
  <si>
    <t xml:space="preserve">Association Gymnique Igny Montaine </t>
  </si>
  <si>
    <t>Association Saint Ouen l'Aumone Gymnastique</t>
  </si>
  <si>
    <t xml:space="preserve">Astus Soisy Sous Montmorency </t>
  </si>
  <si>
    <t xml:space="preserve">Avenir Survilliers </t>
  </si>
  <si>
    <t xml:space="preserve">Club Municipal Garges Les Gonesse GYM </t>
  </si>
  <si>
    <t xml:space="preserve">Club Olympique Multisport Argenteuil Gymnastique </t>
  </si>
  <si>
    <t xml:space="preserve">CERGY'M Club </t>
  </si>
  <si>
    <t>Association Amicale Sportive Sarcelles</t>
  </si>
  <si>
    <t xml:space="preserve">Alliance Gym Fosse - Marly La Ville </t>
  </si>
  <si>
    <t xml:space="preserve">Les Ecureuils de Saint Prix </t>
  </si>
  <si>
    <t xml:space="preserve">Argenteuil Gymnastique </t>
  </si>
  <si>
    <t xml:space="preserve">La Vigilante de Deuil </t>
  </si>
  <si>
    <t xml:space="preserve">Les Batelières d'Herblay </t>
  </si>
  <si>
    <t xml:space="preserve">Les Etoiles de Louvres </t>
  </si>
  <si>
    <t xml:space="preserve">Le Ruban Volant Vauréal </t>
  </si>
  <si>
    <t xml:space="preserve">GRS Taverny </t>
  </si>
  <si>
    <t xml:space="preserve">l'Herblaisienne </t>
  </si>
  <si>
    <t xml:space="preserve">Gym Américaine Sannois </t>
  </si>
  <si>
    <t xml:space="preserve">Top Fitness Club </t>
  </si>
  <si>
    <t xml:space="preserve">UNION sportive Ezanville Ecouen </t>
  </si>
  <si>
    <t xml:space="preserve">Cergy Pontoise Gymnastique Rythmique </t>
  </si>
  <si>
    <t xml:space="preserve">Fit Dance </t>
  </si>
  <si>
    <t xml:space="preserve">Club de Gymastique Montmorencien </t>
  </si>
  <si>
    <t xml:space="preserve">Association Sportive et Gymnique de Gonesse </t>
  </si>
  <si>
    <t xml:space="preserve">Club Gymnique Artistique d'Eaubonne </t>
  </si>
  <si>
    <t>COM ARGENTEUIL</t>
  </si>
  <si>
    <t>Présidents Handball</t>
  </si>
  <si>
    <t>HB SAINT BRICE</t>
  </si>
  <si>
    <t>CSM EAUBONNE</t>
  </si>
  <si>
    <t>HBC ARNOUVILLE GONESSE</t>
  </si>
  <si>
    <t>HBC FRANCONVILLE</t>
  </si>
  <si>
    <t>HB GOUSSAINVILLE</t>
  </si>
  <si>
    <t>USDEM</t>
  </si>
  <si>
    <t>"HAUT VAL-D'OISE HANDBALL L'ISLE-ADAM / PERSAN"</t>
  </si>
  <si>
    <t>AS ROISSY</t>
  </si>
  <si>
    <t>ST GRATIEN SANNOIS HB</t>
  </si>
  <si>
    <t>HBC ST LEU TAVERNY</t>
  </si>
  <si>
    <t>AS ST OUEN L'AUMONE</t>
  </si>
  <si>
    <t>HBC SANNOIS</t>
  </si>
  <si>
    <t>SOISY ANDILLY MARGENCY</t>
  </si>
  <si>
    <t>HBC BEAUCHAMP</t>
  </si>
  <si>
    <t>US ECOUEN/EZANVILLE</t>
  </si>
  <si>
    <t>FB2M HB</t>
  </si>
  <si>
    <t>MONTMAGNY</t>
  </si>
  <si>
    <t>AVENIR SURVILLIERS FOSSES MARLY</t>
  </si>
  <si>
    <t>HBC VILLIERS LE BEL</t>
  </si>
  <si>
    <t>HBC PARISIS (HERBLAY / MONTIGNY LES CORMEILLES)</t>
  </si>
  <si>
    <t>ASSOCIATION MARINOISE DE HANDBALL</t>
  </si>
  <si>
    <t>ACSC CORMEILLES HANDBALL</t>
  </si>
  <si>
    <t>CM GARGES HANDBALL</t>
  </si>
  <si>
    <t>MAGNY HB</t>
  </si>
  <si>
    <t>CERGY HANDBALL</t>
  </si>
  <si>
    <t>PONTOISE HANDBALL</t>
  </si>
  <si>
    <t>CLUB HANDBALL LOISIRS LOUPS WEZIENS</t>
  </si>
  <si>
    <t>AS SARCELLES</t>
  </si>
  <si>
    <t>Budo Club 95</t>
  </si>
  <si>
    <t xml:space="preserve">Présidents Karaté </t>
  </si>
  <si>
    <t>Karaté Club Taverny</t>
  </si>
  <si>
    <t>?</t>
  </si>
  <si>
    <t>Karaté Club Bouffemont</t>
  </si>
  <si>
    <t>Union Sportive Argenteuil</t>
  </si>
  <si>
    <t>Montmagny Sports</t>
  </si>
  <si>
    <t>Les Renards Blancs</t>
  </si>
  <si>
    <t>Timing</t>
  </si>
  <si>
    <t>Association Sportive de Vauréal</t>
  </si>
  <si>
    <t>Etoile Sportive des Champioux</t>
  </si>
  <si>
    <t>CKIAP</t>
  </si>
  <si>
    <t>AS Karaté Osny</t>
  </si>
  <si>
    <t>Association Karaté Soisy Andilly Margency</t>
  </si>
  <si>
    <t>Judo Club de Villiers le Bel</t>
  </si>
  <si>
    <t>KC de Plessis-Bouchard</t>
  </si>
  <si>
    <t>Budo Karaté Club de Pontoise</t>
  </si>
  <si>
    <t>Association Amicale Sportive Sarcelles Karaté</t>
  </si>
  <si>
    <t>ADB KTE Garges</t>
  </si>
  <si>
    <t>COM Argenteuil</t>
  </si>
  <si>
    <t>Karaté Club de Sannois</t>
  </si>
  <si>
    <t>Karaté Club de Montigny</t>
  </si>
  <si>
    <t>CKF 95</t>
  </si>
  <si>
    <t>USMBM Wado Kan</t>
  </si>
  <si>
    <t>ASV Karaté Club de Marines</t>
  </si>
  <si>
    <t>Assoc Sport Herblay ASHK</t>
  </si>
  <si>
    <t>Karaté Club de Saint Witz</t>
  </si>
  <si>
    <t>UMOB Karaté Club de Beaumont</t>
  </si>
  <si>
    <t>Viet Vo Dao Cergy</t>
  </si>
  <si>
    <t>ASMC Tieu Lam Noi Quyen Club</t>
  </si>
  <si>
    <t>Amical Club Sportif Cormeillaise</t>
  </si>
  <si>
    <t>Club SP Municipal Eaubonne</t>
  </si>
  <si>
    <t>Sport Ensemble</t>
  </si>
  <si>
    <t>Budo Club Montigny</t>
  </si>
  <si>
    <t>Union Karaté Tsuki</t>
  </si>
  <si>
    <t>Yoseikan Budo Vauréal</t>
  </si>
  <si>
    <t>Yi King Do Tokolelei</t>
  </si>
  <si>
    <t>Kime Club Karaté</t>
  </si>
  <si>
    <t>Assoa Karaté</t>
  </si>
  <si>
    <t>Karaté Club Domont</t>
  </si>
  <si>
    <t>SKJ Jouy Le Moutier</t>
  </si>
  <si>
    <t>SIU Lam Self Defense</t>
  </si>
  <si>
    <t>Maison des Loisirs et Culture</t>
  </si>
  <si>
    <t>Karaté Club de Goussainville</t>
  </si>
  <si>
    <t>Arts Martiaux Ermontois</t>
  </si>
  <si>
    <t>Gonesse Karaté Club</t>
  </si>
  <si>
    <t>Karaté Club Eragny</t>
  </si>
  <si>
    <t>Hehio Dojo Le Thillay</t>
  </si>
  <si>
    <t>Karaté CMOL</t>
  </si>
  <si>
    <t>Shotokan MC Marly La Ville</t>
  </si>
  <si>
    <t>Team Kombat Club Saint Brice</t>
  </si>
  <si>
    <t>Union Karaté Tsuki UKT Beauchamp</t>
  </si>
  <si>
    <t>Karaté Club de Fosses</t>
  </si>
  <si>
    <t>Les Dragons de la Récré</t>
  </si>
  <si>
    <t>Union de Viet Vo Dao De Méry</t>
  </si>
  <si>
    <t>Kim Ho Le Tigre Jaune</t>
  </si>
  <si>
    <t>Shin Kokyu Ryu Eam Val d'Oise</t>
  </si>
  <si>
    <t>Dragon de Taverny</t>
  </si>
  <si>
    <t>ASCA Ermont Yoseikan Aiki</t>
  </si>
  <si>
    <t>Sports Saint Clair</t>
  </si>
  <si>
    <t>Karaté Club Deuil-la-Barre</t>
  </si>
  <si>
    <t>Association de Sport et de Culture du Vietnam</t>
  </si>
  <si>
    <t>Geibukikan</t>
  </si>
  <si>
    <t>Kikentai Karaté Sait Leu</t>
  </si>
  <si>
    <t>Amt Thieu LamNoi Quyen CL NET NHI HO</t>
  </si>
  <si>
    <t>Yi King Do Jouy le Moutier</t>
  </si>
  <si>
    <t>Athletic Karaté Arnouville</t>
  </si>
  <si>
    <t>Union Sportive Argenteuillaise Section KravMaga</t>
  </si>
  <si>
    <t>Association Sportive Fight Budo Sport</t>
  </si>
  <si>
    <t>AS d'Arts Martiaux et de Bien Être NT HOA KIM LONG</t>
  </si>
  <si>
    <t>Nihon Tai Jitsu Club de Pierrelaye</t>
  </si>
  <si>
    <t>Karaté Pierrelaye</t>
  </si>
  <si>
    <t>Krav Maga du Plessis Bouchard</t>
  </si>
  <si>
    <t>Uraken Karaté Club</t>
  </si>
  <si>
    <t>Karaté Club Menoucourt</t>
  </si>
  <si>
    <t>Koryu Karaté Budo Traditionnel</t>
  </si>
  <si>
    <t>Tai Nui Kung Fu Academy</t>
  </si>
  <si>
    <t>Coma Club Olympique Multisports d'Argenteuil</t>
  </si>
  <si>
    <t>Crea Qi Long</t>
  </si>
  <si>
    <t xml:space="preserve">Yosekan Budo Val de France </t>
  </si>
  <si>
    <t>Union des Systèmes de Arts Multiples</t>
  </si>
  <si>
    <t>Viva Gym</t>
  </si>
  <si>
    <t>Karaté Oxygen Chars</t>
  </si>
  <si>
    <t>Boxing Union Club de Sannois</t>
  </si>
  <si>
    <t>ASLCV Karaté</t>
  </si>
  <si>
    <t>Krav Maga Sannois Défense</t>
  </si>
  <si>
    <t>Shotokan Karaté Club Vémars</t>
  </si>
  <si>
    <t>Dynamic Contact</t>
  </si>
  <si>
    <t>Yi-King Do Long Trung Thanh</t>
  </si>
  <si>
    <t>Wind Team Pankido</t>
  </si>
  <si>
    <t>Krav Maga Global Val d'Oise</t>
  </si>
  <si>
    <t>KEJ - Jouy le Moutier Elite Karaté</t>
  </si>
  <si>
    <t>Pontoise Judo</t>
  </si>
  <si>
    <t>Ecole de Karaté du Vexin</t>
  </si>
  <si>
    <t>Ikkyü</t>
  </si>
  <si>
    <t>Ecole de Silat Défense Adamois</t>
  </si>
  <si>
    <t>Aplmat Epluches 95</t>
  </si>
  <si>
    <t>BRUYERES USM</t>
  </si>
  <si>
    <t xml:space="preserve">Présidents Pétanque </t>
  </si>
  <si>
    <t>ASNIERES S/OISE CB</t>
  </si>
  <si>
    <t>BOULE MENUCOURTOISE</t>
  </si>
  <si>
    <t>CERGY RB</t>
  </si>
  <si>
    <t>JOUY LE MOUTIER</t>
  </si>
  <si>
    <t>SARCELLES AB</t>
  </si>
  <si>
    <t>VAUREAL AS</t>
  </si>
  <si>
    <t>BOULE MARLYSIENNE</t>
  </si>
  <si>
    <t>ECOUEN AB</t>
  </si>
  <si>
    <t>BEAUCHAMP PETANQUE</t>
  </si>
  <si>
    <t>FOSSES BS</t>
  </si>
  <si>
    <t>BELLOY CBBF</t>
  </si>
  <si>
    <t>AB VILLAINOIS</t>
  </si>
  <si>
    <t>ABC COURDIMANCHE</t>
  </si>
  <si>
    <t>MARGENCY</t>
  </si>
  <si>
    <t>PET. ADAMOISE</t>
  </si>
  <si>
    <t>SP SAINT OUEN L’AUM.</t>
  </si>
  <si>
    <t>DOMONTOISE</t>
  </si>
  <si>
    <t>VEMARS P.C</t>
  </si>
  <si>
    <t>TAVERNY PETANQUE</t>
  </si>
  <si>
    <t>BEAUMONT USMB</t>
  </si>
  <si>
    <t>MERY US</t>
  </si>
  <si>
    <t>HERBLAY ASP</t>
  </si>
  <si>
    <t>MERIEL PETANQUE</t>
  </si>
  <si>
    <t>MONTSOULT USMBM</t>
  </si>
  <si>
    <t>CHAMPAGNE SUR OISE</t>
  </si>
  <si>
    <t>BOULISTES DE TAVERNY</t>
  </si>
  <si>
    <t>ARNOUVILLE</t>
  </si>
  <si>
    <t>BOUFFEMONT</t>
  </si>
  <si>
    <t>FRANCONVILLE PC</t>
  </si>
  <si>
    <t>EZANVILLE</t>
  </si>
  <si>
    <t>SAINT BRICE AAE</t>
  </si>
  <si>
    <t>LUZARCHES ADL</t>
  </si>
  <si>
    <t>SANNOIS</t>
  </si>
  <si>
    <t>LOUVRES</t>
  </si>
  <si>
    <t>OSNY</t>
  </si>
  <si>
    <t>ARGENTEUIL</t>
  </si>
  <si>
    <t>MONTIGNY AB</t>
  </si>
  <si>
    <t>GONESSE</t>
  </si>
  <si>
    <t>ROISSY BR</t>
  </si>
  <si>
    <t>BESSANCOURT</t>
  </si>
  <si>
    <t>BAILLET</t>
  </si>
  <si>
    <t>PLESSIS BOUCHARD BS</t>
  </si>
  <si>
    <t xml:space="preserve">Présidents Squash </t>
  </si>
  <si>
    <t xml:space="preserve">OS Sannois </t>
  </si>
  <si>
    <t>Squash du Cygne Enghein</t>
  </si>
  <si>
    <t>Squash 95 Saint Ouen l'Aumone</t>
  </si>
  <si>
    <t xml:space="preserve">Argenteuil Sport de Glace </t>
  </si>
  <si>
    <t>Présidents Sports de Glace</t>
  </si>
  <si>
    <t xml:space="preserve">C.S.G Cergy Pontoise </t>
  </si>
  <si>
    <t xml:space="preserve">Franconville Sport de Glace </t>
  </si>
  <si>
    <t>Garge les Gonesse Sports de Glace</t>
  </si>
  <si>
    <t>Tennis</t>
  </si>
  <si>
    <t>A.S.P.T.T.  CERGY PONTOISE</t>
  </si>
  <si>
    <t>ABLEIGES TC</t>
  </si>
  <si>
    <t>Présidents Tennis</t>
  </si>
  <si>
    <t>ADAMOIS (LE TENNIS)</t>
  </si>
  <si>
    <t>ARGENTEUIL TENNIS CLUB</t>
  </si>
  <si>
    <t>ARNOUVILLE TC</t>
  </si>
  <si>
    <t>ARTHIES (AMICALE TENNIS D')</t>
  </si>
  <si>
    <t>AUVERSOIS TC</t>
  </si>
  <si>
    <t>BEAUCHAMP (AT)</t>
  </si>
  <si>
    <t>BEAUMONTOIS (TC)</t>
  </si>
  <si>
    <t>BESSANCOURT TC</t>
  </si>
  <si>
    <t>BEZONS (USO)</t>
  </si>
  <si>
    <t>BOISEMONT TENNIS LOISIRS</t>
  </si>
  <si>
    <t>BOUFFEMONT TC</t>
  </si>
  <si>
    <t>BUTRY TC</t>
  </si>
  <si>
    <t>BUXERIEN TC</t>
  </si>
  <si>
    <t>CERGY TC</t>
  </si>
  <si>
    <t>CHAMPAGNE (TC)</t>
  </si>
  <si>
    <t>CHAUMONTEL USCT</t>
  </si>
  <si>
    <t>CORMEILLAIS (ACS)</t>
  </si>
  <si>
    <t>CORMEILLES EN VEXIN TC</t>
  </si>
  <si>
    <t>COURDIMANCHE T.C</t>
  </si>
  <si>
    <t>DEUIL USDEM TENNIS</t>
  </si>
  <si>
    <t>DOMONT TENNIS CLUB</t>
  </si>
  <si>
    <t>EAUBONNE (CSM)</t>
  </si>
  <si>
    <t>EAUBONNE (JA)</t>
  </si>
  <si>
    <t>ENGHIEN TC</t>
  </si>
  <si>
    <t>ENNERY US</t>
  </si>
  <si>
    <t>ERAGNY  TC</t>
  </si>
  <si>
    <t>ERMONT A.C.T.</t>
  </si>
  <si>
    <t>EZANVILLE-ECOUEN (US)</t>
  </si>
  <si>
    <t>FONTENAY TENNIS CLUB</t>
  </si>
  <si>
    <t>FOSSES (AT)</t>
  </si>
  <si>
    <t>FRANCONVILLE TC</t>
  </si>
  <si>
    <t>GARGEOISE (AS)</t>
  </si>
  <si>
    <t>GONESSE TC</t>
  </si>
  <si>
    <t>GOUSSAINVILLE (TCM)</t>
  </si>
  <si>
    <t>GROSLAY TENNIS CLUB</t>
  </si>
  <si>
    <t>GUYONNAIS TC</t>
  </si>
  <si>
    <t>HERBLAY (AST)</t>
  </si>
  <si>
    <t>JOCASSIEN TC</t>
  </si>
  <si>
    <t>LA CHATAIGNERAIE  TC</t>
  </si>
  <si>
    <t>LA FRETTE TC</t>
  </si>
  <si>
    <t>LOUVRES (CMO)</t>
  </si>
  <si>
    <t>LUZARCHES (TC)</t>
  </si>
  <si>
    <t>MAGNY (TC)</t>
  </si>
  <si>
    <t>MARGENCY (TC)</t>
  </si>
  <si>
    <t>MARINES (TC)</t>
  </si>
  <si>
    <t>MARLY LA VILLE TENNIS CLUB</t>
  </si>
  <si>
    <t>MENUCOURT TC</t>
  </si>
  <si>
    <t>MERIEL (AT)</t>
  </si>
  <si>
    <t>MERY SUR OISE TC</t>
  </si>
  <si>
    <t>MONTIGNY (TENNIS CLUB MUNICIPAL)</t>
  </si>
  <si>
    <t>MONTLIGNON TC</t>
  </si>
  <si>
    <t>MONTMAGNY CH GRIMAUD TC</t>
  </si>
  <si>
    <t>MONTMORENCY TC</t>
  </si>
  <si>
    <t>MONTSOULT-BAILLET (US)</t>
  </si>
  <si>
    <t>NESLOIS TC</t>
  </si>
  <si>
    <t>NEUVILLOIS TC</t>
  </si>
  <si>
    <t>OSNY (ATL)</t>
  </si>
  <si>
    <t>PERSAN (TC)</t>
  </si>
  <si>
    <t>PIERRELAYE (CS)</t>
  </si>
  <si>
    <t>PLESSIS BOUCHARD  TC</t>
  </si>
  <si>
    <t>PONTOISE TC</t>
  </si>
  <si>
    <t>PRESLES TC</t>
  </si>
  <si>
    <t>PUISEUX TC</t>
  </si>
  <si>
    <t>ROISSY EN FRANCE TC</t>
  </si>
  <si>
    <t>SAGY TC</t>
  </si>
  <si>
    <t>SAINT BRICE (AAE)</t>
  </si>
  <si>
    <t>SAINT GRATIEN TC</t>
  </si>
  <si>
    <t>SAINT MARTIN DU TERTRE TC</t>
  </si>
  <si>
    <t>SAINT OUEN L'AUMONE (ASSOA)</t>
  </si>
  <si>
    <t>SAINT PRIX TC</t>
  </si>
  <si>
    <t>SANNOIS OSS</t>
  </si>
  <si>
    <t>SANTEUIL (TENNIS CLUB)</t>
  </si>
  <si>
    <t>SARCELLOIS TC - A.S.S</t>
  </si>
  <si>
    <t>SOISY TC</t>
  </si>
  <si>
    <t>SOURCE TC</t>
  </si>
  <si>
    <t>SURVILLIERS (AVENIR DE)</t>
  </si>
  <si>
    <t>TAVERNY (CCT)</t>
  </si>
  <si>
    <t>US TC</t>
  </si>
  <si>
    <t>VAUREAL TC</t>
  </si>
  <si>
    <t>VEMARS TC</t>
  </si>
  <si>
    <t>VETHEUIL TC</t>
  </si>
  <si>
    <t>VIARMES ASNIERES TC</t>
  </si>
  <si>
    <t>VIENNE EN ARTHIES TC</t>
  </si>
  <si>
    <t>VIGNY TC</t>
  </si>
  <si>
    <t>VILLIERS LE BEL TC</t>
  </si>
  <si>
    <t>WEZIEN TC</t>
  </si>
  <si>
    <t>TRIATHLON SANNOIS FRANCONVILLE</t>
  </si>
  <si>
    <t>Présidents Triathlon</t>
  </si>
  <si>
    <t>T.N.T. EZANVILLE</t>
  </si>
  <si>
    <t>TRIAXION</t>
  </si>
  <si>
    <t>BEAUMONT TRIATHLON</t>
  </si>
  <si>
    <t>U.S.O. BEZONS</t>
  </si>
  <si>
    <t>AC MARINES</t>
  </si>
  <si>
    <t>AGUISA TEAM TRIATHLON STORE</t>
  </si>
  <si>
    <t>TRIATHLON UDSPVO</t>
  </si>
  <si>
    <t>RAID LIFE</t>
  </si>
  <si>
    <t>LIB AIR TRAIL</t>
  </si>
  <si>
    <t>VALLEE DE MONTMORENCY TRIATHLON</t>
  </si>
  <si>
    <t>Volleyball</t>
  </si>
  <si>
    <t>GS VOLLEY DEPARTEMENTAL DU VAL D'OISE</t>
  </si>
  <si>
    <t>Présidents Volleyball</t>
  </si>
  <si>
    <t>A.S. V.B. ENGHEIN-DEUIL</t>
  </si>
  <si>
    <t>AS VOLLEY BALL CERGY</t>
  </si>
  <si>
    <t>I.A.F.V.O.</t>
  </si>
  <si>
    <t>AS. VOLLEY OSNY PONTOISE</t>
  </si>
  <si>
    <t>COLLEGE A. DE ST EXUPERY ERMONT</t>
  </si>
  <si>
    <t>AS VOLLEYEURS DU PLESSIS BOUCHARD</t>
  </si>
  <si>
    <t>US MONTSOULT-BAILLET-MAFFLIERS</t>
  </si>
  <si>
    <t>MONTMORENCY VOLLEY BALL</t>
  </si>
  <si>
    <t>IMPERIUM GARGES VOLLEY-BALL</t>
  </si>
  <si>
    <t>SOCIETE VB FRANCONVILLE</t>
  </si>
  <si>
    <t>AS VOLLEY-BALL TAVERNY SAINT-LEU</t>
  </si>
  <si>
    <t>AMICAL CS CORMEILLAIS</t>
  </si>
  <si>
    <t>ARGENTEUIL VOLLEY BALL 95</t>
  </si>
  <si>
    <t>AS DE ST OUEN L AUMONE</t>
  </si>
  <si>
    <t>JEUNESSE SANNOIS ST-GRATIEN</t>
  </si>
  <si>
    <t>V.B. CLUB ERMONT</t>
  </si>
  <si>
    <t>CLUB SPORTIF DE GONESSE</t>
  </si>
  <si>
    <t>MONTIGNY VOLLEY 95</t>
  </si>
  <si>
    <t>ASSOCIATION SPORTIVE D'HERBLAY</t>
  </si>
  <si>
    <t>Fédération Unisport Olympique</t>
  </si>
  <si>
    <t>Nombre de licenciés VO</t>
  </si>
  <si>
    <t>Athlétisme</t>
  </si>
  <si>
    <t>Aviron</t>
  </si>
  <si>
    <t xml:space="preserve">Basket Ball </t>
  </si>
  <si>
    <t xml:space="preserve">Boxe Anglaise </t>
  </si>
  <si>
    <t xml:space="preserve">Cyclisme </t>
  </si>
  <si>
    <t xml:space="preserve">Equitation </t>
  </si>
  <si>
    <t xml:space="preserve">Escrime </t>
  </si>
  <si>
    <t xml:space="preserve">Football </t>
  </si>
  <si>
    <t>Haltérophilie</t>
  </si>
  <si>
    <t xml:space="preserve">Handball </t>
  </si>
  <si>
    <t xml:space="preserve">Hockey sur Glace </t>
  </si>
  <si>
    <t xml:space="preserve">Judo </t>
  </si>
  <si>
    <t xml:space="preserve">Natation </t>
  </si>
  <si>
    <t xml:space="preserve">Sports de Glace </t>
  </si>
  <si>
    <t xml:space="preserve">Tennis de Table </t>
  </si>
  <si>
    <t>Tir</t>
  </si>
  <si>
    <t xml:space="preserve">Tir à l'arc </t>
  </si>
  <si>
    <t xml:space="preserve">Voile </t>
  </si>
  <si>
    <t xml:space="preserve">Volley Ball </t>
  </si>
  <si>
    <t xml:space="preserve">Sous Total </t>
  </si>
  <si>
    <t>Fédération Unisport Non Olympique</t>
  </si>
  <si>
    <t>Aikido Budo</t>
  </si>
  <si>
    <t xml:space="preserve">Billard </t>
  </si>
  <si>
    <t xml:space="preserve">Course d'Orientation </t>
  </si>
  <si>
    <t xml:space="preserve">Cyclotourisme </t>
  </si>
  <si>
    <t xml:space="preserve">Danse </t>
  </si>
  <si>
    <t xml:space="preserve">Foot Américain </t>
  </si>
  <si>
    <t>Montagne et Escalade</t>
  </si>
  <si>
    <t xml:space="preserve">Plongée Subaquatique </t>
  </si>
  <si>
    <t xml:space="preserve">Rugby </t>
  </si>
  <si>
    <t xml:space="preserve">Spéléologie </t>
  </si>
  <si>
    <t xml:space="preserve">FSCF </t>
  </si>
  <si>
    <t xml:space="preserve">FSGT </t>
  </si>
  <si>
    <t xml:space="preserve">UFOLEP </t>
  </si>
  <si>
    <t xml:space="preserve">Handisport </t>
  </si>
  <si>
    <t xml:space="preserve">Médailles Jeunesse et Sport </t>
  </si>
  <si>
    <t xml:space="preserve">Retraite Sportive </t>
  </si>
  <si>
    <t>Sport Adapté</t>
  </si>
  <si>
    <t xml:space="preserve">U.N.S.S </t>
  </si>
  <si>
    <t>U.S.E.P</t>
  </si>
  <si>
    <t>Cyclisme</t>
  </si>
  <si>
    <t>BCUO</t>
  </si>
  <si>
    <t>US Domont</t>
  </si>
  <si>
    <t>AS Herblay</t>
  </si>
  <si>
    <t>Val D'Oise DC</t>
  </si>
  <si>
    <t>Argenteuil Val de Seine</t>
  </si>
  <si>
    <t>ACVO</t>
  </si>
  <si>
    <t>US Ezainville Ecoucu</t>
  </si>
  <si>
    <t>OCVO</t>
  </si>
  <si>
    <t>ASGLB</t>
  </si>
  <si>
    <t>PAC 95</t>
  </si>
  <si>
    <t>ES Persan</t>
  </si>
  <si>
    <t>Europe Moto Sport</t>
  </si>
  <si>
    <t>Osny BMX Club</t>
  </si>
  <si>
    <t>BC Eragny</t>
  </si>
  <si>
    <t>AC Marines</t>
  </si>
  <si>
    <t>EC Osny Pontoise</t>
  </si>
  <si>
    <t>Avenir de Survilliers</t>
  </si>
  <si>
    <t>Vélo 9 et Compagnie</t>
  </si>
  <si>
    <t>Hittas Social Club</t>
  </si>
  <si>
    <t>Sangliers du Vexin</t>
  </si>
  <si>
    <t>Team Bike St Prix</t>
  </si>
  <si>
    <t>EC Goussainville</t>
  </si>
  <si>
    <t>Présidents Cyclisme</t>
  </si>
  <si>
    <t>Tableau récapitulatif de l'enquête sur le Sport Féminin 2021</t>
  </si>
  <si>
    <t>BasketBall</t>
  </si>
  <si>
    <t>AAS SARCELLES BB</t>
  </si>
  <si>
    <t>ACS CORMEILLAIS</t>
  </si>
  <si>
    <t>AS BESSANCOURT</t>
  </si>
  <si>
    <t>SAINT BRICE BASKET</t>
  </si>
  <si>
    <t>AUVERS BC</t>
  </si>
  <si>
    <t>BC ERMONT</t>
  </si>
  <si>
    <t>BC FRANCONVILLE PB</t>
  </si>
  <si>
    <t>BC TAVERNY MONTIGNY</t>
  </si>
  <si>
    <t>CM GARGES LES GONESSE</t>
  </si>
  <si>
    <t>CM ORVILLE DE LOUVRES</t>
  </si>
  <si>
    <t>USDEM BASKET</t>
  </si>
  <si>
    <t>ARGENTEUIL BB</t>
  </si>
  <si>
    <t>HERBLAY BASKETBALL CLUB</t>
  </si>
  <si>
    <t>E ST LEU B</t>
  </si>
  <si>
    <t>Entente Fosses Marly Basket Club</t>
  </si>
  <si>
    <t>O SANNOIS ST GRATIEN</t>
  </si>
  <si>
    <t>UM0 BEAUMONT B</t>
  </si>
  <si>
    <t>MAGNY VEXIN BASKET</t>
  </si>
  <si>
    <t>DOMONT B</t>
  </si>
  <si>
    <t>US O BEZONS</t>
  </si>
  <si>
    <t>CERGY-PONTOISE BB</t>
  </si>
  <si>
    <t>ERAGNY BC</t>
  </si>
  <si>
    <t>BC L'ISLE ADAM</t>
  </si>
  <si>
    <t>US ENNERY BB</t>
  </si>
  <si>
    <t>BC BEAUCHAMP</t>
  </si>
  <si>
    <t>MACCABI SARCELLES</t>
  </si>
  <si>
    <t>BOUFFEMONT AC B</t>
  </si>
  <si>
    <t>CS PIERRELAYE</t>
  </si>
  <si>
    <t>BC FREPILLON MERIEL MERY</t>
  </si>
  <si>
    <t>VAUREAL BC</t>
  </si>
  <si>
    <t>MENUCOURT BC</t>
  </si>
  <si>
    <t>ES CHAMBLY PERSAN</t>
  </si>
  <si>
    <t>ETOILE GROSLAY BASKET</t>
  </si>
  <si>
    <t>EST VAL D'OISE BASKET</t>
  </si>
  <si>
    <t>VILLIERS LE BEL BASKET (VLB B)</t>
  </si>
  <si>
    <t>Présidents BasketBall</t>
  </si>
  <si>
    <t xml:space="preserve">Nbr de féminines </t>
  </si>
  <si>
    <t>Hockey sur Glace</t>
  </si>
  <si>
    <t>Hockey Club de Cergy-Pontoise</t>
  </si>
  <si>
    <t>Franconville Hockey Club</t>
  </si>
  <si>
    <t>Argenteuil Sports de Glace</t>
  </si>
  <si>
    <t>Garges Hockey Club</t>
  </si>
  <si>
    <t>Deuil CSG</t>
  </si>
  <si>
    <t>Présidents Hockey</t>
  </si>
  <si>
    <t>UFOLEP</t>
  </si>
  <si>
    <t>A. LAIQUE  MERY SUR OISE</t>
  </si>
  <si>
    <t>A.D.A.N.  CERGY</t>
  </si>
  <si>
    <t>A.S HERBLAY CYCLISTE</t>
  </si>
  <si>
    <t>A.S.G. GONESSE</t>
  </si>
  <si>
    <t>A.S.L. VILLERON</t>
  </si>
  <si>
    <t>ACTION FORM'</t>
  </si>
  <si>
    <t>AMICALE LAIQUE  MAFFLIERS</t>
  </si>
  <si>
    <t>AMICALE LAIQUE DE BEAUCHAMP</t>
  </si>
  <si>
    <t>ARABESQUE GYMNIQUE BEAUCHAMP</t>
  </si>
  <si>
    <t>ASS. CYCLISTE MARINES</t>
  </si>
  <si>
    <t>ASSOA GYMNASTIQUE</t>
  </si>
  <si>
    <t>AVENIR CYCLISTE BESSANCOURT</t>
  </si>
  <si>
    <t>AVENIR CYCLISTE DU VAL D'OISE</t>
  </si>
  <si>
    <t>AVENIR DE SURVILLIERS VTT LA HARDE</t>
  </si>
  <si>
    <t>CLUB CYCLISTE BAILLET EN FRANCE</t>
  </si>
  <si>
    <t>CLUB DE GYMNASTIQUE EVOLUTION</t>
  </si>
  <si>
    <t>CLUB MUNICIPAL D'ORVILLE DE LOUVRES (CMOL)</t>
  </si>
  <si>
    <t>CLUB OMNISPORT COURDIMANCHE</t>
  </si>
  <si>
    <t>CLUB OSHUKAI COURDIMANCHE</t>
  </si>
  <si>
    <t>COUNTRY VELO CLUB  MERY SUR OISE</t>
  </si>
  <si>
    <t>ELAN GYMNIQUE VAUREAL</t>
  </si>
  <si>
    <t>ENTENTE CYCLISTE OSNY PONTOISE</t>
  </si>
  <si>
    <t>ESPOIRS GYMNIQUES D'OSNY</t>
  </si>
  <si>
    <t>EX-AEQUO</t>
  </si>
  <si>
    <t>FOYER RURAL AINCOURT</t>
  </si>
  <si>
    <t>G.S.A. ERAGNY SUR OISE</t>
  </si>
  <si>
    <t>GYM MENUCOURTOISE</t>
  </si>
  <si>
    <t>GYMNASTIQUE SPORTIVE AUVERSOISE</t>
  </si>
  <si>
    <t>JOGGING CLUB BRUYERES</t>
  </si>
  <si>
    <t>LES ARCHERS DE SAINT PRIX</t>
  </si>
  <si>
    <t>LES ENFANTS DE ST MARTIN DU TERTRE</t>
  </si>
  <si>
    <t>LES FEUX FOLLETS BERNES</t>
  </si>
  <si>
    <t>LES SANGLIERS DU VEXIN</t>
  </si>
  <si>
    <t>MARELLE ET BASKETS</t>
  </si>
  <si>
    <t>MOINA ASSOCIATION JEUNESSE 95</t>
  </si>
  <si>
    <t>MONTMAGNY-SPORTS</t>
  </si>
  <si>
    <t>OC JOUY LE MOUTIER  - section Gymnastique</t>
  </si>
  <si>
    <t>OLYMPIQUE CYCLISTE VAL D'OISE</t>
  </si>
  <si>
    <t>OSHUKAI AVENIRS</t>
  </si>
  <si>
    <t>PHONG TRAO VOVINAM VIET VO DAO</t>
  </si>
  <si>
    <t>RAID NATURE BUTRY</t>
  </si>
  <si>
    <t>RKC LE CLUB UFOLEP</t>
  </si>
  <si>
    <t>ROLLER EAGLES  CERGY PONTOISE</t>
  </si>
  <si>
    <t>SOCIETE PONTOISE DE GYM.</t>
  </si>
  <si>
    <t>SPORT ET PARTAGE 95</t>
  </si>
  <si>
    <t>SPORTS COCKTAIL ST PRIX</t>
  </si>
  <si>
    <t>UNION CYCLISTE FOSSES-MARLY</t>
  </si>
  <si>
    <t>UNION SPORTIVE  EZANVILLE ECOUEN CYCLISME</t>
  </si>
  <si>
    <t>US ENNERY JUDO</t>
  </si>
  <si>
    <t>USMBM VTT</t>
  </si>
  <si>
    <t>52 sur 70</t>
  </si>
  <si>
    <t xml:space="preserve">Présidents UFOLEP </t>
  </si>
  <si>
    <t>Nbr TOTAL pratiquants</t>
  </si>
  <si>
    <t>Nbr de pratiquantes F</t>
  </si>
  <si>
    <t>Aïkido et Budo</t>
  </si>
  <si>
    <t>BaseBall</t>
  </si>
  <si>
    <t>Billard</t>
  </si>
  <si>
    <t>Boxe Anglaise</t>
  </si>
  <si>
    <t>Course d'orientation</t>
  </si>
  <si>
    <t>Cyclotourisme</t>
  </si>
  <si>
    <t>Danse</t>
  </si>
  <si>
    <t>Echecs</t>
  </si>
  <si>
    <t>Equitation</t>
  </si>
  <si>
    <t>Flying Disc</t>
  </si>
  <si>
    <t>Football Américain</t>
  </si>
  <si>
    <t>FSCF</t>
  </si>
  <si>
    <t>FSGT</t>
  </si>
  <si>
    <t>Golf</t>
  </si>
  <si>
    <t>Handisport</t>
  </si>
  <si>
    <t>Judo</t>
  </si>
  <si>
    <t>Natation</t>
  </si>
  <si>
    <t>Pétanque et Jeu provençal</t>
  </si>
  <si>
    <t>Plongée Sous-Marine</t>
  </si>
  <si>
    <t>Randonnée Pédestre</t>
  </si>
  <si>
    <t>Retraite Sportive</t>
  </si>
  <si>
    <t>Roller sports et Skateboard</t>
  </si>
  <si>
    <t>Rugby</t>
  </si>
  <si>
    <t>Spéléologie</t>
  </si>
  <si>
    <t>Taekwendo</t>
  </si>
  <si>
    <t>Tennis de Table</t>
  </si>
  <si>
    <t>Tir à l'Arc</t>
  </si>
  <si>
    <t>UNSS</t>
  </si>
  <si>
    <t>USEP</t>
  </si>
  <si>
    <t>Voile</t>
  </si>
  <si>
    <t>96 sur 108</t>
  </si>
  <si>
    <t>Nbr TOTAL bénévoles</t>
  </si>
  <si>
    <t>Arts martiaux Courdimanche</t>
  </si>
  <si>
    <t>USM Aikido</t>
  </si>
  <si>
    <t>CSME Art Martiaux</t>
  </si>
  <si>
    <t>Budokan Deuil la Barre</t>
  </si>
  <si>
    <t>AS Saint Gratien Aikido</t>
  </si>
  <si>
    <t>Aikido Energie Saint Prix</t>
  </si>
  <si>
    <t>Aikido club Soisy sous Montmorency</t>
  </si>
  <si>
    <t>Dojo de l’Aubette</t>
  </si>
  <si>
    <t>Aikido club de Puiseux en France</t>
  </si>
  <si>
    <t>Aikikai de Sarcelles</t>
  </si>
  <si>
    <t>Aikido club Sannois</t>
  </si>
  <si>
    <t>Association Champenoise d’Aikido</t>
  </si>
  <si>
    <t>Aikido Adamois</t>
  </si>
  <si>
    <t>USEE Ezanville section aikido</t>
  </si>
  <si>
    <t>Aikikai de Montmorency</t>
  </si>
  <si>
    <t>Présidents Aïkido</t>
  </si>
  <si>
    <t>Aïkido</t>
  </si>
  <si>
    <t>ENTENTE AGGLOMERATION CERGY PONTOISE ATHLETISME</t>
  </si>
  <si>
    <t>DIALOGUE ET LIBERTE DES SOURDS</t>
  </si>
  <si>
    <t>ETERNAL VICTORY</t>
  </si>
  <si>
    <t>ASSOCIATION SPORTIVE CERGY PONTOISE HANDISPORT</t>
  </si>
  <si>
    <t>INSTITUT D'EDUCATION MOTRICE MADELEINE FOCKENBERGHE</t>
  </si>
  <si>
    <t>AILES V VOUS</t>
  </si>
  <si>
    <t>ASSOCIATION AMICALE SPORTIVE DE SARCELLES RUGBY</t>
  </si>
  <si>
    <t>ASPPH</t>
  </si>
  <si>
    <t>CERGY PONTOISE NATATION</t>
  </si>
  <si>
    <t>CERCLE SPORTIF PLESSIS BOUCHARD</t>
  </si>
  <si>
    <t>ACADEMIE DE BILLARD D'ARGENTEUIL</t>
  </si>
  <si>
    <t>HANDISPORT ARGENTEUIL CLUB</t>
  </si>
  <si>
    <t>ASSOCIATION AERONAUTIQUE DU VAL D'OISE</t>
  </si>
  <si>
    <t>BIENHETRE</t>
  </si>
  <si>
    <t>AERO-CLUB PARIS-NORD</t>
  </si>
  <si>
    <t>CLUB SPORTIF MUNICIPAL D'EAUBONNE - SECTION HANDI</t>
  </si>
  <si>
    <t>TENNIS CLUB LA CHATAIGNERAIE</t>
  </si>
  <si>
    <t>ASSOCIATION PRESLOISE DE BADMINTON</t>
  </si>
  <si>
    <t>Présidents Handisport</t>
  </si>
  <si>
    <t>Nbr TOTAL éducateurs</t>
  </si>
  <si>
    <t>Course d'Orientation</t>
  </si>
  <si>
    <t>Pétanque et Jeu Provençal</t>
  </si>
  <si>
    <t>COUGARS</t>
  </si>
  <si>
    <t>GAULOIS</t>
  </si>
  <si>
    <t>GEM’S</t>
  </si>
  <si>
    <t>PENDRAGONS</t>
  </si>
  <si>
    <t>Présidents Football Américain</t>
  </si>
  <si>
    <t>S C de la Mare des Noues</t>
  </si>
  <si>
    <t>Clan Speleo Pontoisien</t>
  </si>
  <si>
    <t>Car D IDF</t>
  </si>
  <si>
    <t>INDIV</t>
  </si>
  <si>
    <t>Présidents Spéléologie</t>
  </si>
  <si>
    <t>UNION VELO ARGENTEUILLAISE</t>
  </si>
  <si>
    <t>CYCLO CLUB DU VEXIN</t>
  </si>
  <si>
    <t>A.S. MENUCOURT SECTION CYCLO</t>
  </si>
  <si>
    <t>VELO CLUB DE BEAUCHAMP</t>
  </si>
  <si>
    <t>UNION SPORTIVE AUVERS OISE</t>
  </si>
  <si>
    <t>UNION CYCLO DOMONTOISE</t>
  </si>
  <si>
    <t>ENTENTE CYCLO-MARCHE ARNOUVILLOISE</t>
  </si>
  <si>
    <t>CYCLOTOURISTESPORT FREPILLON</t>
  </si>
  <si>
    <t>SAINT PRIX CYCLO</t>
  </si>
  <si>
    <t>LES CYCLOS D ENNERY</t>
  </si>
  <si>
    <t>CSM EAUBONNE CYCLO LOISIRS</t>
  </si>
  <si>
    <t>CYCLO CLUB LA FONTAINE FRANCONVILLE</t>
  </si>
  <si>
    <t>CYCLO CLUB DE MOURS CCM</t>
  </si>
  <si>
    <t>A C SPORT CORMEILLAIS</t>
  </si>
  <si>
    <t>AMICALE RANDONNEURS ERMONTOIS</t>
  </si>
  <si>
    <t>US CERGY CYCLO</t>
  </si>
  <si>
    <t>CLUB CYCLOTOURISME MERIELLOIS</t>
  </si>
  <si>
    <t>U.V. TAVERNY</t>
  </si>
  <si>
    <t>AUDAX CLUB DE MARLY LA VILLE</t>
  </si>
  <si>
    <t>LES CYCLOS DU LAC D ENGHIEN</t>
  </si>
  <si>
    <t>ASS CYCLO CLUB GROSLAY</t>
  </si>
  <si>
    <t>UNION CYCLO IGNYMONTAINE</t>
  </si>
  <si>
    <t>ASS. CYCLISTE VALLEE DE LA VIOSNE</t>
  </si>
  <si>
    <t>CYCLO CLUB DE L ISLE ADAM</t>
  </si>
  <si>
    <t>M.I. VAL D OISE</t>
  </si>
  <si>
    <t>LES FOUS DU GUIDON</t>
  </si>
  <si>
    <t>RELAIS AMICAL VAL D'OISE</t>
  </si>
  <si>
    <t>LES RENARDS DE CERGY</t>
  </si>
  <si>
    <t>Présidents Cyclotourisme</t>
  </si>
  <si>
    <t>SAINT GRATIEN</t>
  </si>
  <si>
    <t>MAREIL</t>
  </si>
  <si>
    <t>FRANCONVILLE</t>
  </si>
  <si>
    <t>SAINT LEU</t>
  </si>
  <si>
    <t>TAVERNY</t>
  </si>
  <si>
    <t>SAINT PRIX</t>
  </si>
  <si>
    <t>DOMONT</t>
  </si>
  <si>
    <t>PONTOISE  CERGY</t>
  </si>
  <si>
    <t>GROSLAY</t>
  </si>
  <si>
    <t>ENGHIEN</t>
  </si>
  <si>
    <t xml:space="preserve">MONTMORENCY </t>
  </si>
  <si>
    <t>HERBLAY SUR SEINE</t>
  </si>
  <si>
    <t>MONTSOULT</t>
  </si>
  <si>
    <t>ENNERY</t>
  </si>
  <si>
    <t>BEAUCHAMP</t>
  </si>
  <si>
    <t>PUISEUX</t>
  </si>
  <si>
    <t xml:space="preserve">ARGENTEUIL </t>
  </si>
  <si>
    <t>SAINT BRICE</t>
  </si>
  <si>
    <t>EAUBONNE</t>
  </si>
  <si>
    <t xml:space="preserve">JOUY VAUREAL </t>
  </si>
  <si>
    <t>MERY</t>
  </si>
  <si>
    <t>LA FRETTE SUR SEINE</t>
  </si>
  <si>
    <t>PRESLES</t>
  </si>
  <si>
    <t>ERMONT PLESSIS</t>
  </si>
  <si>
    <t>MARINES</t>
  </si>
  <si>
    <t>MENUCOURT</t>
  </si>
  <si>
    <t>SAINT MARTIN</t>
  </si>
  <si>
    <t>MAGNY EN VEXIN</t>
  </si>
  <si>
    <t>L’ILE ADAM</t>
  </si>
  <si>
    <t>Présidents Tennis de Table</t>
  </si>
  <si>
    <t>CIE D'ARC D'ERMONT</t>
  </si>
  <si>
    <t>CIE ARCHERS DE PONTOISE</t>
  </si>
  <si>
    <t>1ERE CIE D ARC DE MONTMAGNY-DEUIL</t>
  </si>
  <si>
    <t>CIE D'ARC DE MONTMORENCY</t>
  </si>
  <si>
    <t>COMPAGNIE D'ARC VILLIERS LE BEL</t>
  </si>
  <si>
    <t>AAS ARC CLUB SARCELLES</t>
  </si>
  <si>
    <t>CIE D'ARC DE VIARMES</t>
  </si>
  <si>
    <t>ARCHERS DE CENT NOIX</t>
  </si>
  <si>
    <t>LES ARCHERS D'ECOUEN</t>
  </si>
  <si>
    <t>LA FLECHE SANNOISIENNE</t>
  </si>
  <si>
    <t>A.S.S.O.A. SECTION TIR A L'ARC</t>
  </si>
  <si>
    <t>CIE D'ARC DE ST LEU</t>
  </si>
  <si>
    <t>ARCHERS DE GUIRY</t>
  </si>
  <si>
    <t>LES ARCHERS DE GROUCHY</t>
  </si>
  <si>
    <t>CIE D'ARC DE MARLY LA VILLE</t>
  </si>
  <si>
    <t>COMPAGNIE DES ARCHERS DU CHATEAU</t>
  </si>
  <si>
    <t>LES ARCHERS DU PLESSIS BOUCHARD</t>
  </si>
  <si>
    <t>LES ARCHERS DE ST PRIX</t>
  </si>
  <si>
    <t>COMPAGNIE D ARC DE LOUVRES</t>
  </si>
  <si>
    <t>LES ARCHERS DE ST BRICE</t>
  </si>
  <si>
    <t>LES ARCHERS DE BEAUCHAMP</t>
  </si>
  <si>
    <t>LES ARCHERS DE MONTIGNY LES CORMEILLES</t>
  </si>
  <si>
    <t>A.S. DES ARCHERS D'ERAGNY SUR OISE</t>
  </si>
  <si>
    <t>COMPAGNIE D'ARC LES DRAGONNIERS</t>
  </si>
  <si>
    <t>ARC LOISIR CLUB DE PARMAIN</t>
  </si>
  <si>
    <t>LES ARCHERS DE BAILLET EN FRANCE</t>
  </si>
  <si>
    <t>ARCHERS CORMEILLES EN PARISIS</t>
  </si>
  <si>
    <t>Présidents Tir à l'Arc</t>
  </si>
  <si>
    <t>Fédérations Scolaires</t>
  </si>
  <si>
    <t>Fédérations Multisports</t>
  </si>
  <si>
    <t xml:space="preserve">Fédérations Affinitaires </t>
  </si>
  <si>
    <t>Base Ball</t>
  </si>
  <si>
    <t>Nombre de clubs VO</t>
  </si>
  <si>
    <t>TOTAL</t>
  </si>
  <si>
    <t xml:space="preserve">Part de Présidentes féminines </t>
  </si>
  <si>
    <t>Nombre de Présidents</t>
  </si>
  <si>
    <t>RESULTATS ENQUÊTE LICENCIEES</t>
  </si>
  <si>
    <t>RESULTATS ENQUÊTE PRESIDENTES DE CLUBS</t>
  </si>
  <si>
    <t>Golf de Domont Montmorency</t>
  </si>
  <si>
    <t>Gold de Seraincourt</t>
  </si>
  <si>
    <t>Golf de Villarceaux</t>
  </si>
  <si>
    <t>AS Air France</t>
  </si>
  <si>
    <t>As du Golf d'Ecancourt</t>
  </si>
  <si>
    <t>AS Clubs 3M</t>
  </si>
  <si>
    <t>Amicale Sportive Air France</t>
  </si>
  <si>
    <t>Golf Bluegreen Bellfontaine</t>
  </si>
  <si>
    <t>Garden Golf de Cergy</t>
  </si>
  <si>
    <t>Golf club d'Ableige</t>
  </si>
  <si>
    <t>Golf Hotel de Montgriffon</t>
  </si>
  <si>
    <t>Union Sportive Marcel Dassault</t>
  </si>
  <si>
    <t>Ugolf Gadancourt</t>
  </si>
  <si>
    <t>Paris International Golf Club</t>
  </si>
  <si>
    <t>AS Atos IDF</t>
  </si>
  <si>
    <t>Ermont Golf Association</t>
  </si>
  <si>
    <t>Club culturel et sportif SAGEM</t>
  </si>
  <si>
    <t>Golf de l'Isle Adam</t>
  </si>
  <si>
    <t>ASPTT Cergy Pontoise</t>
  </si>
  <si>
    <t>Daily Golf SOA</t>
  </si>
  <si>
    <t>USMBM</t>
  </si>
  <si>
    <t>Avogue</t>
  </si>
  <si>
    <t>MIPS-EMC2</t>
  </si>
  <si>
    <t>Golf de Maubuisson</t>
  </si>
  <si>
    <t>AS Union sportive Energie Golf 95</t>
  </si>
  <si>
    <t>USP Val d'Oise</t>
  </si>
  <si>
    <t>AS Agirocana</t>
  </si>
  <si>
    <t>Golf international Roissy</t>
  </si>
  <si>
    <t>Présidents Golf</t>
  </si>
  <si>
    <t>C.O.M.A. JUDO</t>
  </si>
  <si>
    <t xml:space="preserve">CD Rugby Val d'Oise </t>
  </si>
  <si>
    <t>AASS</t>
  </si>
  <si>
    <t>PRC</t>
  </si>
  <si>
    <t>RCVMS</t>
  </si>
  <si>
    <t>RCIA</t>
  </si>
  <si>
    <t>EGGXV</t>
  </si>
  <si>
    <t>ORCA</t>
  </si>
  <si>
    <t>SDRC</t>
  </si>
  <si>
    <t>RCACP</t>
  </si>
  <si>
    <t>RCMSO</t>
  </si>
  <si>
    <t>ERV</t>
  </si>
  <si>
    <t>Présidents Rugby</t>
  </si>
  <si>
    <t>US ARGENTEUILLAISE</t>
  </si>
  <si>
    <t>ARNOUVILLE JUDO/FTINESS</t>
  </si>
  <si>
    <t>J.C. BEAUCHAMP</t>
  </si>
  <si>
    <t>BEAUMONT S/OISE JUDO</t>
  </si>
  <si>
    <t>A.S.C. BELLOY en France Judo</t>
  </si>
  <si>
    <t>R.C. BESSANCOURT</t>
  </si>
  <si>
    <t>BOUFFEMONT A.C.</t>
  </si>
  <si>
    <t>C.J.F.R. BRAY &amp; LU</t>
  </si>
  <si>
    <t>C.O.M.BRUYERES/OISE</t>
  </si>
  <si>
    <t>BUDO CLUB CERGY</t>
  </si>
  <si>
    <t>AS JUDO CHAMPAGNE</t>
  </si>
  <si>
    <t>J.C. CHAUMONTEL</t>
  </si>
  <si>
    <t>J.C. CORMEILLAIS</t>
  </si>
  <si>
    <t>Association des A.M. DE</t>
  </si>
  <si>
    <t>COURDIMANCHE</t>
  </si>
  <si>
    <t>BUDOKAN DEUIL</t>
  </si>
  <si>
    <t>BUDOKAI DOMONTOIS</t>
  </si>
  <si>
    <t>C.S.M. EAUBONNE JUDO</t>
  </si>
  <si>
    <t>AS ECOUENNAISE</t>
  </si>
  <si>
    <t>J.J.C. ENGHIEN</t>
  </si>
  <si>
    <t>U.S. ENNERY</t>
  </si>
  <si>
    <t>DOJO CLUB ERAGNY/OISE</t>
  </si>
  <si>
    <t>ASCA ERMONT-JUDO</t>
  </si>
  <si>
    <t>A.M.ERMONTOIS</t>
  </si>
  <si>
    <t>U.S.E.E. JUDO</t>
  </si>
  <si>
    <t>JC FONTENAY en PARISIS</t>
  </si>
  <si>
    <t>JC FOSSES</t>
  </si>
  <si>
    <t>J.C. FRANCONVILLE</t>
  </si>
  <si>
    <t>AADB GARGES JUDO</t>
  </si>
  <si>
    <t>JC GONESSE</t>
  </si>
  <si>
    <t>MLC GROSLAY JUDO</t>
  </si>
  <si>
    <t>A.S. HERBLAY JUDO</t>
  </si>
  <si>
    <t>3JLM</t>
  </si>
  <si>
    <t>JC L'ISLE ADAM</t>
  </si>
  <si>
    <t>LA FRETTE S/SEINE JUDO</t>
  </si>
  <si>
    <t>CS LE PLESSIS BOUCHARD</t>
  </si>
  <si>
    <t>J.C. du THILLAY</t>
  </si>
  <si>
    <t>CMO LOUVRES</t>
  </si>
  <si>
    <t>LUZARCHES JUDO</t>
  </si>
  <si>
    <t>DOJO MAGNYTOIS</t>
  </si>
  <si>
    <t>JUDO MARINES</t>
  </si>
  <si>
    <t>JC MARLYSIEN</t>
  </si>
  <si>
    <t>JUDO MENUCOURT</t>
  </si>
  <si>
    <t>A.C.S. MONTLIGNON</t>
  </si>
  <si>
    <t>US MONTSOULT BAILLET</t>
  </si>
  <si>
    <t>FR MOURS</t>
  </si>
  <si>
    <t>BUDOKAN NEUVILLOIS</t>
  </si>
  <si>
    <t>JUDO CLUB D'OSNY</t>
  </si>
  <si>
    <t>C.P.C.L.C. PARMAIN</t>
  </si>
  <si>
    <t>JUDO CLUB PERSAN</t>
  </si>
  <si>
    <t>J.J.C. de PIERRELAYE</t>
  </si>
  <si>
    <t>PONTOISE JUDO</t>
  </si>
  <si>
    <t>JUDO JUJITSU PRESLES</t>
  </si>
  <si>
    <t>A.L.S. PUISEUX</t>
  </si>
  <si>
    <t>J.C. ROISSY En France</t>
  </si>
  <si>
    <t>A.A.E. ST BRICE</t>
  </si>
  <si>
    <t>A.M. SAINT GRATIEN</t>
  </si>
  <si>
    <t>A.M. SAINT LEU</t>
  </si>
  <si>
    <t>JC ST MARTIN DU TERTRE</t>
  </si>
  <si>
    <t>A.S.S.O.A. JUDO</t>
  </si>
  <si>
    <t>JUDO SAINT PRIX</t>
  </si>
  <si>
    <t>J.C. WEZIEN</t>
  </si>
  <si>
    <t>DOJO SANNOISIEN</t>
  </si>
  <si>
    <t>SAKURA CLUB - SANNOIS</t>
  </si>
  <si>
    <t>A.A.S. SARCELLES</t>
  </si>
  <si>
    <t>J.K. SARCELLES</t>
  </si>
  <si>
    <t>A.S. SERAINCOURT JUDO</t>
  </si>
  <si>
    <t>ACSAM JUDO</t>
  </si>
  <si>
    <t>AVENIR DE SURVILLIERS</t>
  </si>
  <si>
    <t>J.C. TAVERNY</t>
  </si>
  <si>
    <t>A.S. VAUREAL</t>
  </si>
  <si>
    <t>U.S.C.VEMARS -section JUDO</t>
  </si>
  <si>
    <t>J.C. VIARMES</t>
  </si>
  <si>
    <t>ECOLE DE SABRE KUSANGI</t>
  </si>
  <si>
    <t>INTER VALLEES JUDO 95</t>
  </si>
  <si>
    <t>J.C. VILLIERS LE BEL</t>
  </si>
  <si>
    <t>KEN GAKU KAN</t>
  </si>
  <si>
    <t>SHUMISEN</t>
  </si>
  <si>
    <t>PONTOISE IAIDO</t>
  </si>
  <si>
    <t>KUSANAGI</t>
  </si>
  <si>
    <t>NIJI KENDOKA</t>
  </si>
  <si>
    <t>JC MONTIGNY LES CORMEILLES</t>
  </si>
  <si>
    <t>JC MONTMORENCY VAL D'OISE</t>
  </si>
  <si>
    <t>E.S. CHAMPIOUX - ARGENTEUIL</t>
  </si>
  <si>
    <t>JUDO CLUB ESCALES ARGENTEUIL</t>
  </si>
  <si>
    <t>VALLEE OISE des IMPRESSIONNISTES</t>
  </si>
  <si>
    <t>JUDO KODOKAN GOUSSAINVILLE</t>
  </si>
  <si>
    <t>MARTIAL ARTS ACADEMY JUDO</t>
  </si>
  <si>
    <t>Présidents Judo</t>
  </si>
  <si>
    <t>Teddy Bear Cergy</t>
  </si>
  <si>
    <t>Les Expos Ermont</t>
  </si>
  <si>
    <t>Squales Vauréal</t>
  </si>
  <si>
    <t>Cerbères Domont</t>
  </si>
  <si>
    <t>Les Royals Roosters</t>
  </si>
  <si>
    <t>Les Félins Herblay</t>
  </si>
  <si>
    <t>The Little Mice Le Thillay</t>
  </si>
  <si>
    <t>Cricket Club St Brice 95</t>
  </si>
  <si>
    <t>Cricket Club Argenteuil</t>
  </si>
  <si>
    <t>Cricket Club Sarcelles</t>
  </si>
  <si>
    <t>Cricket Club Goussainville</t>
  </si>
  <si>
    <t>Cricket Club Gonesse - France Gymkhana</t>
  </si>
  <si>
    <t>Cricket Club Villiers-le-Bel</t>
  </si>
  <si>
    <t>Présidents BaseBall</t>
  </si>
  <si>
    <t>RESULTATS ENQUÊTE PRESIDENTES DE COMITES</t>
  </si>
  <si>
    <t>Présidente</t>
  </si>
  <si>
    <t>Président</t>
  </si>
  <si>
    <t>AC Beauchamps</t>
  </si>
  <si>
    <t>Raid Orientation Cergy</t>
  </si>
  <si>
    <t>Raid Life</t>
  </si>
  <si>
    <t>AA PAYS DE FRANCE ATHLE 95 </t>
  </si>
  <si>
    <t>AC BEAUCHAMP </t>
  </si>
  <si>
    <t>ACS CORMEILLES-EN-PARISIS </t>
  </si>
  <si>
    <t>AS SAINT-OUEN-L'AUMONE </t>
  </si>
  <si>
    <t>EA CERGY PONTOISE ATHLETISME</t>
  </si>
  <si>
    <t>UNION NORD EST 95 A </t>
  </si>
  <si>
    <t>AC NORD VAL D'OISE </t>
  </si>
  <si>
    <t>US EZANVILLE-ECOUEN </t>
  </si>
  <si>
    <t>US MERY AC </t>
  </si>
  <si>
    <t>SAINT-BRICE ATHLETISME </t>
  </si>
  <si>
    <t>ENTENTE FRANCONVILLE CESAME VAL D'OISE</t>
  </si>
  <si>
    <t>ACSAM </t>
  </si>
  <si>
    <t>CSME ATHLETISME </t>
  </si>
  <si>
    <t>MONTMAGNY SPORTS </t>
  </si>
  <si>
    <t>L'ISLE ADAM AC </t>
  </si>
  <si>
    <t>ESME US DEUIL </t>
  </si>
  <si>
    <t>CLUB ATHLETIC ERMONTOIS </t>
  </si>
  <si>
    <t>ARNOUVILLE GONESSE VILLIERS-LE-BEL ATHLETISME </t>
  </si>
  <si>
    <t>FRANCONVILLE ATHLETISME VAL D OISE </t>
  </si>
  <si>
    <t>AC ST GRATIEN-SANNOIS </t>
  </si>
  <si>
    <t>US DASSAULT ARGENTEUIL </t>
  </si>
  <si>
    <t>AUVERS ATHLETISME </t>
  </si>
  <si>
    <t>C.C. TAVERNY ATHLETISME </t>
  </si>
  <si>
    <t>DOMONT ATHLETISME </t>
  </si>
  <si>
    <t>VAUREAL ATHLETISME </t>
  </si>
  <si>
    <t>C.O.M.ARGENTEUIL </t>
  </si>
  <si>
    <t>US MONTSOULT-BAILLET-MAFFLIERS </t>
  </si>
  <si>
    <t>LIB'AIR'TRAIL </t>
  </si>
  <si>
    <t>PERSAN ATHLETIC CLUB </t>
  </si>
  <si>
    <t>THILLAY RUNNING ATHLETIC CLUB </t>
  </si>
  <si>
    <t>ATHLETIC CLUB MAGNY EN VEXIN </t>
  </si>
  <si>
    <t>TEAM ATHLETIC GOUSS </t>
  </si>
  <si>
    <t>VALLEE DE MONTMORENCY TRIATHLON </t>
  </si>
  <si>
    <t>ARGENTEUIL ATHLETISME </t>
  </si>
  <si>
    <t>GARGES ATHLETIQUE CLUB </t>
  </si>
  <si>
    <t>CLUB MUNICIPAL DORVILLE DE LOUVRES </t>
  </si>
  <si>
    <t>USO BEZONS </t>
  </si>
  <si>
    <t>CO SEMI MARATHON DE SAINT WITZ </t>
  </si>
  <si>
    <t>Présidents Athlétisme</t>
  </si>
  <si>
    <t>Canoe Kayak</t>
  </si>
  <si>
    <t>TOTAL GENERAL</t>
  </si>
  <si>
    <t>ECOLE PRIMAIRE VAVASSEUR</t>
  </si>
  <si>
    <t>ECOLE PRIMAIRE PUBLIQUE</t>
  </si>
  <si>
    <t>ECOLE ELEM TRAIT UNION</t>
  </si>
  <si>
    <t>ECOLE MATERNELLE CHASLE LE ROUX</t>
  </si>
  <si>
    <t>AS DE LA MARETTE</t>
  </si>
  <si>
    <t>A.S.C.E.P. RAOUL SALES</t>
  </si>
  <si>
    <t>ECOLE MATERNELLE LES LINANDES</t>
  </si>
  <si>
    <t>ASSC USEP LE POINT DU JOUR</t>
  </si>
  <si>
    <t>ECOLE ELEMENTAIRE LES LINANDES</t>
  </si>
  <si>
    <t>ASC BELLE EPINE</t>
  </si>
  <si>
    <t>ECOLE LES ESSARTS</t>
  </si>
  <si>
    <t>ECOLE LES PLANTS</t>
  </si>
  <si>
    <t>ASC ECOLE LA CHANTERELLE</t>
  </si>
  <si>
    <t>ECOLE ELEMENTAIRE LE STADE</t>
  </si>
  <si>
    <t>A.S. USEP DE CHAMPAGNE SUR OISE</t>
  </si>
  <si>
    <t>ASC USEP LES TOURNESOLS</t>
  </si>
  <si>
    <t>ECOLE VAL D'YSIEUX</t>
  </si>
  <si>
    <t>ECOLE PRIMAIRE  PUBLIQUE</t>
  </si>
  <si>
    <t>ASC ECOLE DE LA FONTAINE</t>
  </si>
  <si>
    <t>A FOND L'ECOLE</t>
  </si>
  <si>
    <t>LES CROIZETTES</t>
  </si>
  <si>
    <t>ECOLE PRIMAIRE P. SERRE</t>
  </si>
  <si>
    <t>ECOLE PRIMAIRE P. LANGEVIN</t>
  </si>
  <si>
    <t>ECOLE PRIMAIRE J. FERRY</t>
  </si>
  <si>
    <t>ECOLE PRIMAIRE J. MOULIN</t>
  </si>
  <si>
    <t>ECOLE PRIMAIRE G. VIE 1</t>
  </si>
  <si>
    <t>ECOLE PRIMAIRE Y. DE GAULLE</t>
  </si>
  <si>
    <t>ASS. LES PETITS LOUPS</t>
  </si>
  <si>
    <t>LES HERISSONS</t>
  </si>
  <si>
    <t>ASSC JACQUES PREVERT PRIMAIRE</t>
  </si>
  <si>
    <t>ASSC ECOLE DE GRISY</t>
  </si>
  <si>
    <t>USEP GLAISIERES</t>
  </si>
  <si>
    <t>ASC Côte des carrières</t>
  </si>
  <si>
    <t>ECOLE PRIMAIRE  LE VILLAGE</t>
  </si>
  <si>
    <t>ECOLE PRIMAIRE  LES JOUANNES</t>
  </si>
  <si>
    <t>ECOLE PRIMAIRE  VAUX LABOURS</t>
  </si>
  <si>
    <t>ECOLE PRIM. ET MAT LE NOYER</t>
  </si>
  <si>
    <t>ECOLE PRIMAIRE LES TREMBLAYS</t>
  </si>
  <si>
    <t>ECOLE MATERNELLE LE VAST</t>
  </si>
  <si>
    <t>ECOLE PRIMAIRE ANNE FRANK</t>
  </si>
  <si>
    <t>EC. MATERNELLE PAUL ELUARD</t>
  </si>
  <si>
    <t>ECOLE MATERNELLE SCHWEITZER</t>
  </si>
  <si>
    <t>ASC PAUL CEZANNE</t>
  </si>
  <si>
    <t>ASC USEP LA GARENNE</t>
  </si>
  <si>
    <t>ASC DE L'ECOLE DES CORNOUILLERS</t>
  </si>
  <si>
    <t>USEP LOUIS BOURGEOIS</t>
  </si>
  <si>
    <t>ASC USEP ECOLE ELEM. P. NERUDA</t>
  </si>
  <si>
    <t>A.S. ECOLE ELEMENTAIRE DU CENTRE</t>
  </si>
  <si>
    <t>ASS MONMOUSSEAU</t>
  </si>
  <si>
    <t>ECOLE PRIMAIRE DE VAUX</t>
  </si>
  <si>
    <t>A.S.C. JEAN JAURES</t>
  </si>
  <si>
    <t>ECOLE PRIMAIRE J.B. CLEMENT</t>
  </si>
  <si>
    <t>ASS. SPORT ET CULT LES 4 VENTS</t>
  </si>
  <si>
    <t>ECOLE PRIMAIRE ST EXUPERY</t>
  </si>
  <si>
    <t>ECOLE PRIMAIRE PAUL ROTH</t>
  </si>
  <si>
    <t>ECOLE LA METH</t>
  </si>
  <si>
    <t>ECOLE PRIMAIRE IMMARMONT</t>
  </si>
  <si>
    <t>ECOLE MATERNELLE CHARCOT</t>
  </si>
  <si>
    <t>ECOLE PRIMAIRE LA RAVINIERE</t>
  </si>
  <si>
    <t>ECOLE PRIMAIRE DU PERCHAY</t>
  </si>
  <si>
    <t>ECOLE PRIMAIRE P. ELUARD 1</t>
  </si>
  <si>
    <t>ECOLE PRIMAIRE JEAN JAURES</t>
  </si>
  <si>
    <t>ECOLE PRIMAIRE P. ELUARD 2</t>
  </si>
  <si>
    <t>ECOLE PRIMAIRE E. CARLES</t>
  </si>
  <si>
    <t>ECOLE PRIMAIRE MARIE CURIE</t>
  </si>
  <si>
    <t>ECOLE P. BROSSOLETTE</t>
  </si>
  <si>
    <t>1, 2, 3 SOLEIL À ST CLAIR SUR EPTE</t>
  </si>
  <si>
    <t>ECOLE ALBERT CAMUS</t>
  </si>
  <si>
    <t>EVASION 2</t>
  </si>
  <si>
    <t>ASS. SPORTIVE ECOLE VALLANGOUJARD</t>
  </si>
  <si>
    <t>ECOLE PRIMAIRE DU BOULINGRIN</t>
  </si>
  <si>
    <t>ECOLE PRIMAIRE HAUTS TOUPETS</t>
  </si>
  <si>
    <t>ECOLE PRIMAIRE  LES SABLONS</t>
  </si>
  <si>
    <t>ASSOCIATION LA SIAULE ECOLE PRIM</t>
  </si>
  <si>
    <t>ECOLE MATERNELLE LES MOISSONS</t>
  </si>
  <si>
    <t>ECOLE MATERNELLE ALLEE COUVERTE BVE</t>
  </si>
  <si>
    <t>ASSC DE L'ECOLE MATER LES GROUES</t>
  </si>
  <si>
    <t>ECOLE MATERNELLE EMILE ZOLA</t>
  </si>
  <si>
    <t>SN Enghien</t>
  </si>
  <si>
    <t>Beaumont Aviron</t>
  </si>
  <si>
    <t>SN Oise</t>
  </si>
  <si>
    <t xml:space="preserve">Val d’Oise Aviron </t>
  </si>
  <si>
    <t>Aviron Libre Seine et Oise</t>
  </si>
  <si>
    <t>Présidents Avrion</t>
  </si>
  <si>
    <t>EE LA FORET</t>
  </si>
  <si>
    <t>L’ESPOIR</t>
  </si>
  <si>
    <t>VAL KALYPSO</t>
  </si>
  <si>
    <t>EPINETTTE DE BOISEMONT</t>
  </si>
  <si>
    <t>BOIS DE LA NOUE</t>
  </si>
  <si>
    <t>LA MONTAGNE</t>
  </si>
  <si>
    <t xml:space="preserve">PORGY EQUITATION </t>
  </si>
  <si>
    <t>HARAS DU PARISIS</t>
  </si>
  <si>
    <t>LE PIED A L’ETRIER</t>
  </si>
  <si>
    <t>FONTAINE CYPIERRE</t>
  </si>
  <si>
    <t>FERME ERAGNY</t>
  </si>
  <si>
    <t>COUER DE L’ISLE ADAM</t>
  </si>
  <si>
    <t>LA TANIERE</t>
  </si>
  <si>
    <t>PLESSIS BOUCHARD</t>
  </si>
  <si>
    <t>LIVILLIERS</t>
  </si>
  <si>
    <t>VITELLE</t>
  </si>
  <si>
    <t xml:space="preserve">LA SENTE </t>
  </si>
  <si>
    <t>LES ACACIAS</t>
  </si>
  <si>
    <t>MERIEL</t>
  </si>
  <si>
    <t>VAL FLEURI</t>
  </si>
  <si>
    <t>RONQUEROLLES</t>
  </si>
  <si>
    <t>LE GALOP</t>
  </si>
  <si>
    <t>RANCH ST PRIX</t>
  </si>
  <si>
    <t>HARAS DU VAL</t>
  </si>
  <si>
    <t>ST WTIZ</t>
  </si>
  <si>
    <t>LA CHEVEE</t>
  </si>
  <si>
    <t>LA CRINIERE</t>
  </si>
  <si>
    <t>VIARMES</t>
  </si>
  <si>
    <t>LE CENTAURE</t>
  </si>
  <si>
    <t>LES TILLEULS</t>
  </si>
  <si>
    <t>US M DASSAULT</t>
  </si>
  <si>
    <t>BEAUMONT/OISE</t>
  </si>
  <si>
    <t>CHARVAUX</t>
  </si>
  <si>
    <t>HARAS D’YZIEUX</t>
  </si>
  <si>
    <t>TRIANON</t>
  </si>
  <si>
    <t>EQUITATION CONSEILS</t>
  </si>
  <si>
    <t>GADANCOURT</t>
  </si>
  <si>
    <t>GENAINVILLE</t>
  </si>
  <si>
    <t>GOUSSAINVILLE</t>
  </si>
  <si>
    <t>DRUMAL</t>
  </si>
  <si>
    <t>CROIX ST ANTOINE</t>
  </si>
  <si>
    <t>OREE LA FORET</t>
  </si>
  <si>
    <t>L’UFREE</t>
  </si>
  <si>
    <t>JM BAZIRE</t>
  </si>
  <si>
    <t>VAL D’Y</t>
  </si>
  <si>
    <t>CHAUMONTEL EQUESTRE</t>
  </si>
  <si>
    <t>G CAUBET</t>
  </si>
  <si>
    <t>HARAS D’IRKA</t>
  </si>
  <si>
    <t xml:space="preserve">CB TOURISME </t>
  </si>
  <si>
    <t>SAPINERER</t>
  </si>
  <si>
    <t>LA FONTAINE</t>
  </si>
  <si>
    <t>LA CHAPELLE</t>
  </si>
  <si>
    <t>MEZIERES</t>
  </si>
  <si>
    <t>L’HAUTIL</t>
  </si>
  <si>
    <t>LA LICORNE</t>
  </si>
  <si>
    <t>DSB DRESSAGE</t>
  </si>
  <si>
    <t>LE MOULIN</t>
  </si>
  <si>
    <t>LES CRETES</t>
  </si>
  <si>
    <t>CROIX BLANCHE</t>
  </si>
  <si>
    <t>CHATEAUX CHAMPLATREUX</t>
  </si>
  <si>
    <t>DOMAINE DE LA COUTURE</t>
  </si>
  <si>
    <t>LES PEUPLIERS</t>
  </si>
  <si>
    <t>HARAVILLIERS</t>
  </si>
  <si>
    <t>CASTELIN</t>
  </si>
  <si>
    <t>JUM EUROPE ORGANISATION</t>
  </si>
  <si>
    <t>LENOIR</t>
  </si>
  <si>
    <t>MAFFLIERS</t>
  </si>
  <si>
    <t>EQUILIBRE</t>
  </si>
  <si>
    <t>EL SUERTE</t>
  </si>
  <si>
    <t>NUCOURT</t>
  </si>
  <si>
    <t>SOUFFLE AU COEUR</t>
  </si>
  <si>
    <t>3 VALLEES</t>
  </si>
  <si>
    <t>ENDURANCE VEXIN</t>
  </si>
  <si>
    <t>PISCOP EQUESTRES</t>
  </si>
  <si>
    <t>CHILARD</t>
  </si>
  <si>
    <t>EQUI NATURE</t>
  </si>
  <si>
    <t>LES CAMARGUAIS</t>
  </si>
  <si>
    <t>Partie du VO</t>
  </si>
  <si>
    <t>Centre</t>
  </si>
  <si>
    <t>Est</t>
  </si>
  <si>
    <t>Vexin</t>
  </si>
  <si>
    <t>Golf de Gonesse</t>
  </si>
  <si>
    <t>Chia se Fight - Partage du Combat</t>
  </si>
  <si>
    <t>espace de concertation citoyenne</t>
  </si>
  <si>
    <t>(vide)</t>
  </si>
  <si>
    <t>Total général</t>
  </si>
  <si>
    <t>Étiquettes de lignes</t>
  </si>
  <si>
    <t xml:space="preserve">Somme de Nbr de féminines </t>
  </si>
  <si>
    <t>Somme de 205</t>
  </si>
  <si>
    <t>Somme de 135</t>
  </si>
  <si>
    <t>Somme de 2</t>
  </si>
  <si>
    <t>Somme de 1</t>
  </si>
  <si>
    <t>Somme de 12</t>
  </si>
  <si>
    <t>Somme de 3</t>
  </si>
  <si>
    <t>Somme de 19</t>
  </si>
  <si>
    <t>Somme de 25</t>
  </si>
  <si>
    <t>Somme de 303</t>
  </si>
  <si>
    <t>Somme de 62</t>
  </si>
  <si>
    <t>Somme de 416</t>
  </si>
  <si>
    <t>Somme de 115</t>
  </si>
  <si>
    <t>Somme de 14</t>
  </si>
  <si>
    <t>Somme de 59</t>
  </si>
  <si>
    <t>Baseball</t>
  </si>
  <si>
    <t>Basketball</t>
  </si>
  <si>
    <t>Squash</t>
  </si>
  <si>
    <t>Discipline</t>
  </si>
  <si>
    <t>Président.e</t>
  </si>
  <si>
    <t>Nom du Président.e</t>
  </si>
  <si>
    <t>F</t>
  </si>
  <si>
    <t>H</t>
  </si>
  <si>
    <t>Nombre de Président.e</t>
  </si>
  <si>
    <t>Nb Bénévoles Total</t>
  </si>
  <si>
    <t>Nb féminines</t>
  </si>
  <si>
    <t xml:space="preserve">Part de licenciées féminines </t>
  </si>
  <si>
    <t>Nb Arbitres Total</t>
  </si>
  <si>
    <t>RESULTATS ENQUÊTE BÉNÉVOLES</t>
  </si>
  <si>
    <t>RESULTATS ENQUÊTE ÉDUCATRICES</t>
  </si>
  <si>
    <t>RESULTATS ENQUÊTE ARBITRES</t>
  </si>
  <si>
    <t>Nb Éducateurs Total</t>
  </si>
  <si>
    <t>Nbr TOTAL arbitre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</si>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</sst>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0935A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/>
    <xf numFmtId="0" fontId="2" fillId="5" borderId="2" xfId="0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0" borderId="0" xfId="0" applyAlignment="1">
      <alignment vertical="center"/>
    </xf>
    <xf numFmtId="0" fontId="6" fillId="0" borderId="10" xfId="0" applyFont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9" fontId="0" fillId="6" borderId="7" xfId="1" applyFont="1" applyFill="1" applyBorder="1" applyAlignment="1">
      <alignment horizontal="center"/>
    </xf>
    <xf numFmtId="9" fontId="0" fillId="5" borderId="5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9" fontId="0" fillId="7" borderId="1" xfId="1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7" borderId="3" xfId="0" applyFill="1" applyBorder="1"/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7" borderId="1" xfId="0" applyFill="1" applyBorder="1"/>
    <xf numFmtId="0" fontId="2" fillId="4" borderId="1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0" fillId="2" borderId="1" xfId="0" applyFill="1" applyBorder="1"/>
    <xf numFmtId="0" fontId="2" fillId="0" borderId="1" xfId="0" applyFont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9" fontId="0" fillId="6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7" borderId="3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4" fillId="0" borderId="0" xfId="0" applyFont="1"/>
    <xf numFmtId="0" fontId="1" fillId="10" borderId="14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0" fillId="0" borderId="23" xfId="0" applyBorder="1"/>
    <xf numFmtId="9" fontId="0" fillId="0" borderId="24" xfId="1" applyFont="1" applyBorder="1" applyAlignment="1">
      <alignment horizontal="center"/>
    </xf>
    <xf numFmtId="0" fontId="1" fillId="7" borderId="28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1" fillId="11" borderId="28" xfId="0" applyFont="1" applyFill="1" applyBorder="1"/>
    <xf numFmtId="0" fontId="1" fillId="11" borderId="7" xfId="0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16" fontId="0" fillId="0" borderId="23" xfId="0" applyNumberFormat="1" applyBorder="1"/>
    <xf numFmtId="3" fontId="0" fillId="0" borderId="0" xfId="0" applyNumberFormat="1" applyAlignment="1">
      <alignment horizontal="center"/>
    </xf>
    <xf numFmtId="3" fontId="0" fillId="0" borderId="31" xfId="0" applyNumberFormat="1" applyBorder="1" applyAlignment="1">
      <alignment horizontal="center"/>
    </xf>
    <xf numFmtId="0" fontId="8" fillId="11" borderId="29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1" fillId="0" borderId="25" xfId="0" applyFont="1" applyBorder="1"/>
    <xf numFmtId="9" fontId="0" fillId="0" borderId="31" xfId="1" applyFont="1" applyBorder="1" applyAlignment="1">
      <alignment horizontal="center"/>
    </xf>
    <xf numFmtId="9" fontId="1" fillId="11" borderId="7" xfId="1" applyFont="1" applyFill="1" applyBorder="1" applyAlignment="1">
      <alignment horizontal="center"/>
    </xf>
    <xf numFmtId="9" fontId="1" fillId="11" borderId="7" xfId="0" applyNumberFormat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9" fontId="1" fillId="11" borderId="30" xfId="0" applyNumberFormat="1" applyFont="1" applyFill="1" applyBorder="1" applyAlignment="1">
      <alignment horizontal="center"/>
    </xf>
    <xf numFmtId="9" fontId="8" fillId="11" borderId="7" xfId="1" applyFont="1" applyFill="1" applyBorder="1" applyAlignment="1">
      <alignment horizontal="center" vertical="center"/>
    </xf>
    <xf numFmtId="9" fontId="0" fillId="0" borderId="0" xfId="0" applyNumberFormat="1"/>
    <xf numFmtId="0" fontId="0" fillId="7" borderId="1" xfId="0" applyFill="1" applyBorder="1" applyAlignment="1">
      <alignment horizontal="center"/>
    </xf>
    <xf numFmtId="0" fontId="7" fillId="0" borderId="23" xfId="0" applyFont="1" applyBorder="1"/>
    <xf numFmtId="0" fontId="2" fillId="3" borderId="4" xfId="0" applyFont="1" applyFill="1" applyBorder="1" applyAlignment="1">
      <alignment horizontal="center" wrapText="1"/>
    </xf>
    <xf numFmtId="0" fontId="7" fillId="0" borderId="0" xfId="0" applyFont="1"/>
    <xf numFmtId="0" fontId="7" fillId="3" borderId="1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" fillId="11" borderId="7" xfId="1" applyNumberFormat="1" applyFont="1" applyFill="1" applyBorder="1" applyAlignment="1">
      <alignment horizontal="center"/>
    </xf>
    <xf numFmtId="0" fontId="1" fillId="11" borderId="30" xfId="0" applyFont="1" applyFill="1" applyBorder="1" applyAlignment="1">
      <alignment horizontal="center"/>
    </xf>
    <xf numFmtId="0" fontId="8" fillId="11" borderId="7" xfId="1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/>
    </xf>
    <xf numFmtId="9" fontId="1" fillId="0" borderId="0" xfId="0" applyNumberFormat="1" applyFont="1"/>
    <xf numFmtId="9" fontId="4" fillId="0" borderId="0" xfId="1" applyFont="1"/>
    <xf numFmtId="0" fontId="7" fillId="3" borderId="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2" fillId="3" borderId="8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34" xfId="0" applyFont="1" applyFill="1" applyBorder="1" applyAlignment="1">
      <alignment wrapText="1"/>
    </xf>
    <xf numFmtId="0" fontId="2" fillId="3" borderId="30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0" applyFont="1" applyBorder="1" applyAlignment="1">
      <alignment wrapText="1"/>
    </xf>
    <xf numFmtId="0" fontId="0" fillId="0" borderId="8" xfId="0" applyBorder="1" applyAlignment="1">
      <alignment horizontal="left" vertical="center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0" fillId="0" borderId="35" xfId="0" applyBorder="1" applyAlignment="1">
      <alignment horizontal="center"/>
    </xf>
    <xf numFmtId="0" fontId="2" fillId="0" borderId="35" xfId="0" applyFont="1" applyBorder="1" applyAlignment="1">
      <alignment horizontal="center" wrapText="1"/>
    </xf>
    <xf numFmtId="0" fontId="1" fillId="12" borderId="7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2" fillId="13" borderId="4" xfId="0" applyFont="1" applyFill="1" applyBorder="1" applyAlignment="1">
      <alignment horizontal="center" wrapText="1"/>
    </xf>
    <xf numFmtId="0" fontId="2" fillId="13" borderId="7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/>
    </xf>
    <xf numFmtId="0" fontId="2" fillId="13" borderId="8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2" fillId="13" borderId="8" xfId="0" applyFont="1" applyFill="1" applyBorder="1" applyAlignment="1">
      <alignment wrapText="1"/>
    </xf>
    <xf numFmtId="0" fontId="2" fillId="13" borderId="30" xfId="0" applyFont="1" applyFill="1" applyBorder="1" applyAlignment="1">
      <alignment horizontal="center" wrapText="1"/>
    </xf>
    <xf numFmtId="0" fontId="2" fillId="3" borderId="35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0" fontId="2" fillId="3" borderId="28" xfId="0" applyFont="1" applyFill="1" applyBorder="1" applyAlignment="1">
      <alignment horizontal="center" wrapText="1"/>
    </xf>
    <xf numFmtId="0" fontId="2" fillId="13" borderId="7" xfId="0" applyFont="1" applyFill="1" applyBorder="1" applyAlignment="1">
      <alignment wrapText="1"/>
    </xf>
    <xf numFmtId="0" fontId="2" fillId="13" borderId="3" xfId="0" applyFont="1" applyFill="1" applyBorder="1" applyAlignment="1">
      <alignment horizontal="center" wrapText="1"/>
    </xf>
    <xf numFmtId="0" fontId="2" fillId="13" borderId="2" xfId="0" applyFont="1" applyFill="1" applyBorder="1" applyAlignment="1">
      <alignment horizontal="center" wrapText="1"/>
    </xf>
    <xf numFmtId="0" fontId="2" fillId="13" borderId="9" xfId="0" applyFont="1" applyFill="1" applyBorder="1" applyAlignment="1">
      <alignment horizontal="center" wrapText="1"/>
    </xf>
    <xf numFmtId="0" fontId="2" fillId="13" borderId="7" xfId="0" applyFont="1" applyFill="1" applyBorder="1" applyAlignment="1">
      <alignment horizontal="center" wrapText="1"/>
    </xf>
    <xf numFmtId="0" fontId="2" fillId="13" borderId="28" xfId="0" applyFont="1" applyFill="1" applyBorder="1" applyAlignment="1">
      <alignment horizontal="center" wrapText="1"/>
    </xf>
    <xf numFmtId="0" fontId="2" fillId="13" borderId="36" xfId="0" applyFont="1" applyFill="1" applyBorder="1" applyAlignment="1">
      <alignment horizontal="center" wrapText="1"/>
    </xf>
    <xf numFmtId="0" fontId="0" fillId="13" borderId="4" xfId="0" applyFill="1" applyBorder="1" applyAlignment="1">
      <alignment horizontal="center"/>
    </xf>
    <xf numFmtId="0" fontId="0" fillId="13" borderId="7" xfId="0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wrapText="1"/>
    </xf>
    <xf numFmtId="0" fontId="2" fillId="13" borderId="37" xfId="0" applyFont="1" applyFill="1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13" borderId="8" xfId="0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13" borderId="4" xfId="0" applyFill="1" applyBorder="1" applyAlignment="1">
      <alignment horizontal="left"/>
    </xf>
    <xf numFmtId="0" fontId="0" fillId="13" borderId="9" xfId="0" applyFill="1" applyBorder="1" applyAlignment="1">
      <alignment horizontal="center"/>
    </xf>
    <xf numFmtId="0" fontId="2" fillId="13" borderId="9" xfId="0" applyFont="1" applyFill="1" applyBorder="1" applyAlignment="1">
      <alignment wrapText="1"/>
    </xf>
    <xf numFmtId="0" fontId="2" fillId="13" borderId="5" xfId="0" applyFont="1" applyFill="1" applyBorder="1" applyAlignment="1">
      <alignment horizontal="center" wrapText="1"/>
    </xf>
    <xf numFmtId="0" fontId="2" fillId="13" borderId="35" xfId="0" applyFont="1" applyFill="1" applyBorder="1" applyAlignment="1">
      <alignment horizontal="center" wrapText="1"/>
    </xf>
    <xf numFmtId="0" fontId="2" fillId="13" borderId="8" xfId="0" applyFont="1" applyFill="1" applyBorder="1"/>
    <xf numFmtId="0" fontId="0" fillId="13" borderId="9" xfId="0" applyFill="1" applyBorder="1" applyAlignment="1">
      <alignment horizontal="left" vertical="center"/>
    </xf>
    <xf numFmtId="0" fontId="0" fillId="13" borderId="5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8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13" borderId="8" xfId="0" applyFont="1" applyFill="1" applyBorder="1" applyAlignment="1">
      <alignment horizontal="left" wrapText="1"/>
    </xf>
    <xf numFmtId="0" fontId="2" fillId="13" borderId="9" xfId="0" applyFont="1" applyFill="1" applyBorder="1" applyAlignment="1">
      <alignment horizontal="left" wrapText="1"/>
    </xf>
    <xf numFmtId="0" fontId="0" fillId="1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32" xfId="0" applyBorder="1" applyAlignment="1">
      <alignment vertical="center"/>
    </xf>
    <xf numFmtId="0" fontId="0" fillId="13" borderId="32" xfId="0" applyFill="1" applyBorder="1" applyAlignment="1">
      <alignment vertical="center"/>
    </xf>
    <xf numFmtId="0" fontId="0" fillId="0" borderId="32" xfId="0" applyBorder="1" applyAlignment="1">
      <alignment vertical="center" wrapText="1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11" borderId="28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9" fontId="1" fillId="0" borderId="24" xfId="1" applyFont="1" applyBorder="1" applyAlignment="1">
      <alignment horizontal="center"/>
    </xf>
    <xf numFmtId="0" fontId="1" fillId="10" borderId="40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7" fillId="3" borderId="43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3" fillId="3" borderId="45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7" fillId="3" borderId="46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1" fillId="10" borderId="49" xfId="0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/>
    </xf>
    <xf numFmtId="9" fontId="0" fillId="3" borderId="51" xfId="1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7" fillId="3" borderId="50" xfId="0" applyFont="1" applyFill="1" applyBorder="1" applyAlignment="1">
      <alignment horizontal="center"/>
    </xf>
    <xf numFmtId="9" fontId="7" fillId="3" borderId="51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9" fontId="0" fillId="0" borderId="54" xfId="1" applyFont="1" applyBorder="1" applyAlignment="1">
      <alignment horizontal="center"/>
    </xf>
    <xf numFmtId="0" fontId="0" fillId="3" borderId="55" xfId="0" applyFill="1" applyBorder="1" applyAlignment="1">
      <alignment horizontal="center"/>
    </xf>
    <xf numFmtId="9" fontId="0" fillId="3" borderId="56" xfId="1" applyFont="1" applyFill="1" applyBorder="1" applyAlignment="1">
      <alignment horizontal="center"/>
    </xf>
    <xf numFmtId="0" fontId="1" fillId="10" borderId="57" xfId="0" applyFont="1" applyFill="1" applyBorder="1" applyAlignment="1">
      <alignment horizontal="center" vertical="center"/>
    </xf>
    <xf numFmtId="9" fontId="0" fillId="0" borderId="0" xfId="1" applyFont="1"/>
    <xf numFmtId="0" fontId="0" fillId="13" borderId="7" xfId="0" applyFill="1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9" fillId="14" borderId="28" xfId="0" applyFont="1" applyFill="1" applyBorder="1" applyAlignment="1">
      <alignment horizontal="center" vertical="center"/>
    </xf>
    <xf numFmtId="0" fontId="9" fillId="14" borderId="29" xfId="0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9" fillId="16" borderId="28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/>
    </xf>
    <xf numFmtId="0" fontId="9" fillId="16" borderId="30" xfId="0" applyFont="1" applyFill="1" applyBorder="1" applyAlignment="1">
      <alignment horizontal="center" vertical="center"/>
    </xf>
    <xf numFmtId="0" fontId="9" fillId="15" borderId="28" xfId="0" applyFont="1" applyFill="1" applyBorder="1" applyAlignment="1">
      <alignment horizontal="center" vertical="center"/>
    </xf>
    <xf numFmtId="0" fontId="9" fillId="15" borderId="29" xfId="0" applyFont="1" applyFill="1" applyBorder="1" applyAlignment="1">
      <alignment horizontal="center" vertical="center"/>
    </xf>
    <xf numFmtId="0" fontId="9" fillId="15" borderId="30" xfId="0" applyFont="1" applyFill="1" applyBorder="1" applyAlignment="1">
      <alignment horizontal="center" vertical="center"/>
    </xf>
    <xf numFmtId="0" fontId="9" fillId="17" borderId="28" xfId="0" applyFont="1" applyFill="1" applyBorder="1" applyAlignment="1">
      <alignment horizontal="center" vertical="center"/>
    </xf>
    <xf numFmtId="0" fontId="9" fillId="17" borderId="29" xfId="0" applyFont="1" applyFill="1" applyBorder="1" applyAlignment="1">
      <alignment horizontal="center" vertical="center"/>
    </xf>
    <xf numFmtId="0" fontId="9" fillId="17" borderId="30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9" borderId="7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0935A"/>
      <color rgb="FFF0904E"/>
      <color rgb="FFEC7728"/>
      <color rgb="FFFFD1D5"/>
      <color rgb="FFF1A1DC"/>
      <color rgb="FFE1F5FF"/>
      <color rgb="FFF9BFE4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CacheDefinition" Target="pivotCache/pivotCacheDefinition1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1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29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1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CacheDefinition" Target="pivotCache/pivotCacheDefinition1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Badminton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8B-42D5-AA6A-BE529CF6456F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8B-42D5-AA6A-BE529CF64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8B-42D5-AA6A-BE529CF6456F}"/>
              </c:ext>
            </c:extLst>
          </c:dPt>
          <c:cat>
            <c:strRef>
              <c:f>'Recap par clubs 2021'!$I$63:$I$65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Inconnu </c:v>
                </c:pt>
              </c:strCache>
            </c:strRef>
          </c:cat>
          <c:val>
            <c:numRef>
              <c:f>'Recap par clubs 2021'!$J$63:$J$65</c:f>
              <c:numCache>
                <c:formatCode>General</c:formatCode>
                <c:ptCount val="3"/>
                <c:pt idx="0">
                  <c:v>21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8B-42D5-AA6A-BE529CF6456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48B-42D5-AA6A-BE529CF64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48B-42D5-AA6A-BE529CF64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48B-42D5-AA6A-BE529CF6456F}"/>
              </c:ext>
            </c:extLst>
          </c:dPt>
          <c:cat>
            <c:strRef>
              <c:f>'Recap par clubs 2021'!$I$63:$I$65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Inconnu </c:v>
                </c:pt>
              </c:strCache>
            </c:strRef>
          </c:cat>
          <c:val>
            <c:numRef>
              <c:f>'Recap par clubs 2021'!$K$63:$K$65</c:f>
              <c:numCache>
                <c:formatCode>0%</c:formatCode>
                <c:ptCount val="3"/>
                <c:pt idx="0">
                  <c:v>0.78</c:v>
                </c:pt>
                <c:pt idx="1">
                  <c:v>0.18</c:v>
                </c:pt>
                <c:pt idx="2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48B-42D5-AA6A-BE529CF64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</a:t>
            </a:r>
            <a:r>
              <a:rPr lang="fr-FR" baseline="0"/>
              <a:t>s BasketBall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E6-4A10-8309-69CB1DFC3676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E6-4A10-8309-69CB1DFC3676}"/>
              </c:ext>
            </c:extLst>
          </c:dPt>
          <c:cat>
            <c:strRef>
              <c:f>'Recap par clubs 2021'!$I$103:$I$104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'Recap par clubs 2021'!$J$103:$J$104</c:f>
              <c:numCache>
                <c:formatCode>General</c:formatCode>
                <c:ptCount val="2"/>
                <c:pt idx="0">
                  <c:v>24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E6-4A10-8309-69CB1DFC3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Cyclisme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A6-4A33-B7F5-6C6BD2F9F4E6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6-4A33-B7F5-6C6BD2F9F4E6}"/>
              </c:ext>
            </c:extLst>
          </c:dPt>
          <c:cat>
            <c:strRef>
              <c:f>'Recap par clubs 2021'!$I$146:$I$147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'Recap par clubs 2021'!$J$146:$J$147</c:f>
              <c:numCache>
                <c:formatCode>General</c:formatCode>
                <c:ptCount val="2"/>
                <c:pt idx="0">
                  <c:v>18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6-4A33-B7F5-6C6BD2F9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EPGV</a:t>
            </a:r>
          </a:p>
        </c:rich>
      </c:tx>
      <c:layout>
        <c:manualLayout>
          <c:xMode val="edge"/>
          <c:yMode val="edge"/>
          <c:x val="0.3459512248468941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1E-424A-B011-6C9FAB953700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1E-424A-B011-6C9FAB953700}"/>
              </c:ext>
            </c:extLst>
          </c:dPt>
          <c:cat>
            <c:strRef>
              <c:f>'Recap par clubs 2021'!$I$196:$I$197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'Recap par clubs 2021'!$J$196:$J$197</c:f>
              <c:numCache>
                <c:formatCode>General</c:formatCode>
                <c:ptCount val="2"/>
                <c:pt idx="0">
                  <c:v>18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E-424A-B011-6C9FAB953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Escrime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74-4779-B2F0-6060D0C92125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74-4779-B2F0-6060D0C92125}"/>
              </c:ext>
            </c:extLst>
          </c:dPt>
          <c:cat>
            <c:strRef>
              <c:f>'Recap par clubs 2021'!$I$343:$I$344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2021'!$J$343:$J$344</c:f>
              <c:numCache>
                <c:formatCode>General</c:formatCode>
                <c:ptCount val="2"/>
                <c:pt idx="0">
                  <c:v>14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74-4779-B2F0-6060D0C9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Football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F2-4C8D-9E7D-00B2831EBADE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F2-4C8D-9E7D-00B2831EBADE}"/>
              </c:ext>
            </c:extLst>
          </c:dPt>
          <c:cat>
            <c:strRef>
              <c:f>'Recap par clubs 2021'!$I$361:$I$362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2021'!$J$361:$J$362</c:f>
              <c:numCache>
                <c:formatCode>General</c:formatCode>
                <c:ptCount val="2"/>
                <c:pt idx="0">
                  <c:v>67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F2-4C8D-9E7D-00B2831EB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Gymnastique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B5-46F5-875B-89BF43F32ECB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5-46F5-875B-89BF43F32ECB}"/>
              </c:ext>
            </c:extLst>
          </c:dPt>
          <c:cat>
            <c:strRef>
              <c:f>'Recap par clubs 2021'!$I$465:$I$466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2021'!$J$465:$J$466</c:f>
              <c:numCache>
                <c:formatCode>General</c:formatCode>
                <c:ptCount val="2"/>
                <c:pt idx="0">
                  <c:v>9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B5-46F5-875B-89BF43F32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Handball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8-41A2-A38A-C3DC39FE24D9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8-41A2-A38A-C3DC39FE24D9}"/>
              </c:ext>
            </c:extLst>
          </c:dPt>
          <c:cat>
            <c:strRef>
              <c:f>'Recap par clubs 2021'!$I$493:$I$494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2021'!$J$493:$J$494</c:f>
              <c:numCache>
                <c:formatCode>General</c:formatCode>
                <c:ptCount val="2"/>
                <c:pt idx="0">
                  <c:v>21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8-41A2-A38A-C3DC39FE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Hockey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82-4286-AFAD-D3CAB1AC4B15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82-4286-AFAD-D3CAB1AC4B15}"/>
              </c:ext>
            </c:extLst>
          </c:dPt>
          <c:cat>
            <c:strRef>
              <c:f>'Recap par clubs 2021'!$I$540:$I$541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2021'!$J$540:$J$541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82-4286-AFAD-D3CAB1AC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Sports de Glace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4491502262195755"/>
          <c:y val="0.28179896320771641"/>
          <c:w val="0.51016956927499879"/>
          <c:h val="0.5420110559505799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FD-40D4-A20A-74A8C080EBE5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FD-40D4-A20A-74A8C080EBE5}"/>
              </c:ext>
            </c:extLst>
          </c:dPt>
          <c:cat>
            <c:strRef>
              <c:f>'Recap par clubs 2021'!$I$804:$I$805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2021'!$J$804:$J$805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D-40D4-A20A-74A8C080E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Triathlon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29-4A68-8213-8BD000C04E85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9-4A68-8213-8BD000C04E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29-4A68-8213-8BD000C04E85}"/>
              </c:ext>
            </c:extLst>
          </c:dPt>
          <c:cat>
            <c:strRef>
              <c:f>'Recap par clubs 2021'!$I$960:$I$962</c:f>
              <c:strCache>
                <c:ptCount val="3"/>
                <c:pt idx="0">
                  <c:v>Hommes </c:v>
                </c:pt>
                <c:pt idx="1">
                  <c:v>Femmes </c:v>
                </c:pt>
                <c:pt idx="2">
                  <c:v>Inconnu </c:v>
                </c:pt>
              </c:strCache>
            </c:strRef>
          </c:cat>
          <c:val>
            <c:numRef>
              <c:f>'Recap par clubs 2021'!$J$960:$J$962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29-4A68-8213-8BD000C0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VolleyBall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0A-4E44-90FF-FEC0CEE77126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0A-4E44-90FF-FEC0CEE77126}"/>
              </c:ext>
            </c:extLst>
          </c:dPt>
          <c:cat>
            <c:strRef>
              <c:f>'Recap par clubs 2021'!$I$1100:$I$1101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2021'!$J$1100:$J$1101</c:f>
              <c:numCache>
                <c:formatCode>General</c:formatCode>
                <c:ptCount val="2"/>
                <c:pt idx="0">
                  <c:v>18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0A-4E44-90FF-FEC0CEE77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UFOLEP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B3-4D8A-B9AF-75F19DD9D4B8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B3-4D8A-B9AF-75F19DD9D4B8}"/>
              </c:ext>
            </c:extLst>
          </c:dPt>
          <c:cat>
            <c:strRef>
              <c:f>'Recap par clubs 2021'!$I$971:$I$972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2021'!$J$971:$J$972</c:f>
              <c:numCache>
                <c:formatCode>General</c:formatCode>
                <c:ptCount val="2"/>
                <c:pt idx="0">
                  <c:v>35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B3-4D8A-B9AF-75F19DD9D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Aïkido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17171296296296298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BA-435E-8BC0-95451252262A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BA-435E-8BC0-954512522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BA-435E-8BC0-95451252262A}"/>
              </c:ext>
            </c:extLst>
          </c:dPt>
          <c:cat>
            <c:strRef>
              <c:f>'Recap par clubs 2021'!$I$4:$I$6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Inconnu </c:v>
                </c:pt>
              </c:strCache>
            </c:strRef>
          </c:cat>
          <c:val>
            <c:numRef>
              <c:f>'Recap par clubs 2021'!$J$4:$J$6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BA-435E-8BC0-95451252262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4BA-435E-8BC0-9545125226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4BA-435E-8BC0-954512522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4BA-435E-8BC0-95451252262A}"/>
              </c:ext>
            </c:extLst>
          </c:dPt>
          <c:cat>
            <c:strRef>
              <c:f>'Recap par clubs 2021'!$I$4:$I$6</c:f>
              <c:strCache>
                <c:ptCount val="3"/>
                <c:pt idx="0">
                  <c:v>Hommes</c:v>
                </c:pt>
                <c:pt idx="1">
                  <c:v>Femmes</c:v>
                </c:pt>
                <c:pt idx="2">
                  <c:v>Inconnu </c:v>
                </c:pt>
              </c:strCache>
            </c:strRef>
          </c:cat>
          <c:val>
            <c:numRef>
              <c:f>'Recap par clubs 2021'!$K$4:$K$6</c:f>
              <c:numCache>
                <c:formatCode>0%</c:formatCode>
                <c:ptCount val="3"/>
                <c:pt idx="0">
                  <c:v>0.73299999999999998</c:v>
                </c:pt>
                <c:pt idx="1">
                  <c:v>0.2</c:v>
                </c:pt>
                <c:pt idx="2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BA-435E-8BC0-954512522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Handisport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B3-4CAF-819B-79454C32C6E5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B3-4CAF-819B-79454C32C6E5}"/>
              </c:ext>
            </c:extLst>
          </c:dPt>
          <c:cat>
            <c:strRef>
              <c:f>'Recap par clubs 2021'!$I$522:$I$523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2021'!$J$522:$J$523</c:f>
              <c:numCache>
                <c:formatCode>General</c:formatCode>
                <c:ptCount val="2"/>
                <c:pt idx="0">
                  <c:v>15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B3-4CAF-819B-79454C32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Montagne</a:t>
            </a:r>
            <a:r>
              <a:rPr lang="fr-FR" baseline="0"/>
              <a:t> et Escalade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67-43A4-BDAA-5CD12716E1D9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67-43A4-BDAA-5CD12716E1D9}"/>
              </c:ext>
            </c:extLst>
          </c:dPt>
          <c:cat>
            <c:strRef>
              <c:f>'Recap par clubs 2021'!$I$733:$I$734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2021'!$J$733:$J$734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7-43A4-BDAA-5CD12716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Squash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C4-4D32-BF43-5E1F4367F94A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C4-4D32-BF43-5E1F4367F94A}"/>
              </c:ext>
            </c:extLst>
          </c:dPt>
          <c:cat>
            <c:strRef>
              <c:f>'Recap par clubs 2021'!$I$808:$I$809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2021'!$J$808:$J$809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C4-4D32-BF43-5E1F4367F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Football Américain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24-4A6C-BE70-5BC48DCB4961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24-4A6C-BE70-5BC48DCB4961}"/>
              </c:ext>
            </c:extLst>
          </c:dPt>
          <c:cat>
            <c:strRef>
              <c:f>'Recap par clubs 2021'!$I$432:$I$433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2021'!$J$432:$J$433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24-4A6C-BE70-5BC48DCB4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Spéléologie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B5-41F6-A334-959229AD28C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B5-41F6-A334-959229AD28C3}"/>
              </c:ext>
            </c:extLst>
          </c:dPt>
          <c:cat>
            <c:strRef>
              <c:f>'Recap par clubs 2021'!$I$800:$I$801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'Recap par clubs 2021'!$J$800:$J$801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B5-41F6-A334-959229AD2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Cyclotourisme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40-4DC3-B787-14D27C0EA50C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40-4DC3-B787-14D27C0EA50C}"/>
              </c:ext>
            </c:extLst>
          </c:dPt>
          <c:cat>
            <c:strRef>
              <c:f>'Recap par clubs 2021'!$I$168:$I$169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'Recap par clubs 2021'!$J$168:$J$169</c:f>
              <c:numCache>
                <c:formatCode>General</c:formatCode>
                <c:ptCount val="2"/>
                <c:pt idx="0">
                  <c:v>23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40-4DC3-B787-14D27C0EA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 Tennis de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4-4E32-8462-8CE1886807D3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54-4E32-8462-8CE1886807D3}"/>
              </c:ext>
            </c:extLst>
          </c:dPt>
          <c:cat>
            <c:strRef>
              <c:f>'Recap par clubs 2021'!$I$899:$I$900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2021'!$J$899:$J$900</c:f>
              <c:numCache>
                <c:formatCode>General</c:formatCode>
                <c:ptCount val="2"/>
                <c:pt idx="0">
                  <c:v>27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54-4E32-8462-8CE188680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Tir à l'Arc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2E-44DC-AB17-13566459A978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2E-44DC-AB17-13566459A978}"/>
              </c:ext>
            </c:extLst>
          </c:dPt>
          <c:cat>
            <c:strRef>
              <c:f>'Recap par clubs 2021'!$I$933:$I$934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2021'!$J$933:$J$934</c:f>
              <c:numCache>
                <c:formatCode>General</c:formatCode>
                <c:ptCount val="2"/>
                <c:pt idx="0">
                  <c:v>24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E-44DC-AB17-13566459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Président.e.s</a:t>
            </a:r>
            <a:r>
              <a:rPr lang="fr-FR" baseline="0"/>
              <a:t> Rugby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B5-43DF-AAFA-36F2D1A476A3}"/>
              </c:ext>
            </c:extLst>
          </c:dPt>
          <c:dPt>
            <c:idx val="1"/>
            <c:bubble3D val="0"/>
            <c:spPr>
              <a:solidFill>
                <a:srgbClr val="FFD1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B5-43DF-AAFA-36F2D1A476A3}"/>
              </c:ext>
            </c:extLst>
          </c:dPt>
          <c:cat>
            <c:strRef>
              <c:f>'Recap par clubs 2021'!$I$789:$I$790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'Recap par clubs 2021'!$J$789:$J$790</c:f>
              <c:numCache>
                <c:formatCode>General</c:formatCode>
                <c:ptCount val="2"/>
                <c:pt idx="0">
                  <c:v>11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B5-43DF-AAFA-36F2D1A47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le Sport Féminin en Val d'Oise 2021.xlsx]Tableaux croisés dynamiques!Tableau croisé dynamique14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des Président.e.s par</a:t>
            </a:r>
          </a:p>
          <a:p>
            <a:pPr>
              <a:defRPr/>
            </a:pPr>
            <a:r>
              <a:rPr lang="en-US"/>
              <a:t>territoire du Val d'Oise</a:t>
            </a:r>
          </a:p>
        </c:rich>
      </c:tx>
      <c:layout>
        <c:manualLayout>
          <c:xMode val="edge"/>
          <c:yMode val="edge"/>
          <c:x val="0.27043686205890932"/>
          <c:y val="6.6688565921456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'Tableaux croisés dynamiques'!$C$6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7-4459-98BC-66740782D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87-4459-98BC-66740782D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87-4459-98BC-66740782DF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87-4459-98BC-66740782DF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87-4459-98BC-66740782DF18}"/>
              </c:ext>
            </c:extLst>
          </c:dPt>
          <c:cat>
            <c:multiLvlStrRef>
              <c:f>'Tableaux croisés dynamiques'!$B$7:$B$14</c:f>
              <c:multiLvlStrCache>
                <c:ptCount val="5"/>
                <c:lvl>
                  <c:pt idx="0">
                    <c:v>Centre</c:v>
                  </c:pt>
                  <c:pt idx="1">
                    <c:v>Est</c:v>
                  </c:pt>
                  <c:pt idx="2">
                    <c:v>Vexin</c:v>
                  </c:pt>
                  <c:pt idx="3">
                    <c:v>Centre</c:v>
                  </c:pt>
                  <c:pt idx="4">
                    <c:v>Est</c:v>
                  </c:pt>
                </c:lvl>
                <c:lvl>
                  <c:pt idx="0">
                    <c:v>F</c:v>
                  </c:pt>
                  <c:pt idx="3">
                    <c:v>H</c:v>
                  </c:pt>
                </c:lvl>
              </c:multiLvlStrCache>
            </c:multiLvlStrRef>
          </c:cat>
          <c:val>
            <c:numRef>
              <c:f>'Tableaux croisés dynamiques'!$C$7:$C$14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87-4459-98BC-66740782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40740740740741"/>
          <c:y val="0.34484809868993171"/>
          <c:w val="0.23481481481481481"/>
          <c:h val="0.556931457110868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le Sport Féminin en Val d'Oise 2021.xlsx]Tableaux croisés dynamiques!Tableau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de pratiquantes</a:t>
            </a:r>
            <a:r>
              <a:rPr lang="en-US" sz="1400" b="1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féminines par</a:t>
            </a:r>
          </a:p>
          <a:p>
            <a:pPr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territoire du Val d'Oise</a:t>
            </a:r>
            <a:endParaRPr lang="en-US" sz="1400" b="1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1514733570509254"/>
          <c:y val="6.9919647434399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0904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'Tableaux croisés dynamiques'!$C$26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090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03-4249-8F83-1C3AD4B33D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03-4249-8F83-1C3AD4B33D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03-4249-8F83-1C3AD4B33D43}"/>
              </c:ext>
            </c:extLst>
          </c:dPt>
          <c:cat>
            <c:strRef>
              <c:f>'Tableaux croisés dynamiques'!$B$27:$B$28</c:f>
              <c:strCache>
                <c:ptCount val="1"/>
                <c:pt idx="0">
                  <c:v>Centre</c:v>
                </c:pt>
              </c:strCache>
            </c:strRef>
          </c:cat>
          <c:val>
            <c:numRef>
              <c:f>'Tableaux croisés dynamiques'!$C$27:$C$28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03-4249-8F83-1C3AD4B3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493059</xdr:colOff>
      <xdr:row>62</xdr:row>
      <xdr:rowOff>68357</xdr:rowOff>
    </xdr:from>
    <xdr:to>
      <xdr:col>17</xdr:col>
      <xdr:colOff>403411</xdr:colOff>
      <xdr:row>74</xdr:row>
      <xdr:rowOff>145677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72838</xdr:colOff>
      <xdr:row>102</xdr:row>
      <xdr:rowOff>1119</xdr:rowOff>
    </xdr:from>
    <xdr:to>
      <xdr:col>18</xdr:col>
      <xdr:colOff>11206</xdr:colOff>
      <xdr:row>117</xdr:row>
      <xdr:rowOff>168088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554692</xdr:colOff>
      <xdr:row>144</xdr:row>
      <xdr:rowOff>0</xdr:rowOff>
    </xdr:from>
    <xdr:to>
      <xdr:col>17</xdr:col>
      <xdr:colOff>336178</xdr:colOff>
      <xdr:row>159</xdr:row>
      <xdr:rowOff>56029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16808</xdr:colOff>
      <xdr:row>195</xdr:row>
      <xdr:rowOff>23532</xdr:rowOff>
    </xdr:from>
    <xdr:to>
      <xdr:col>18</xdr:col>
      <xdr:colOff>179294</xdr:colOff>
      <xdr:row>210</xdr:row>
      <xdr:rowOff>33618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517871</xdr:colOff>
      <xdr:row>337</xdr:row>
      <xdr:rowOff>44343</xdr:rowOff>
    </xdr:from>
    <xdr:to>
      <xdr:col>18</xdr:col>
      <xdr:colOff>534680</xdr:colOff>
      <xdr:row>351</xdr:row>
      <xdr:rowOff>155282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552290</xdr:colOff>
      <xdr:row>356</xdr:row>
      <xdr:rowOff>166005</xdr:rowOff>
    </xdr:from>
    <xdr:to>
      <xdr:col>19</xdr:col>
      <xdr:colOff>57631</xdr:colOff>
      <xdr:row>372</xdr:row>
      <xdr:rowOff>64032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145676</xdr:colOff>
      <xdr:row>463</xdr:row>
      <xdr:rowOff>57149</xdr:rowOff>
    </xdr:from>
    <xdr:to>
      <xdr:col>16</xdr:col>
      <xdr:colOff>526677</xdr:colOff>
      <xdr:row>476</xdr:row>
      <xdr:rowOff>78442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330574</xdr:colOff>
      <xdr:row>492</xdr:row>
      <xdr:rowOff>1119</xdr:rowOff>
    </xdr:from>
    <xdr:to>
      <xdr:col>17</xdr:col>
      <xdr:colOff>100854</xdr:colOff>
      <xdr:row>506</xdr:row>
      <xdr:rowOff>190499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434630</xdr:colOff>
      <xdr:row>534</xdr:row>
      <xdr:rowOff>149679</xdr:rowOff>
    </xdr:from>
    <xdr:to>
      <xdr:col>17</xdr:col>
      <xdr:colOff>40822</xdr:colOff>
      <xdr:row>542</xdr:row>
      <xdr:rowOff>149679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381001</xdr:colOff>
      <xdr:row>802</xdr:row>
      <xdr:rowOff>0</xdr:rowOff>
    </xdr:from>
    <xdr:to>
      <xdr:col>22</xdr:col>
      <xdr:colOff>326571</xdr:colOff>
      <xdr:row>806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509869</xdr:colOff>
      <xdr:row>958</xdr:row>
      <xdr:rowOff>292474</xdr:rowOff>
    </xdr:from>
    <xdr:to>
      <xdr:col>16</xdr:col>
      <xdr:colOff>414619</xdr:colOff>
      <xdr:row>969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515470</xdr:colOff>
      <xdr:row>1099</xdr:row>
      <xdr:rowOff>101970</xdr:rowOff>
    </xdr:from>
    <xdr:to>
      <xdr:col>16</xdr:col>
      <xdr:colOff>336178</xdr:colOff>
      <xdr:row>1112</xdr:row>
      <xdr:rowOff>123264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509866</xdr:colOff>
      <xdr:row>972</xdr:row>
      <xdr:rowOff>68355</xdr:rowOff>
    </xdr:from>
    <xdr:to>
      <xdr:col>17</xdr:col>
      <xdr:colOff>403412</xdr:colOff>
      <xdr:row>983</xdr:row>
      <xdr:rowOff>67234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95249</xdr:colOff>
      <xdr:row>2</xdr:row>
      <xdr:rowOff>0</xdr:rowOff>
    </xdr:from>
    <xdr:to>
      <xdr:col>17</xdr:col>
      <xdr:colOff>0</xdr:colOff>
      <xdr:row>13</xdr:row>
      <xdr:rowOff>22412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346982</xdr:colOff>
      <xdr:row>521</xdr:row>
      <xdr:rowOff>43542</xdr:rowOff>
    </xdr:from>
    <xdr:to>
      <xdr:col>17</xdr:col>
      <xdr:colOff>122464</xdr:colOff>
      <xdr:row>531</xdr:row>
      <xdr:rowOff>95249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367394</xdr:colOff>
      <xdr:row>731</xdr:row>
      <xdr:rowOff>0</xdr:rowOff>
    </xdr:from>
    <xdr:to>
      <xdr:col>18</xdr:col>
      <xdr:colOff>136072</xdr:colOff>
      <xdr:row>740</xdr:row>
      <xdr:rowOff>13607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805</xdr:row>
      <xdr:rowOff>1</xdr:rowOff>
    </xdr:from>
    <xdr:to>
      <xdr:col>16</xdr:col>
      <xdr:colOff>503465</xdr:colOff>
      <xdr:row>810</xdr:row>
      <xdr:rowOff>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503465</xdr:colOff>
      <xdr:row>426</xdr:row>
      <xdr:rowOff>84366</xdr:rowOff>
    </xdr:from>
    <xdr:to>
      <xdr:col>16</xdr:col>
      <xdr:colOff>544286</xdr:colOff>
      <xdr:row>433</xdr:row>
      <xdr:rowOff>149680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74837</xdr:colOff>
      <xdr:row>798</xdr:row>
      <xdr:rowOff>0</xdr:rowOff>
    </xdr:from>
    <xdr:to>
      <xdr:col>16</xdr:col>
      <xdr:colOff>244929</xdr:colOff>
      <xdr:row>802</xdr:row>
      <xdr:rowOff>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381000</xdr:colOff>
      <xdr:row>166</xdr:row>
      <xdr:rowOff>0</xdr:rowOff>
    </xdr:from>
    <xdr:to>
      <xdr:col>18</xdr:col>
      <xdr:colOff>217715</xdr:colOff>
      <xdr:row>176</xdr:row>
      <xdr:rowOff>149678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476251</xdr:colOff>
      <xdr:row>899</xdr:row>
      <xdr:rowOff>43543</xdr:rowOff>
    </xdr:from>
    <xdr:to>
      <xdr:col>17</xdr:col>
      <xdr:colOff>13608</xdr:colOff>
      <xdr:row>909</xdr:row>
      <xdr:rowOff>108857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231321</xdr:colOff>
      <xdr:row>932</xdr:row>
      <xdr:rowOff>97972</xdr:rowOff>
    </xdr:from>
    <xdr:to>
      <xdr:col>18</xdr:col>
      <xdr:colOff>190500</xdr:colOff>
      <xdr:row>942</xdr:row>
      <xdr:rowOff>136072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787</xdr:row>
      <xdr:rowOff>0</xdr:rowOff>
    </xdr:from>
    <xdr:to>
      <xdr:col>16</xdr:col>
      <xdr:colOff>425823</xdr:colOff>
      <xdr:row>794</xdr:row>
      <xdr:rowOff>89647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819150</xdr:colOff>
      <xdr:row>2</xdr:row>
      <xdr:rowOff>104775</xdr:rowOff>
    </xdr:from>
    <xdr:to>
      <xdr:col>6</xdr:col>
      <xdr:colOff>38100</xdr:colOff>
      <xdr:row>15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scipline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ip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175" y="485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7</xdr:col>
      <xdr:colOff>9525</xdr:colOff>
      <xdr:row>2</xdr:row>
      <xdr:rowOff>23811</xdr:rowOff>
    </xdr:from>
    <xdr:to>
      <xdr:col>13</xdr:col>
      <xdr:colOff>752474</xdr:colOff>
      <xdr:row>16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885825</xdr:colOff>
      <xdr:row>22</xdr:row>
      <xdr:rowOff>0</xdr:rowOff>
    </xdr:from>
    <xdr:to>
      <xdr:col>6</xdr:col>
      <xdr:colOff>104775</xdr:colOff>
      <xdr:row>35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scipline 1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iplin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2850" y="4191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7</xdr:col>
      <xdr:colOff>9525</xdr:colOff>
      <xdr:row>21</xdr:row>
      <xdr:rowOff>19049</xdr:rowOff>
    </xdr:from>
    <xdr:to>
      <xdr:col>13</xdr:col>
      <xdr:colOff>742950</xdr:colOff>
      <xdr:row>35</xdr:row>
      <xdr:rowOff>180974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562877662036" createdVersion="5" refreshedVersion="5" minRefreshableVersion="3" recordCount="77" xr:uid="{00000000-000A-0000-FFFF-FFFF00000000}">
  <cacheSource type="worksheet">
    <worksheetSource ref="J1021:K1098" sheet="Recap par clubs 2021"/>
  </cacheSource>
  <cacheFields count="2">
    <cacheField name="Centre" numFmtId="0">
      <sharedItems count="3">
        <s v="Vexin"/>
        <s v="Centre"/>
        <s v="Est"/>
      </sharedItems>
    </cacheField>
    <cacheField name="205" numFmtId="0">
      <sharedItems containsSemiMixedTypes="0" containsString="0" containsNumber="1" containsInteger="1" minValue="10" maxValue="2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6740277779" createdVersion="5" refreshedVersion="5" minRefreshableVersion="3" recordCount="27" xr:uid="{00000000-000A-0000-FFFF-FFFF01000000}">
  <cacheSource type="worksheet">
    <worksheetSource ref="J464:K491" sheet="Recap par clubs 2021"/>
  </cacheSource>
  <cacheFields count="2">
    <cacheField name="Centre" numFmtId="0">
      <sharedItems count="2">
        <s v="Centre"/>
        <s v="Est"/>
      </sharedItems>
    </cacheField>
    <cacheField name="416" numFmtId="0">
      <sharedItems containsSemiMixedTypes="0" containsString="0" containsNumber="1" containsInteger="1" minValue="1" maxValue="6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1521180559" createdVersion="5" refreshedVersion="5" minRefreshableVersion="3" recordCount="45" xr:uid="{00000000-000A-0000-FFFF-FFFF02000000}">
  <cacheSource type="worksheet">
    <worksheetSource ref="J742:K787" sheet="Recap par clubs 2021"/>
  </cacheSource>
  <cacheFields count="2">
    <cacheField name="Centre" numFmtId="0">
      <sharedItems count="2">
        <s v="Centre"/>
        <s v="Est"/>
      </sharedItems>
    </cacheField>
    <cacheField name="3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60312731481" createdVersion="5" refreshedVersion="5" minRefreshableVersion="3" recordCount="70" xr:uid="{00000000-000A-0000-FFFF-FFFF03000000}">
  <cacheSource type="worksheet">
    <worksheetSource ref="J360:K430" sheet="Recap par clubs 2021"/>
  </cacheSource>
  <cacheFields count="2">
    <cacheField name="Est" numFmtId="0">
      <sharedItems count="3">
        <s v="Centre"/>
        <s v="Vexin"/>
        <s v="Est"/>
      </sharedItems>
    </cacheField>
    <cacheField name="2" numFmtId="0">
      <sharedItems containsSemiMixedTypes="0" containsString="0" containsNumber="1" containsInteger="1" minValue="1" maxValue="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563431365743" createdVersion="5" refreshedVersion="5" minRefreshableVersion="3" recordCount="50" xr:uid="{00000000-000A-0000-FFFF-FFFF04000000}">
  <cacheSource type="worksheet">
    <worksheetSource ref="J970:K1020" sheet="Recap par clubs 2021"/>
  </cacheSource>
  <cacheFields count="2">
    <cacheField name="Centre" numFmtId="0">
      <sharedItems containsBlank="1" count="4">
        <s v="Centre"/>
        <s v="Est"/>
        <m/>
        <s v="Vexin"/>
      </sharedItems>
    </cacheField>
    <cacheField name="135" numFmtId="0">
      <sharedItems containsString="0" containsBlank="1" containsNumber="1" containsInteger="1" minValue="1" maxValue="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3030439818" createdVersion="5" refreshedVersion="5" minRefreshableVersion="3" recordCount="95" xr:uid="{00000000-000A-0000-FFFF-FFFF05000000}">
  <cacheSource type="worksheet">
    <worksheetSource ref="J636:K731" sheet="Recap par clubs 2021"/>
  </cacheSource>
  <cacheFields count="2">
    <cacheField name="Centre" numFmtId="0">
      <sharedItems containsBlank="1" count="4">
        <s v="Centre"/>
        <s v="Est"/>
        <s v="Vexin"/>
        <m/>
      </sharedItems>
    </cacheField>
    <cacheField name="19" numFmtId="0">
      <sharedItems containsSemiMixedTypes="0" containsString="0" containsNumber="1" containsInteger="1" minValue="0" maxValue="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61116550924" createdVersion="5" refreshedVersion="5" minRefreshableVersion="3" recordCount="62" xr:uid="{00000000-000A-0000-FFFF-FFFF06000000}">
  <cacheSource type="worksheet">
    <worksheetSource ref="J195:K257" sheet="Recap par clubs 2021"/>
  </cacheSource>
  <cacheFields count="2">
    <cacheField name="Centre" numFmtId="0">
      <sharedItems containsBlank="1" count="4">
        <s v="Centre"/>
        <s v="Est"/>
        <s v="Vexin"/>
        <m/>
      </sharedItems>
    </cacheField>
    <cacheField name="115" numFmtId="0">
      <sharedItems containsSemiMixedTypes="0" containsString="0" containsNumber="1" containsInteger="1" minValue="2" maxValue="7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3316782408" createdVersion="5" refreshedVersion="5" minRefreshableVersion="3" recordCount="91" xr:uid="{00000000-000A-0000-FFFF-FFFF07000000}">
  <cacheSource type="worksheet">
    <worksheetSource ref="J544:K635" sheet="Recap par clubs 2021"/>
  </cacheSource>
  <cacheFields count="2">
    <cacheField name="Centre" numFmtId="0">
      <sharedItems containsBlank="1" count="4">
        <s v="Centre"/>
        <s v="Est"/>
        <s v="Vexin"/>
        <m/>
      </sharedItems>
    </cacheField>
    <cacheField name="25" numFmtId="0">
      <sharedItems containsString="0" containsBlank="1" containsNumber="1" containsInteger="1" minValue="0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564147453704" createdVersion="5" refreshedVersion="5" minRefreshableVersion="3" recordCount="87" xr:uid="{00000000-000A-0000-FFFF-FFFF08000000}">
  <cacheSource type="worksheet">
    <worksheetSource ref="J810:K897" sheet="Recap par clubs 2021"/>
  </cacheSource>
  <cacheFields count="2">
    <cacheField name="Centre" numFmtId="0">
      <sharedItems count="3">
        <s v="Vexin"/>
        <s v="Centre"/>
        <s v="Est"/>
      </sharedItems>
    </cacheField>
    <cacheField name="2" numFmtId="0">
      <sharedItems containsSemiMixedTypes="0" containsString="0" containsNumber="1" containsInteger="1" minValue="0" maxValue="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3906018516" createdVersion="5" refreshedVersion="5" minRefreshableVersion="3" recordCount="83" xr:uid="{00000000-000A-0000-FFFF-FFFF09000000}">
  <cacheSource type="worksheet">
    <worksheetSource ref="J258:K341" sheet="Recap par clubs 2021"/>
  </cacheSource>
  <cacheFields count="2">
    <cacheField name="Centre" numFmtId="0">
      <sharedItems count="3">
        <s v="Centre"/>
        <s v="Vexin"/>
        <s v="Est"/>
      </sharedItems>
    </cacheField>
    <cacheField name="303" numFmtId="0">
      <sharedItems containsSemiMixedTypes="0" containsString="0" containsNumber="1" containsInteger="1" minValue="0" maxValue="4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04383333331" createdVersion="5" refreshedVersion="5" minRefreshableVersion="3" recordCount="10" xr:uid="{00000000-000A-0000-FFFF-FFFF0A000000}">
  <cacheSource type="worksheet">
    <worksheetSource ref="J788:K798" sheet="Recap par clubs 2021"/>
  </cacheSource>
  <cacheFields count="2">
    <cacheField name="Centre" numFmtId="0">
      <sharedItems count="2">
        <s v="Est"/>
        <s v="Centre"/>
      </sharedItems>
    </cacheField>
    <cacheField name="1" numFmtId="0">
      <sharedItems containsSemiMixedTypes="0" containsString="0" containsNumber="1" containsInteger="1" minValue="1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70852314812" createdVersion="5" refreshedVersion="5" minRefreshableVersion="3" recordCount="27" xr:uid="{00000000-000A-0000-FFFF-FFFF0B000000}">
  <cacheSource type="worksheet">
    <worksheetSource ref="J167:K194" sheet="Recap par clubs 2021"/>
  </cacheSource>
  <cacheFields count="2">
    <cacheField name="Centre" numFmtId="0">
      <sharedItems containsBlank="1" count="4">
        <s v="Vexin"/>
        <s v="Centre"/>
        <s v="Est"/>
        <m/>
      </sharedItems>
    </cacheField>
    <cacheField name="14" numFmtId="0">
      <sharedItems containsSemiMixedTypes="0" containsString="0" containsNumber="1" containsInteger="1" minValue="0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4546874996" createdVersion="5" refreshedVersion="5" minRefreshableVersion="3" recordCount="28" xr:uid="{00000000-000A-0000-FFFF-FFFF0C000000}">
  <cacheSource type="worksheet">
    <worksheetSource ref="J492:K520" sheet="Recap par clubs 2021"/>
  </cacheSource>
  <cacheFields count="2">
    <cacheField name="Centre" numFmtId="0">
      <sharedItems count="3">
        <s v="Centre"/>
        <s v="Est"/>
        <s v="Vexin"/>
      </sharedItems>
    </cacheField>
    <cacheField name="62" numFmtId="0">
      <sharedItems containsSemiMixedTypes="0" containsString="0" containsNumber="1" containsInteger="1" minValue="0" maxValue="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11118981484" createdVersion="5" refreshedVersion="5" minRefreshableVersion="3" recordCount="33" xr:uid="{00000000-000A-0000-FFFF-FFFF0D000000}">
  <cacheSource type="worksheet">
    <worksheetSource ref="J898:K931" sheet="Recap par clubs 2021"/>
  </cacheSource>
  <cacheFields count="2">
    <cacheField name="Centre" numFmtId="0">
      <sharedItems count="3">
        <s v="Centre"/>
        <s v="Vexin"/>
        <s v="Est"/>
      </sharedItems>
    </cacheField>
    <cacheField name="12" numFmtId="0">
      <sharedItems containsSemiMixedTypes="0" containsString="0" containsNumber="1" containsInteger="1" minValue="1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0.696662847222" createdVersion="5" refreshedVersion="5" minRefreshableVersion="3" recordCount="26" xr:uid="{00000000-000A-0000-FFFF-FFFF0E000000}">
  <cacheSource type="worksheet">
    <worksheetSource ref="J62:K88" sheet="Recap par clubs 2021"/>
  </cacheSource>
  <cacheFields count="2">
    <cacheField name="Centre" numFmtId="0">
      <sharedItems count="2">
        <s v="Est"/>
        <s v="Centre"/>
      </sharedItems>
    </cacheField>
    <cacheField name="14" numFmtId="0">
      <sharedItems containsSemiMixedTypes="0" containsString="0" containsNumber="1" containsInteger="1" minValue="1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4.396021759261" createdVersion="5" refreshedVersion="5" minRefreshableVersion="3" recordCount="37" xr:uid="{00000000-000A-0000-FFFF-FFFF0F000000}">
  <cacheSource type="worksheet">
    <worksheetSource ref="H18:M55" sheet="Recap par clubs 2021"/>
  </cacheSource>
  <cacheFields count="5">
    <cacheField name="Athlétisme" numFmtId="0">
      <sharedItems containsNonDate="0" containsString="0" containsBlank="1"/>
    </cacheField>
    <cacheField name="AA PAYS DE FRANCE ATHLE 95 " numFmtId="0">
      <sharedItems/>
    </cacheField>
    <cacheField name="Est" numFmtId="0">
      <sharedItems count="3">
        <s v="Centre"/>
        <s v="Est"/>
        <s v="Vexin"/>
      </sharedItems>
    </cacheField>
    <cacheField name="59" numFmtId="0">
      <sharedItems containsSemiMixedTypes="0" containsString="0" containsNumber="1" containsInteger="1" minValue="0" maxValue="281"/>
    </cacheField>
    <cacheField name="FERNANDEZ-VELIZ GIL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IOL Angelique" refreshedDate="44564.630617361108" createdVersion="5" refreshedVersion="5" minRefreshableVersion="3" recordCount="1118" xr:uid="{00000000-000A-0000-FFFF-FFFF10000000}">
  <cacheSource type="worksheet">
    <worksheetSource ref="B1:G1048576" sheet="Recap par clubs 2021"/>
  </cacheSource>
  <cacheFields count="6">
    <cacheField name="Discipline" numFmtId="0">
      <sharedItems containsBlank="1" count="35">
        <s v="Aïkido"/>
        <s v="Athlétisme"/>
        <s v="Aviron"/>
        <s v="Badminton"/>
        <s v="Baseball"/>
        <s v="Basketball"/>
        <s v="Course d'Orientation"/>
        <s v="Cyclisme"/>
        <s v="Cyclotourisme"/>
        <s v="EPGV"/>
        <s v="Equitation"/>
        <s v="Escrime"/>
        <s v="Football"/>
        <s v="Football Américain"/>
        <s v="Golf"/>
        <s v="Gymnastique"/>
        <s v="Handball"/>
        <s v="Handisport"/>
        <s v="Hockey sur Glace"/>
        <s v="Judo"/>
        <s v="Karaté"/>
        <s v="Montagne et Escalade"/>
        <s v="Pétanque et Jeu Provençal"/>
        <s v="Rugby"/>
        <s v="Spéléologie"/>
        <s v="Sports de Glace"/>
        <s v="Squash"/>
        <s v="Tennis"/>
        <s v="Tennis de Table"/>
        <s v="Tir à l'Arc"/>
        <s v="Triathlon"/>
        <s v="UFOLEP"/>
        <s v="USEP"/>
        <s v="Volleyball"/>
        <m/>
      </sharedItems>
    </cacheField>
    <cacheField name="Nom du club " numFmtId="0">
      <sharedItems containsBlank="1"/>
    </cacheField>
    <cacheField name="Partie du VO" numFmtId="0">
      <sharedItems containsBlank="1" count="4">
        <s v="Centre"/>
        <s v="Vexin"/>
        <s v="Est"/>
        <m/>
      </sharedItems>
    </cacheField>
    <cacheField name="Nbr de féminines " numFmtId="0">
      <sharedItems containsBlank="1" containsMixedTypes="1" containsNumber="1" containsInteger="1" minValue="0" maxValue="711"/>
    </cacheField>
    <cacheField name="Président.e" numFmtId="0">
      <sharedItems containsBlank="1" count="3">
        <s v="F"/>
        <s v="H"/>
        <m/>
      </sharedItems>
    </cacheField>
    <cacheField name="Nom du Président.e" numFmtId="0">
      <sharedItems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">
  <r>
    <x v="0"/>
    <n v="102"/>
  </r>
  <r>
    <x v="1"/>
    <n v="32"/>
  </r>
  <r>
    <x v="1"/>
    <n v="45"/>
  </r>
  <r>
    <x v="0"/>
    <n v="56"/>
  </r>
  <r>
    <x v="0"/>
    <n v="153"/>
  </r>
  <r>
    <x v="1"/>
    <n v="56"/>
  </r>
  <r>
    <x v="1"/>
    <n v="178"/>
  </r>
  <r>
    <x v="0"/>
    <n v="89"/>
  </r>
  <r>
    <x v="1"/>
    <n v="110"/>
  </r>
  <r>
    <x v="1"/>
    <n v="112"/>
  </r>
  <r>
    <x v="1"/>
    <n v="75"/>
  </r>
  <r>
    <x v="1"/>
    <n v="20"/>
  </r>
  <r>
    <x v="1"/>
    <n v="63"/>
  </r>
  <r>
    <x v="1"/>
    <n v="65"/>
  </r>
  <r>
    <x v="0"/>
    <n v="142"/>
  </r>
  <r>
    <x v="1"/>
    <n v="74"/>
  </r>
  <r>
    <x v="0"/>
    <n v="36"/>
  </r>
  <r>
    <x v="2"/>
    <n v="23"/>
  </r>
  <r>
    <x v="0"/>
    <n v="12"/>
  </r>
  <r>
    <x v="1"/>
    <n v="194"/>
  </r>
  <r>
    <x v="1"/>
    <n v="136"/>
  </r>
  <r>
    <x v="2"/>
    <n v="157"/>
  </r>
  <r>
    <x v="2"/>
    <n v="159"/>
  </r>
  <r>
    <x v="1"/>
    <n v="148"/>
  </r>
  <r>
    <x v="2"/>
    <n v="225"/>
  </r>
  <r>
    <x v="2"/>
    <n v="136"/>
  </r>
  <r>
    <x v="2"/>
    <n v="52"/>
  </r>
  <r>
    <x v="2"/>
    <n v="85"/>
  </r>
  <r>
    <x v="2"/>
    <n v="12"/>
  </r>
  <r>
    <x v="0"/>
    <n v="34"/>
  </r>
  <r>
    <x v="1"/>
    <n v="15"/>
  </r>
  <r>
    <x v="1"/>
    <n v="96"/>
  </r>
  <r>
    <x v="1"/>
    <n v="89"/>
  </r>
  <r>
    <x v="1"/>
    <n v="136"/>
  </r>
  <r>
    <x v="1"/>
    <n v="114"/>
  </r>
  <r>
    <x v="1"/>
    <n v="199"/>
  </r>
  <r>
    <x v="1"/>
    <n v="63"/>
  </r>
  <r>
    <x v="1"/>
    <n v="54"/>
  </r>
  <r>
    <x v="0"/>
    <n v="86"/>
  </r>
  <r>
    <x v="2"/>
    <n v="67"/>
  </r>
  <r>
    <x v="0"/>
    <n v="63"/>
  </r>
  <r>
    <x v="0"/>
    <n v="76"/>
  </r>
  <r>
    <x v="1"/>
    <n v="10"/>
  </r>
  <r>
    <x v="1"/>
    <n v="45"/>
  </r>
  <r>
    <x v="1"/>
    <n v="11"/>
  </r>
  <r>
    <x v="1"/>
    <n v="56"/>
  </r>
  <r>
    <x v="1"/>
    <n v="97"/>
  </r>
  <r>
    <x v="1"/>
    <n v="74"/>
  </r>
  <r>
    <x v="1"/>
    <n v="142"/>
  </r>
  <r>
    <x v="1"/>
    <n v="108"/>
  </r>
  <r>
    <x v="0"/>
    <n v="10"/>
  </r>
  <r>
    <x v="1"/>
    <n v="58"/>
  </r>
  <r>
    <x v="1"/>
    <n v="194"/>
  </r>
  <r>
    <x v="1"/>
    <n v="156"/>
  </r>
  <r>
    <x v="1"/>
    <n v="155"/>
  </r>
  <r>
    <x v="1"/>
    <n v="23"/>
  </r>
  <r>
    <x v="1"/>
    <n v="43"/>
  </r>
  <r>
    <x v="1"/>
    <n v="133"/>
  </r>
  <r>
    <x v="0"/>
    <n v="25"/>
  </r>
  <r>
    <x v="1"/>
    <n v="116"/>
  </r>
  <r>
    <x v="1"/>
    <n v="207"/>
  </r>
  <r>
    <x v="1"/>
    <n v="158"/>
  </r>
  <r>
    <x v="1"/>
    <n v="224"/>
  </r>
  <r>
    <x v="1"/>
    <n v="99"/>
  </r>
  <r>
    <x v="1"/>
    <n v="77"/>
  </r>
  <r>
    <x v="0"/>
    <n v="12"/>
  </r>
  <r>
    <x v="2"/>
    <n v="268"/>
  </r>
  <r>
    <x v="1"/>
    <n v="169"/>
  </r>
  <r>
    <x v="0"/>
    <n v="47"/>
  </r>
  <r>
    <x v="1"/>
    <n v="99"/>
  </r>
  <r>
    <x v="1"/>
    <n v="95"/>
  </r>
  <r>
    <x v="1"/>
    <n v="172"/>
  </r>
  <r>
    <x v="1"/>
    <n v="183"/>
  </r>
  <r>
    <x v="1"/>
    <n v="45"/>
  </r>
  <r>
    <x v="1"/>
    <n v="84"/>
  </r>
  <r>
    <x v="1"/>
    <n v="69"/>
  </r>
  <r>
    <x v="2"/>
    <n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">
  <r>
    <x v="0"/>
    <n v="644"/>
  </r>
  <r>
    <x v="1"/>
    <n v="397"/>
  </r>
  <r>
    <x v="0"/>
    <n v="120"/>
  </r>
  <r>
    <x v="0"/>
    <n v="45"/>
  </r>
  <r>
    <x v="0"/>
    <n v="232"/>
  </r>
  <r>
    <x v="1"/>
    <n v="188"/>
  </r>
  <r>
    <x v="1"/>
    <n v="24"/>
  </r>
  <r>
    <x v="0"/>
    <n v="350"/>
  </r>
  <r>
    <x v="0"/>
    <n v="268"/>
  </r>
  <r>
    <x v="1"/>
    <n v="274"/>
  </r>
  <r>
    <x v="1"/>
    <n v="202"/>
  </r>
  <r>
    <x v="0"/>
    <n v="265"/>
  </r>
  <r>
    <x v="0"/>
    <n v="303"/>
  </r>
  <r>
    <x v="0"/>
    <n v="1"/>
  </r>
  <r>
    <x v="0"/>
    <n v="458"/>
  </r>
  <r>
    <x v="1"/>
    <n v="109"/>
  </r>
  <r>
    <x v="0"/>
    <n v="175"/>
  </r>
  <r>
    <x v="0"/>
    <n v="231"/>
  </r>
  <r>
    <x v="0"/>
    <n v="1"/>
  </r>
  <r>
    <x v="0"/>
    <n v="124"/>
  </r>
  <r>
    <x v="0"/>
    <n v="4"/>
  </r>
  <r>
    <x v="0"/>
    <n v="116"/>
  </r>
  <r>
    <x v="0"/>
    <n v="298"/>
  </r>
  <r>
    <x v="0"/>
    <n v="13"/>
  </r>
  <r>
    <x v="0"/>
    <n v="267"/>
  </r>
  <r>
    <x v="1"/>
    <n v="6"/>
  </r>
  <r>
    <x v="0"/>
    <n v="3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5">
  <r>
    <x v="0"/>
    <n v="1"/>
  </r>
  <r>
    <x v="0"/>
    <n v="3"/>
  </r>
  <r>
    <x v="0"/>
    <n v="6"/>
  </r>
  <r>
    <x v="0"/>
    <n v="4"/>
  </r>
  <r>
    <x v="1"/>
    <n v="3"/>
  </r>
  <r>
    <x v="0"/>
    <n v="6"/>
  </r>
  <r>
    <x v="1"/>
    <n v="4"/>
  </r>
  <r>
    <x v="0"/>
    <n v="5"/>
  </r>
  <r>
    <x v="0"/>
    <n v="9"/>
  </r>
  <r>
    <x v="1"/>
    <n v="6"/>
  </r>
  <r>
    <x v="0"/>
    <n v="5"/>
  </r>
  <r>
    <x v="0"/>
    <n v="6"/>
  </r>
  <r>
    <x v="0"/>
    <n v="6"/>
  </r>
  <r>
    <x v="0"/>
    <n v="1"/>
  </r>
  <r>
    <x v="0"/>
    <n v="1"/>
  </r>
  <r>
    <x v="0"/>
    <n v="5"/>
  </r>
  <r>
    <x v="0"/>
    <n v="3"/>
  </r>
  <r>
    <x v="1"/>
    <n v="1"/>
  </r>
  <r>
    <x v="0"/>
    <n v="3"/>
  </r>
  <r>
    <x v="0"/>
    <n v="3"/>
  </r>
  <r>
    <x v="0"/>
    <n v="2"/>
  </r>
  <r>
    <x v="0"/>
    <n v="1"/>
  </r>
  <r>
    <x v="0"/>
    <n v="1"/>
  </r>
  <r>
    <x v="0"/>
    <n v="11"/>
  </r>
  <r>
    <x v="0"/>
    <n v="3"/>
  </r>
  <r>
    <x v="0"/>
    <n v="3"/>
  </r>
  <r>
    <x v="0"/>
    <n v="4"/>
  </r>
  <r>
    <x v="0"/>
    <n v="10"/>
  </r>
  <r>
    <x v="1"/>
    <n v="7"/>
  </r>
  <r>
    <x v="0"/>
    <n v="9"/>
  </r>
  <r>
    <x v="0"/>
    <n v="11"/>
  </r>
  <r>
    <x v="0"/>
    <n v="17"/>
  </r>
  <r>
    <x v="0"/>
    <n v="10"/>
  </r>
  <r>
    <x v="0"/>
    <n v="11"/>
  </r>
  <r>
    <x v="0"/>
    <n v="5"/>
  </r>
  <r>
    <x v="0"/>
    <n v="3"/>
  </r>
  <r>
    <x v="1"/>
    <n v="1"/>
  </r>
  <r>
    <x v="0"/>
    <n v="4"/>
  </r>
  <r>
    <x v="0"/>
    <n v="14"/>
  </r>
  <r>
    <x v="0"/>
    <n v="3"/>
  </r>
  <r>
    <x v="1"/>
    <n v="4"/>
  </r>
  <r>
    <x v="1"/>
    <n v="16"/>
  </r>
  <r>
    <x v="0"/>
    <n v="8"/>
  </r>
  <r>
    <x v="0"/>
    <n v="9"/>
  </r>
  <r>
    <x v="0"/>
    <n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0">
  <r>
    <x v="0"/>
    <n v="16"/>
  </r>
  <r>
    <x v="0"/>
    <n v="67"/>
  </r>
  <r>
    <x v="0"/>
    <n v="6"/>
  </r>
  <r>
    <x v="0"/>
    <n v="29"/>
  </r>
  <r>
    <x v="1"/>
    <n v="34"/>
  </r>
  <r>
    <x v="2"/>
    <n v="179"/>
  </r>
  <r>
    <x v="0"/>
    <n v="40"/>
  </r>
  <r>
    <x v="0"/>
    <n v="59"/>
  </r>
  <r>
    <x v="1"/>
    <n v="5"/>
  </r>
  <r>
    <x v="2"/>
    <n v="64"/>
  </r>
  <r>
    <x v="0"/>
    <n v="34"/>
  </r>
  <r>
    <x v="2"/>
    <n v="10"/>
  </r>
  <r>
    <x v="0"/>
    <n v="3"/>
  </r>
  <r>
    <x v="0"/>
    <n v="42"/>
  </r>
  <r>
    <x v="0"/>
    <n v="91"/>
  </r>
  <r>
    <x v="0"/>
    <n v="3"/>
  </r>
  <r>
    <x v="0"/>
    <n v="66"/>
  </r>
  <r>
    <x v="0"/>
    <n v="6"/>
  </r>
  <r>
    <x v="0"/>
    <n v="15"/>
  </r>
  <r>
    <x v="2"/>
    <n v="33"/>
  </r>
  <r>
    <x v="2"/>
    <n v="24"/>
  </r>
  <r>
    <x v="0"/>
    <n v="56"/>
  </r>
  <r>
    <x v="2"/>
    <n v="28"/>
  </r>
  <r>
    <x v="2"/>
    <n v="3"/>
  </r>
  <r>
    <x v="2"/>
    <n v="111"/>
  </r>
  <r>
    <x v="0"/>
    <n v="19"/>
  </r>
  <r>
    <x v="2"/>
    <n v="6"/>
  </r>
  <r>
    <x v="0"/>
    <n v="13"/>
  </r>
  <r>
    <x v="0"/>
    <n v="13"/>
  </r>
  <r>
    <x v="0"/>
    <n v="60"/>
  </r>
  <r>
    <x v="0"/>
    <n v="1"/>
  </r>
  <r>
    <x v="0"/>
    <n v="8"/>
  </r>
  <r>
    <x v="0"/>
    <n v="21"/>
  </r>
  <r>
    <x v="0"/>
    <n v="26"/>
  </r>
  <r>
    <x v="0"/>
    <n v="8"/>
  </r>
  <r>
    <x v="0"/>
    <n v="53"/>
  </r>
  <r>
    <x v="0"/>
    <n v="3"/>
  </r>
  <r>
    <x v="0"/>
    <n v="34"/>
  </r>
  <r>
    <x v="0"/>
    <n v="3"/>
  </r>
  <r>
    <x v="0"/>
    <n v="3"/>
  </r>
  <r>
    <x v="2"/>
    <n v="79"/>
  </r>
  <r>
    <x v="0"/>
    <n v="10"/>
  </r>
  <r>
    <x v="0"/>
    <n v="65"/>
  </r>
  <r>
    <x v="0"/>
    <n v="42"/>
  </r>
  <r>
    <x v="0"/>
    <n v="20"/>
  </r>
  <r>
    <x v="1"/>
    <n v="1"/>
  </r>
  <r>
    <x v="0"/>
    <n v="55"/>
  </r>
  <r>
    <x v="0"/>
    <n v="3"/>
  </r>
  <r>
    <x v="2"/>
    <n v="15"/>
  </r>
  <r>
    <x v="0"/>
    <n v="37"/>
  </r>
  <r>
    <x v="0"/>
    <n v="17"/>
  </r>
  <r>
    <x v="0"/>
    <n v="54"/>
  </r>
  <r>
    <x v="0"/>
    <n v="65"/>
  </r>
  <r>
    <x v="2"/>
    <n v="2"/>
  </r>
  <r>
    <x v="0"/>
    <n v="70"/>
  </r>
  <r>
    <x v="2"/>
    <n v="18"/>
  </r>
  <r>
    <x v="0"/>
    <n v="22"/>
  </r>
  <r>
    <x v="0"/>
    <n v="6"/>
  </r>
  <r>
    <x v="1"/>
    <n v="2"/>
  </r>
  <r>
    <x v="2"/>
    <n v="7"/>
  </r>
  <r>
    <x v="0"/>
    <n v="34"/>
  </r>
  <r>
    <x v="0"/>
    <n v="134"/>
  </r>
  <r>
    <x v="0"/>
    <n v="15"/>
  </r>
  <r>
    <x v="0"/>
    <n v="3"/>
  </r>
  <r>
    <x v="2"/>
    <n v="26"/>
  </r>
  <r>
    <x v="0"/>
    <n v="35"/>
  </r>
  <r>
    <x v="2"/>
    <n v="2"/>
  </r>
  <r>
    <x v="0"/>
    <n v="25"/>
  </r>
  <r>
    <x v="0"/>
    <n v="98"/>
  </r>
  <r>
    <x v="0"/>
    <n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">
  <r>
    <x v="0"/>
    <n v="11"/>
  </r>
  <r>
    <x v="0"/>
    <n v="2"/>
  </r>
  <r>
    <x v="1"/>
    <n v="37"/>
  </r>
  <r>
    <x v="1"/>
    <n v="11"/>
  </r>
  <r>
    <x v="2"/>
    <n v="1"/>
  </r>
  <r>
    <x v="0"/>
    <n v="150"/>
  </r>
  <r>
    <x v="0"/>
    <n v="94"/>
  </r>
  <r>
    <x v="0"/>
    <n v="236"/>
  </r>
  <r>
    <x v="3"/>
    <n v="18"/>
  </r>
  <r>
    <x v="0"/>
    <n v="68"/>
  </r>
  <r>
    <x v="0"/>
    <n v="1"/>
  </r>
  <r>
    <x v="2"/>
    <m/>
  </r>
  <r>
    <x v="1"/>
    <n v="20"/>
  </r>
  <r>
    <x v="3"/>
    <n v="2"/>
  </r>
  <r>
    <x v="0"/>
    <n v="44"/>
  </r>
  <r>
    <x v="1"/>
    <n v="1"/>
  </r>
  <r>
    <x v="0"/>
    <n v="33"/>
  </r>
  <r>
    <x v="0"/>
    <n v="11"/>
  </r>
  <r>
    <x v="0"/>
    <n v="6"/>
  </r>
  <r>
    <x v="0"/>
    <n v="129"/>
  </r>
  <r>
    <x v="0"/>
    <n v="3"/>
  </r>
  <r>
    <x v="0"/>
    <n v="1"/>
  </r>
  <r>
    <x v="0"/>
    <n v="202"/>
  </r>
  <r>
    <x v="0"/>
    <n v="98"/>
  </r>
  <r>
    <x v="3"/>
    <n v="3"/>
  </r>
  <r>
    <x v="0"/>
    <n v="175"/>
  </r>
  <r>
    <x v="0"/>
    <n v="142"/>
  </r>
  <r>
    <x v="0"/>
    <n v="97"/>
  </r>
  <r>
    <x v="0"/>
    <n v="10"/>
  </r>
  <r>
    <x v="0"/>
    <n v="8"/>
  </r>
  <r>
    <x v="0"/>
    <n v="22"/>
  </r>
  <r>
    <x v="0"/>
    <n v="15"/>
  </r>
  <r>
    <x v="3"/>
    <n v="13"/>
  </r>
  <r>
    <x v="3"/>
    <n v="11"/>
  </r>
  <r>
    <x v="0"/>
    <n v="3"/>
  </r>
  <r>
    <x v="0"/>
    <n v="40"/>
  </r>
  <r>
    <x v="0"/>
    <n v="95"/>
  </r>
  <r>
    <x v="0"/>
    <n v="2"/>
  </r>
  <r>
    <x v="0"/>
    <n v="3"/>
  </r>
  <r>
    <x v="1"/>
    <n v="21"/>
  </r>
  <r>
    <x v="3"/>
    <n v="1"/>
  </r>
  <r>
    <x v="3"/>
    <n v="15"/>
  </r>
  <r>
    <x v="0"/>
    <n v="13"/>
  </r>
  <r>
    <x v="0"/>
    <n v="242"/>
  </r>
  <r>
    <x v="0"/>
    <n v="14"/>
  </r>
  <r>
    <x v="0"/>
    <n v="4"/>
  </r>
  <r>
    <x v="1"/>
    <n v="6"/>
  </r>
  <r>
    <x v="0"/>
    <n v="2"/>
  </r>
  <r>
    <x v="3"/>
    <n v="47"/>
  </r>
  <r>
    <x v="0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5">
  <r>
    <x v="0"/>
    <n v="31"/>
  </r>
  <r>
    <x v="0"/>
    <n v="61"/>
  </r>
  <r>
    <x v="0"/>
    <n v="5"/>
  </r>
  <r>
    <x v="0"/>
    <n v="14"/>
  </r>
  <r>
    <x v="0"/>
    <n v="18"/>
  </r>
  <r>
    <x v="0"/>
    <n v="11"/>
  </r>
  <r>
    <x v="0"/>
    <n v="19"/>
  </r>
  <r>
    <x v="0"/>
    <n v="0"/>
  </r>
  <r>
    <x v="0"/>
    <n v="2"/>
  </r>
  <r>
    <x v="0"/>
    <n v="8"/>
  </r>
  <r>
    <x v="0"/>
    <n v="56"/>
  </r>
  <r>
    <x v="1"/>
    <n v="11"/>
  </r>
  <r>
    <x v="0"/>
    <n v="24"/>
  </r>
  <r>
    <x v="0"/>
    <n v="6"/>
  </r>
  <r>
    <x v="1"/>
    <n v="144"/>
  </r>
  <r>
    <x v="1"/>
    <n v="15"/>
  </r>
  <r>
    <x v="0"/>
    <n v="24"/>
  </r>
  <r>
    <x v="0"/>
    <n v="48"/>
  </r>
  <r>
    <x v="0"/>
    <n v="15"/>
  </r>
  <r>
    <x v="0"/>
    <n v="5"/>
  </r>
  <r>
    <x v="0"/>
    <n v="49"/>
  </r>
  <r>
    <x v="2"/>
    <n v="18"/>
  </r>
  <r>
    <x v="0"/>
    <n v="73"/>
  </r>
  <r>
    <x v="1"/>
    <n v="1"/>
  </r>
  <r>
    <x v="0"/>
    <n v="2"/>
  </r>
  <r>
    <x v="0"/>
    <n v="20"/>
  </r>
  <r>
    <x v="0"/>
    <n v="1"/>
  </r>
  <r>
    <x v="0"/>
    <n v="41"/>
  </r>
  <r>
    <x v="0"/>
    <n v="95"/>
  </r>
  <r>
    <x v="3"/>
    <n v="4"/>
  </r>
  <r>
    <x v="0"/>
    <n v="9"/>
  </r>
  <r>
    <x v="0"/>
    <n v="0"/>
  </r>
  <r>
    <x v="0"/>
    <n v="0"/>
  </r>
  <r>
    <x v="0"/>
    <n v="4"/>
  </r>
  <r>
    <x v="0"/>
    <n v="17"/>
  </r>
  <r>
    <x v="0"/>
    <n v="30"/>
  </r>
  <r>
    <x v="0"/>
    <n v="114"/>
  </r>
  <r>
    <x v="0"/>
    <n v="24"/>
  </r>
  <r>
    <x v="0"/>
    <n v="0"/>
  </r>
  <r>
    <x v="3"/>
    <n v="4"/>
  </r>
  <r>
    <x v="1"/>
    <n v="71"/>
  </r>
  <r>
    <x v="0"/>
    <n v="49"/>
  </r>
  <r>
    <x v="1"/>
    <n v="8"/>
  </r>
  <r>
    <x v="0"/>
    <n v="35"/>
  </r>
  <r>
    <x v="1"/>
    <n v="9"/>
  </r>
  <r>
    <x v="1"/>
    <n v="8"/>
  </r>
  <r>
    <x v="1"/>
    <n v="9"/>
  </r>
  <r>
    <x v="0"/>
    <n v="61"/>
  </r>
  <r>
    <x v="0"/>
    <n v="7"/>
  </r>
  <r>
    <x v="1"/>
    <n v="31"/>
  </r>
  <r>
    <x v="0"/>
    <n v="3"/>
  </r>
  <r>
    <x v="0"/>
    <n v="17"/>
  </r>
  <r>
    <x v="3"/>
    <n v="0"/>
  </r>
  <r>
    <x v="0"/>
    <n v="4"/>
  </r>
  <r>
    <x v="0"/>
    <n v="0"/>
  </r>
  <r>
    <x v="0"/>
    <n v="11"/>
  </r>
  <r>
    <x v="3"/>
    <n v="0"/>
  </r>
  <r>
    <x v="0"/>
    <n v="30"/>
  </r>
  <r>
    <x v="0"/>
    <n v="6"/>
  </r>
  <r>
    <x v="0"/>
    <n v="13"/>
  </r>
  <r>
    <x v="0"/>
    <n v="1"/>
  </r>
  <r>
    <x v="0"/>
    <n v="6"/>
  </r>
  <r>
    <x v="3"/>
    <n v="12"/>
  </r>
  <r>
    <x v="0"/>
    <n v="13"/>
  </r>
  <r>
    <x v="1"/>
    <n v="38"/>
  </r>
  <r>
    <x v="0"/>
    <n v="0"/>
  </r>
  <r>
    <x v="0"/>
    <n v="7"/>
  </r>
  <r>
    <x v="3"/>
    <n v="1"/>
  </r>
  <r>
    <x v="0"/>
    <n v="2"/>
  </r>
  <r>
    <x v="0"/>
    <n v="4"/>
  </r>
  <r>
    <x v="0"/>
    <n v="20"/>
  </r>
  <r>
    <x v="0"/>
    <n v="10"/>
  </r>
  <r>
    <x v="0"/>
    <n v="8"/>
  </r>
  <r>
    <x v="0"/>
    <n v="2"/>
  </r>
  <r>
    <x v="1"/>
    <n v="2"/>
  </r>
  <r>
    <x v="0"/>
    <n v="11"/>
  </r>
  <r>
    <x v="0"/>
    <n v="5"/>
  </r>
  <r>
    <x v="1"/>
    <n v="6"/>
  </r>
  <r>
    <x v="0"/>
    <n v="0"/>
  </r>
  <r>
    <x v="3"/>
    <n v="11"/>
  </r>
  <r>
    <x v="2"/>
    <n v="2"/>
  </r>
  <r>
    <x v="0"/>
    <n v="27"/>
  </r>
  <r>
    <x v="0"/>
    <n v="25"/>
  </r>
  <r>
    <x v="0"/>
    <n v="33"/>
  </r>
  <r>
    <x v="1"/>
    <n v="5"/>
  </r>
  <r>
    <x v="3"/>
    <n v="6"/>
  </r>
  <r>
    <x v="0"/>
    <n v="7"/>
  </r>
  <r>
    <x v="1"/>
    <n v="2"/>
  </r>
  <r>
    <x v="0"/>
    <n v="53"/>
  </r>
  <r>
    <x v="0"/>
    <n v="19"/>
  </r>
  <r>
    <x v="0"/>
    <n v="6"/>
  </r>
  <r>
    <x v="2"/>
    <n v="2"/>
  </r>
  <r>
    <x v="3"/>
    <n v="3"/>
  </r>
  <r>
    <x v="0"/>
    <n v="24"/>
  </r>
  <r>
    <x v="0"/>
    <n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62">
  <r>
    <x v="0"/>
    <n v="95"/>
  </r>
  <r>
    <x v="0"/>
    <n v="92"/>
  </r>
  <r>
    <x v="0"/>
    <n v="353"/>
  </r>
  <r>
    <x v="0"/>
    <n v="412"/>
  </r>
  <r>
    <x v="0"/>
    <n v="160"/>
  </r>
  <r>
    <x v="0"/>
    <n v="711"/>
  </r>
  <r>
    <x v="1"/>
    <n v="90"/>
  </r>
  <r>
    <x v="0"/>
    <n v="265"/>
  </r>
  <r>
    <x v="0"/>
    <n v="542"/>
  </r>
  <r>
    <x v="0"/>
    <n v="132"/>
  </r>
  <r>
    <x v="1"/>
    <n v="43"/>
  </r>
  <r>
    <x v="0"/>
    <n v="140"/>
  </r>
  <r>
    <x v="0"/>
    <n v="193"/>
  </r>
  <r>
    <x v="0"/>
    <n v="273"/>
  </r>
  <r>
    <x v="0"/>
    <n v="116"/>
  </r>
  <r>
    <x v="0"/>
    <n v="250"/>
  </r>
  <r>
    <x v="0"/>
    <n v="210"/>
  </r>
  <r>
    <x v="0"/>
    <n v="98"/>
  </r>
  <r>
    <x v="0"/>
    <n v="303"/>
  </r>
  <r>
    <x v="0"/>
    <n v="23"/>
  </r>
  <r>
    <x v="1"/>
    <n v="150"/>
  </r>
  <r>
    <x v="0"/>
    <n v="182"/>
  </r>
  <r>
    <x v="0"/>
    <n v="39"/>
  </r>
  <r>
    <x v="0"/>
    <n v="55"/>
  </r>
  <r>
    <x v="0"/>
    <n v="38"/>
  </r>
  <r>
    <x v="1"/>
    <n v="188"/>
  </r>
  <r>
    <x v="0"/>
    <n v="33"/>
  </r>
  <r>
    <x v="2"/>
    <n v="30"/>
  </r>
  <r>
    <x v="0"/>
    <n v="220"/>
  </r>
  <r>
    <x v="0"/>
    <n v="62"/>
  </r>
  <r>
    <x v="0"/>
    <n v="56"/>
  </r>
  <r>
    <x v="0"/>
    <n v="59"/>
  </r>
  <r>
    <x v="0"/>
    <n v="86"/>
  </r>
  <r>
    <x v="0"/>
    <n v="281"/>
  </r>
  <r>
    <x v="0"/>
    <n v="293"/>
  </r>
  <r>
    <x v="0"/>
    <n v="393"/>
  </r>
  <r>
    <x v="0"/>
    <n v="63"/>
  </r>
  <r>
    <x v="0"/>
    <n v="74"/>
  </r>
  <r>
    <x v="0"/>
    <n v="85"/>
  </r>
  <r>
    <x v="1"/>
    <n v="155"/>
  </r>
  <r>
    <x v="0"/>
    <n v="205"/>
  </r>
  <r>
    <x v="2"/>
    <n v="134"/>
  </r>
  <r>
    <x v="0"/>
    <n v="13"/>
  </r>
  <r>
    <x v="0"/>
    <n v="15"/>
  </r>
  <r>
    <x v="0"/>
    <n v="56"/>
  </r>
  <r>
    <x v="0"/>
    <n v="27"/>
  </r>
  <r>
    <x v="1"/>
    <n v="49"/>
  </r>
  <r>
    <x v="2"/>
    <n v="13"/>
  </r>
  <r>
    <x v="0"/>
    <n v="115"/>
  </r>
  <r>
    <x v="0"/>
    <n v="418"/>
  </r>
  <r>
    <x v="0"/>
    <n v="49"/>
  </r>
  <r>
    <x v="0"/>
    <n v="126"/>
  </r>
  <r>
    <x v="0"/>
    <n v="43"/>
  </r>
  <r>
    <x v="0"/>
    <n v="34"/>
  </r>
  <r>
    <x v="3"/>
    <n v="2"/>
  </r>
  <r>
    <x v="0"/>
    <n v="19"/>
  </r>
  <r>
    <x v="0"/>
    <n v="79"/>
  </r>
  <r>
    <x v="0"/>
    <n v="174"/>
  </r>
  <r>
    <x v="1"/>
    <n v="27"/>
  </r>
  <r>
    <x v="1"/>
    <n v="122"/>
  </r>
  <r>
    <x v="3"/>
    <n v="4"/>
  </r>
  <r>
    <x v="0"/>
    <n v="2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1">
  <r>
    <x v="0"/>
    <n v="18"/>
  </r>
  <r>
    <x v="0"/>
    <n v="10"/>
  </r>
  <r>
    <x v="0"/>
    <n v="60"/>
  </r>
  <r>
    <x v="1"/>
    <n v="13"/>
  </r>
  <r>
    <x v="0"/>
    <n v="52"/>
  </r>
  <r>
    <x v="0"/>
    <n v="35"/>
  </r>
  <r>
    <x v="0"/>
    <n v="42"/>
  </r>
  <r>
    <x v="0"/>
    <m/>
  </r>
  <r>
    <x v="0"/>
    <n v="4"/>
  </r>
  <r>
    <x v="0"/>
    <n v="10"/>
  </r>
  <r>
    <x v="0"/>
    <n v="37"/>
  </r>
  <r>
    <x v="2"/>
    <n v="3"/>
  </r>
  <r>
    <x v="0"/>
    <n v="20"/>
  </r>
  <r>
    <x v="0"/>
    <n v="93"/>
  </r>
  <r>
    <x v="0"/>
    <n v="22"/>
  </r>
  <r>
    <x v="0"/>
    <n v="5"/>
  </r>
  <r>
    <x v="0"/>
    <n v="75"/>
  </r>
  <r>
    <x v="3"/>
    <n v="22"/>
  </r>
  <r>
    <x v="0"/>
    <m/>
  </r>
  <r>
    <x v="0"/>
    <n v="65"/>
  </r>
  <r>
    <x v="0"/>
    <n v="56"/>
  </r>
  <r>
    <x v="0"/>
    <n v="52"/>
  </r>
  <r>
    <x v="0"/>
    <n v="22"/>
  </r>
  <r>
    <x v="0"/>
    <n v="13"/>
  </r>
  <r>
    <x v="2"/>
    <n v="19"/>
  </r>
  <r>
    <x v="0"/>
    <n v="18"/>
  </r>
  <r>
    <x v="0"/>
    <n v="22"/>
  </r>
  <r>
    <x v="0"/>
    <n v="10"/>
  </r>
  <r>
    <x v="0"/>
    <n v="42"/>
  </r>
  <r>
    <x v="0"/>
    <n v="8"/>
  </r>
  <r>
    <x v="1"/>
    <n v="5"/>
  </r>
  <r>
    <x v="0"/>
    <n v="26"/>
  </r>
  <r>
    <x v="1"/>
    <n v="3"/>
  </r>
  <r>
    <x v="2"/>
    <n v="0"/>
  </r>
  <r>
    <x v="1"/>
    <n v="48"/>
  </r>
  <r>
    <x v="1"/>
    <n v="7"/>
  </r>
  <r>
    <x v="1"/>
    <n v="0"/>
  </r>
  <r>
    <x v="0"/>
    <n v="15"/>
  </r>
  <r>
    <x v="0"/>
    <n v="23"/>
  </r>
  <r>
    <x v="0"/>
    <n v="15"/>
  </r>
  <r>
    <x v="0"/>
    <n v="25"/>
  </r>
  <r>
    <x v="0"/>
    <n v="24"/>
  </r>
  <r>
    <x v="0"/>
    <n v="20"/>
  </r>
  <r>
    <x v="1"/>
    <n v="4"/>
  </r>
  <r>
    <x v="1"/>
    <n v="35"/>
  </r>
  <r>
    <x v="0"/>
    <n v="15"/>
  </r>
  <r>
    <x v="2"/>
    <n v="43"/>
  </r>
  <r>
    <x v="2"/>
    <n v="47"/>
  </r>
  <r>
    <x v="1"/>
    <n v="14"/>
  </r>
  <r>
    <x v="0"/>
    <n v="34"/>
  </r>
  <r>
    <x v="0"/>
    <n v="4"/>
  </r>
  <r>
    <x v="0"/>
    <n v="42"/>
  </r>
  <r>
    <x v="0"/>
    <n v="26"/>
  </r>
  <r>
    <x v="0"/>
    <n v="27"/>
  </r>
  <r>
    <x v="0"/>
    <n v="20"/>
  </r>
  <r>
    <x v="0"/>
    <n v="7"/>
  </r>
  <r>
    <x v="0"/>
    <n v="2"/>
  </r>
  <r>
    <x v="0"/>
    <n v="32"/>
  </r>
  <r>
    <x v="0"/>
    <n v="0"/>
  </r>
  <r>
    <x v="0"/>
    <n v="74"/>
  </r>
  <r>
    <x v="0"/>
    <n v="32"/>
  </r>
  <r>
    <x v="0"/>
    <n v="23"/>
  </r>
  <r>
    <x v="0"/>
    <n v="25"/>
  </r>
  <r>
    <x v="1"/>
    <n v="49"/>
  </r>
  <r>
    <x v="1"/>
    <n v="9"/>
  </r>
  <r>
    <x v="0"/>
    <n v="12"/>
  </r>
  <r>
    <x v="0"/>
    <n v="37"/>
  </r>
  <r>
    <x v="0"/>
    <n v="35"/>
  </r>
  <r>
    <x v="0"/>
    <n v="23"/>
  </r>
  <r>
    <x v="0"/>
    <n v="51"/>
  </r>
  <r>
    <x v="0"/>
    <n v="14"/>
  </r>
  <r>
    <x v="1"/>
    <n v="1"/>
  </r>
  <r>
    <x v="0"/>
    <n v="66"/>
  </r>
  <r>
    <x v="0"/>
    <n v="3"/>
  </r>
  <r>
    <x v="1"/>
    <n v="13"/>
  </r>
  <r>
    <x v="1"/>
    <n v="20"/>
  </r>
  <r>
    <x v="2"/>
    <n v="22"/>
  </r>
  <r>
    <x v="0"/>
    <n v="35"/>
  </r>
  <r>
    <x v="1"/>
    <n v="16"/>
  </r>
  <r>
    <x v="0"/>
    <n v="1"/>
  </r>
  <r>
    <x v="0"/>
    <n v="47"/>
  </r>
  <r>
    <x v="1"/>
    <n v="6"/>
  </r>
  <r>
    <x v="0"/>
    <n v="14"/>
  </r>
  <r>
    <x v="2"/>
    <n v="7"/>
  </r>
  <r>
    <x v="0"/>
    <n v="27"/>
  </r>
  <r>
    <x v="1"/>
    <n v="57"/>
  </r>
  <r>
    <x v="0"/>
    <n v="94"/>
  </r>
  <r>
    <x v="0"/>
    <n v="29"/>
  </r>
  <r>
    <x v="0"/>
    <n v="22"/>
  </r>
  <r>
    <x v="2"/>
    <n v="72"/>
  </r>
  <r>
    <x v="1"/>
    <n v="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87">
  <r>
    <x v="0"/>
    <n v="10"/>
  </r>
  <r>
    <x v="1"/>
    <n v="162"/>
  </r>
  <r>
    <x v="1"/>
    <n v="98"/>
  </r>
  <r>
    <x v="2"/>
    <n v="32"/>
  </r>
  <r>
    <x v="0"/>
    <n v="29"/>
  </r>
  <r>
    <x v="1"/>
    <n v="64"/>
  </r>
  <r>
    <x v="1"/>
    <n v="57"/>
  </r>
  <r>
    <x v="1"/>
    <n v="27"/>
  </r>
  <r>
    <x v="1"/>
    <n v="44"/>
  </r>
  <r>
    <x v="1"/>
    <n v="83"/>
  </r>
  <r>
    <x v="1"/>
    <n v="4"/>
  </r>
  <r>
    <x v="1"/>
    <n v="32"/>
  </r>
  <r>
    <x v="0"/>
    <n v="12"/>
  </r>
  <r>
    <x v="0"/>
    <n v="34"/>
  </r>
  <r>
    <x v="1"/>
    <n v="179"/>
  </r>
  <r>
    <x v="1"/>
    <n v="37"/>
  </r>
  <r>
    <x v="1"/>
    <n v="8"/>
  </r>
  <r>
    <x v="1"/>
    <n v="135"/>
  </r>
  <r>
    <x v="0"/>
    <n v="22"/>
  </r>
  <r>
    <x v="1"/>
    <n v="79"/>
  </r>
  <r>
    <x v="1"/>
    <n v="156"/>
  </r>
  <r>
    <x v="1"/>
    <n v="52"/>
  </r>
  <r>
    <x v="1"/>
    <n v="264"/>
  </r>
  <r>
    <x v="1"/>
    <n v="28"/>
  </r>
  <r>
    <x v="1"/>
    <n v="86"/>
  </r>
  <r>
    <x v="0"/>
    <n v="27"/>
  </r>
  <r>
    <x v="1"/>
    <n v="94"/>
  </r>
  <r>
    <x v="1"/>
    <n v="204"/>
  </r>
  <r>
    <x v="1"/>
    <n v="51"/>
  </r>
  <r>
    <x v="1"/>
    <n v="15"/>
  </r>
  <r>
    <x v="2"/>
    <n v="34"/>
  </r>
  <r>
    <x v="1"/>
    <n v="111"/>
  </r>
  <r>
    <x v="2"/>
    <n v="24"/>
  </r>
  <r>
    <x v="2"/>
    <n v="99"/>
  </r>
  <r>
    <x v="2"/>
    <n v="147"/>
  </r>
  <r>
    <x v="1"/>
    <n v="15"/>
  </r>
  <r>
    <x v="2"/>
    <n v="7"/>
  </r>
  <r>
    <x v="1"/>
    <n v="174"/>
  </r>
  <r>
    <x v="1"/>
    <n v="96"/>
  </r>
  <r>
    <x v="1"/>
    <n v="114"/>
  </r>
  <r>
    <x v="1"/>
    <n v="65"/>
  </r>
  <r>
    <x v="2"/>
    <n v="65"/>
  </r>
  <r>
    <x v="1"/>
    <n v="30"/>
  </r>
  <r>
    <x v="0"/>
    <n v="61"/>
  </r>
  <r>
    <x v="1"/>
    <n v="36"/>
  </r>
  <r>
    <x v="0"/>
    <n v="39"/>
  </r>
  <r>
    <x v="2"/>
    <n v="58"/>
  </r>
  <r>
    <x v="1"/>
    <n v="85"/>
  </r>
  <r>
    <x v="1"/>
    <n v="38"/>
  </r>
  <r>
    <x v="1"/>
    <n v="76"/>
  </r>
  <r>
    <x v="1"/>
    <n v="64"/>
  </r>
  <r>
    <x v="0"/>
    <n v="0"/>
  </r>
  <r>
    <x v="1"/>
    <n v="56"/>
  </r>
  <r>
    <x v="1"/>
    <n v="104"/>
  </r>
  <r>
    <x v="1"/>
    <n v="34"/>
  </r>
  <r>
    <x v="0"/>
    <n v="42"/>
  </r>
  <r>
    <x v="1"/>
    <n v="18"/>
  </r>
  <r>
    <x v="1"/>
    <n v="50"/>
  </r>
  <r>
    <x v="1"/>
    <n v="19"/>
  </r>
  <r>
    <x v="1"/>
    <n v="71"/>
  </r>
  <r>
    <x v="1"/>
    <n v="35"/>
  </r>
  <r>
    <x v="1"/>
    <n v="83"/>
  </r>
  <r>
    <x v="1"/>
    <n v="20"/>
  </r>
  <r>
    <x v="2"/>
    <n v="15"/>
  </r>
  <r>
    <x v="2"/>
    <n v="29"/>
  </r>
  <r>
    <x v="0"/>
    <n v="3"/>
  </r>
  <r>
    <x v="1"/>
    <n v="96"/>
  </r>
  <r>
    <x v="1"/>
    <n v="129"/>
  </r>
  <r>
    <x v="0"/>
    <n v="3"/>
  </r>
  <r>
    <x v="1"/>
    <n v="66"/>
  </r>
  <r>
    <x v="1"/>
    <n v="69"/>
  </r>
  <r>
    <x v="1"/>
    <n v="211"/>
  </r>
  <r>
    <x v="0"/>
    <n v="5"/>
  </r>
  <r>
    <x v="2"/>
    <n v="132"/>
  </r>
  <r>
    <x v="1"/>
    <n v="135"/>
  </r>
  <r>
    <x v="1"/>
    <n v="57"/>
  </r>
  <r>
    <x v="2"/>
    <n v="2"/>
  </r>
  <r>
    <x v="1"/>
    <n v="191"/>
  </r>
  <r>
    <x v="0"/>
    <n v="20"/>
  </r>
  <r>
    <x v="1"/>
    <n v="88"/>
  </r>
  <r>
    <x v="2"/>
    <n v="11"/>
  </r>
  <r>
    <x v="0"/>
    <n v="1"/>
  </r>
  <r>
    <x v="1"/>
    <n v="62"/>
  </r>
  <r>
    <x v="0"/>
    <n v="1"/>
  </r>
  <r>
    <x v="0"/>
    <n v="14"/>
  </r>
  <r>
    <x v="2"/>
    <n v="82"/>
  </r>
  <r>
    <x v="2"/>
    <n v="4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83">
  <r>
    <x v="0"/>
    <n v="322"/>
  </r>
  <r>
    <x v="0"/>
    <n v="210"/>
  </r>
  <r>
    <x v="0"/>
    <n v="471"/>
  </r>
  <r>
    <x v="0"/>
    <n v="101"/>
  </r>
  <r>
    <x v="0"/>
    <n v="196"/>
  </r>
  <r>
    <x v="1"/>
    <n v="106"/>
  </r>
  <r>
    <x v="0"/>
    <n v="182"/>
  </r>
  <r>
    <x v="0"/>
    <n v="184"/>
  </r>
  <r>
    <x v="2"/>
    <n v="14"/>
  </r>
  <r>
    <x v="0"/>
    <n v="367"/>
  </r>
  <r>
    <x v="2"/>
    <n v="278"/>
  </r>
  <r>
    <x v="0"/>
    <n v="111"/>
  </r>
  <r>
    <x v="0"/>
    <n v="102"/>
  </r>
  <r>
    <x v="1"/>
    <n v="129"/>
  </r>
  <r>
    <x v="0"/>
    <n v="231"/>
  </r>
  <r>
    <x v="1"/>
    <n v="204"/>
  </r>
  <r>
    <x v="2"/>
    <n v="63"/>
  </r>
  <r>
    <x v="0"/>
    <n v="54"/>
  </r>
  <r>
    <x v="1"/>
    <n v="138"/>
  </r>
  <r>
    <x v="0"/>
    <n v="216"/>
  </r>
  <r>
    <x v="1"/>
    <n v="166"/>
  </r>
  <r>
    <x v="0"/>
    <n v="33"/>
  </r>
  <r>
    <x v="0"/>
    <n v="293"/>
  </r>
  <r>
    <x v="0"/>
    <n v="123"/>
  </r>
  <r>
    <x v="0"/>
    <n v="199"/>
  </r>
  <r>
    <x v="1"/>
    <n v="68"/>
  </r>
  <r>
    <x v="1"/>
    <n v="83"/>
  </r>
  <r>
    <x v="1"/>
    <n v="211"/>
  </r>
  <r>
    <x v="0"/>
    <n v="123"/>
  </r>
  <r>
    <x v="1"/>
    <n v="280"/>
  </r>
  <r>
    <x v="0"/>
    <n v="196"/>
  </r>
  <r>
    <x v="0"/>
    <n v="15"/>
  </r>
  <r>
    <x v="0"/>
    <n v="251"/>
  </r>
  <r>
    <x v="0"/>
    <n v="71"/>
  </r>
  <r>
    <x v="0"/>
    <n v="73"/>
  </r>
  <r>
    <x v="0"/>
    <n v="38"/>
  </r>
  <r>
    <x v="0"/>
    <n v="20"/>
  </r>
  <r>
    <x v="0"/>
    <n v="46"/>
  </r>
  <r>
    <x v="0"/>
    <n v="6"/>
  </r>
  <r>
    <x v="0"/>
    <n v="26"/>
  </r>
  <r>
    <x v="1"/>
    <n v="111"/>
  </r>
  <r>
    <x v="2"/>
    <n v="21"/>
  </r>
  <r>
    <x v="1"/>
    <n v="17"/>
  </r>
  <r>
    <x v="0"/>
    <n v="72"/>
  </r>
  <r>
    <x v="0"/>
    <n v="217"/>
  </r>
  <r>
    <x v="0"/>
    <n v="84"/>
  </r>
  <r>
    <x v="2"/>
    <n v="33"/>
  </r>
  <r>
    <x v="0"/>
    <n v="27"/>
  </r>
  <r>
    <x v="0"/>
    <n v="41"/>
  </r>
  <r>
    <x v="0"/>
    <n v="27"/>
  </r>
  <r>
    <x v="0"/>
    <n v="26"/>
  </r>
  <r>
    <x v="0"/>
    <n v="55"/>
  </r>
  <r>
    <x v="0"/>
    <n v="33"/>
  </r>
  <r>
    <x v="0"/>
    <n v="13"/>
  </r>
  <r>
    <x v="0"/>
    <n v="49"/>
  </r>
  <r>
    <x v="0"/>
    <n v="27"/>
  </r>
  <r>
    <x v="1"/>
    <n v="53"/>
  </r>
  <r>
    <x v="0"/>
    <n v="27"/>
  </r>
  <r>
    <x v="0"/>
    <n v="48"/>
  </r>
  <r>
    <x v="1"/>
    <n v="25"/>
  </r>
  <r>
    <x v="0"/>
    <n v="34"/>
  </r>
  <r>
    <x v="0"/>
    <n v="17"/>
  </r>
  <r>
    <x v="1"/>
    <n v="1"/>
  </r>
  <r>
    <x v="0"/>
    <n v="1"/>
  </r>
  <r>
    <x v="0"/>
    <n v="32"/>
  </r>
  <r>
    <x v="0"/>
    <n v="30"/>
  </r>
  <r>
    <x v="1"/>
    <n v="21"/>
  </r>
  <r>
    <x v="0"/>
    <n v="22"/>
  </r>
  <r>
    <x v="0"/>
    <n v="19"/>
  </r>
  <r>
    <x v="0"/>
    <n v="2"/>
  </r>
  <r>
    <x v="1"/>
    <n v="28"/>
  </r>
  <r>
    <x v="0"/>
    <n v="30"/>
  </r>
  <r>
    <x v="0"/>
    <n v="60"/>
  </r>
  <r>
    <x v="0"/>
    <n v="19"/>
  </r>
  <r>
    <x v="1"/>
    <n v="8"/>
  </r>
  <r>
    <x v="0"/>
    <n v="4"/>
  </r>
  <r>
    <x v="0"/>
    <n v="19"/>
  </r>
  <r>
    <x v="1"/>
    <n v="0"/>
  </r>
  <r>
    <x v="0"/>
    <n v="15"/>
  </r>
  <r>
    <x v="1"/>
    <n v="25"/>
  </r>
  <r>
    <x v="1"/>
    <n v="24"/>
  </r>
  <r>
    <x v="0"/>
    <n v="10"/>
  </r>
  <r>
    <x v="1"/>
    <n v="7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10">
  <r>
    <x v="0"/>
    <n v="5"/>
  </r>
  <r>
    <x v="1"/>
    <n v="58"/>
  </r>
  <r>
    <x v="1"/>
    <n v="4"/>
  </r>
  <r>
    <x v="1"/>
    <n v="5"/>
  </r>
  <r>
    <x v="1"/>
    <n v="6"/>
  </r>
  <r>
    <x v="1"/>
    <n v="16"/>
  </r>
  <r>
    <x v="1"/>
    <n v="43"/>
  </r>
  <r>
    <x v="1"/>
    <n v="7"/>
  </r>
  <r>
    <x v="1"/>
    <n v="1"/>
  </r>
  <r>
    <x v="0"/>
    <n v="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27">
  <r>
    <x v="0"/>
    <n v="29"/>
  </r>
  <r>
    <x v="1"/>
    <n v="10"/>
  </r>
  <r>
    <x v="1"/>
    <n v="2"/>
  </r>
  <r>
    <x v="1"/>
    <n v="26"/>
  </r>
  <r>
    <x v="1"/>
    <n v="13"/>
  </r>
  <r>
    <x v="2"/>
    <n v="29"/>
  </r>
  <r>
    <x v="1"/>
    <n v="20"/>
  </r>
  <r>
    <x v="1"/>
    <n v="0"/>
  </r>
  <r>
    <x v="0"/>
    <n v="6"/>
  </r>
  <r>
    <x v="1"/>
    <n v="11"/>
  </r>
  <r>
    <x v="1"/>
    <n v="6"/>
  </r>
  <r>
    <x v="1"/>
    <n v="0"/>
  </r>
  <r>
    <x v="1"/>
    <n v="6"/>
  </r>
  <r>
    <x v="1"/>
    <n v="0"/>
  </r>
  <r>
    <x v="1"/>
    <n v="6"/>
  </r>
  <r>
    <x v="1"/>
    <n v="2"/>
  </r>
  <r>
    <x v="1"/>
    <n v="2"/>
  </r>
  <r>
    <x v="2"/>
    <n v="6"/>
  </r>
  <r>
    <x v="1"/>
    <n v="4"/>
  </r>
  <r>
    <x v="1"/>
    <n v="1"/>
  </r>
  <r>
    <x v="1"/>
    <n v="0"/>
  </r>
  <r>
    <x v="0"/>
    <n v="3"/>
  </r>
  <r>
    <x v="1"/>
    <n v="1"/>
  </r>
  <r>
    <x v="3"/>
    <n v="2"/>
  </r>
  <r>
    <x v="3"/>
    <n v="0"/>
  </r>
  <r>
    <x v="3"/>
    <n v="7"/>
  </r>
  <r>
    <x v="1"/>
    <n v="1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28">
  <r>
    <x v="0"/>
    <n v="25"/>
  </r>
  <r>
    <x v="0"/>
    <n v="51"/>
  </r>
  <r>
    <x v="1"/>
    <n v="29"/>
  </r>
  <r>
    <x v="0"/>
    <n v="77"/>
  </r>
  <r>
    <x v="1"/>
    <n v="40"/>
  </r>
  <r>
    <x v="0"/>
    <n v="58"/>
  </r>
  <r>
    <x v="0"/>
    <n v="29"/>
  </r>
  <r>
    <x v="1"/>
    <n v="27"/>
  </r>
  <r>
    <x v="0"/>
    <n v="22"/>
  </r>
  <r>
    <x v="0"/>
    <n v="30"/>
  </r>
  <r>
    <x v="0"/>
    <n v="49"/>
  </r>
  <r>
    <x v="0"/>
    <n v="0"/>
  </r>
  <r>
    <x v="0"/>
    <n v="65"/>
  </r>
  <r>
    <x v="0"/>
    <n v="0"/>
  </r>
  <r>
    <x v="0"/>
    <n v="33"/>
  </r>
  <r>
    <x v="0"/>
    <n v="52"/>
  </r>
  <r>
    <x v="0"/>
    <n v="11"/>
  </r>
  <r>
    <x v="1"/>
    <n v="34"/>
  </r>
  <r>
    <x v="1"/>
    <n v="28"/>
  </r>
  <r>
    <x v="0"/>
    <n v="69"/>
  </r>
  <r>
    <x v="2"/>
    <n v="0"/>
  </r>
  <r>
    <x v="0"/>
    <n v="9"/>
  </r>
  <r>
    <x v="1"/>
    <n v="20"/>
  </r>
  <r>
    <x v="2"/>
    <n v="11"/>
  </r>
  <r>
    <x v="0"/>
    <n v="151"/>
  </r>
  <r>
    <x v="0"/>
    <n v="0"/>
  </r>
  <r>
    <x v="0"/>
    <n v="0"/>
  </r>
  <r>
    <x v="1"/>
    <n v="57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33">
  <r>
    <x v="0"/>
    <n v="1"/>
  </r>
  <r>
    <x v="0"/>
    <n v="7"/>
  </r>
  <r>
    <x v="0"/>
    <n v="8"/>
  </r>
  <r>
    <x v="0"/>
    <n v="8"/>
  </r>
  <r>
    <x v="0"/>
    <n v="1"/>
  </r>
  <r>
    <x v="0"/>
    <n v="8"/>
  </r>
  <r>
    <x v="0"/>
    <n v="24"/>
  </r>
  <r>
    <x v="0"/>
    <n v="1"/>
  </r>
  <r>
    <x v="0"/>
    <n v="2"/>
  </r>
  <r>
    <x v="0"/>
    <n v="8"/>
  </r>
  <r>
    <x v="0"/>
    <n v="11"/>
  </r>
  <r>
    <x v="0"/>
    <n v="10"/>
  </r>
  <r>
    <x v="0"/>
    <n v="3"/>
  </r>
  <r>
    <x v="1"/>
    <n v="3"/>
  </r>
  <r>
    <x v="0"/>
    <n v="22"/>
  </r>
  <r>
    <x v="2"/>
    <n v="3"/>
  </r>
  <r>
    <x v="0"/>
    <n v="7"/>
  </r>
  <r>
    <x v="0"/>
    <n v="1"/>
  </r>
  <r>
    <x v="2"/>
    <n v="2"/>
  </r>
  <r>
    <x v="0"/>
    <n v="13"/>
  </r>
  <r>
    <x v="0"/>
    <n v="6"/>
  </r>
  <r>
    <x v="0"/>
    <n v="3"/>
  </r>
  <r>
    <x v="0"/>
    <n v="9"/>
  </r>
  <r>
    <x v="0"/>
    <n v="2"/>
  </r>
  <r>
    <x v="0"/>
    <n v="1"/>
  </r>
  <r>
    <x v="0"/>
    <n v="6"/>
  </r>
  <r>
    <x v="0"/>
    <n v="3"/>
  </r>
  <r>
    <x v="0"/>
    <n v="23"/>
  </r>
  <r>
    <x v="1"/>
    <n v="1"/>
  </r>
  <r>
    <x v="0"/>
    <n v="10"/>
  </r>
  <r>
    <x v="1"/>
    <n v="3"/>
  </r>
  <r>
    <x v="1"/>
    <n v="2"/>
  </r>
  <r>
    <x v="0"/>
    <n v="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26">
  <r>
    <x v="0"/>
    <n v="23"/>
  </r>
  <r>
    <x v="1"/>
    <n v="18"/>
  </r>
  <r>
    <x v="1"/>
    <n v="20"/>
  </r>
  <r>
    <x v="1"/>
    <n v="50"/>
  </r>
  <r>
    <x v="1"/>
    <n v="10"/>
  </r>
  <r>
    <x v="1"/>
    <n v="34"/>
  </r>
  <r>
    <x v="1"/>
    <n v="32"/>
  </r>
  <r>
    <x v="1"/>
    <n v="85"/>
  </r>
  <r>
    <x v="1"/>
    <n v="66"/>
  </r>
  <r>
    <x v="0"/>
    <n v="23"/>
  </r>
  <r>
    <x v="1"/>
    <n v="56"/>
  </r>
  <r>
    <x v="1"/>
    <n v="48"/>
  </r>
  <r>
    <x v="1"/>
    <n v="15"/>
  </r>
  <r>
    <x v="0"/>
    <n v="37"/>
  </r>
  <r>
    <x v="1"/>
    <n v="24"/>
  </r>
  <r>
    <x v="1"/>
    <n v="41"/>
  </r>
  <r>
    <x v="1"/>
    <n v="28"/>
  </r>
  <r>
    <x v="1"/>
    <n v="28"/>
  </r>
  <r>
    <x v="1"/>
    <n v="24"/>
  </r>
  <r>
    <x v="1"/>
    <n v="35"/>
  </r>
  <r>
    <x v="1"/>
    <n v="10"/>
  </r>
  <r>
    <x v="1"/>
    <n v="1"/>
  </r>
  <r>
    <x v="1"/>
    <n v="34"/>
  </r>
  <r>
    <x v="0"/>
    <n v="11"/>
  </r>
  <r>
    <x v="1"/>
    <n v="20"/>
  </r>
  <r>
    <x v="1"/>
    <n v="5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37">
  <r>
    <m/>
    <s v="AC BEAUCHAMP "/>
    <x v="0"/>
    <n v="40"/>
    <s v="GASCUENA SEBASTIEN"/>
  </r>
  <r>
    <m/>
    <s v="ACS CORMEILLES-EN-PARISIS "/>
    <x v="0"/>
    <n v="87"/>
    <s v="DESCHAMPS LUC"/>
  </r>
  <r>
    <m/>
    <s v="AS SAINT-OUEN-L'AUMONE "/>
    <x v="0"/>
    <n v="45"/>
    <s v="PIVARD JEAN-PIERRE"/>
  </r>
  <r>
    <m/>
    <s v="EA CERGY PONTOISE ATHLETISME"/>
    <x v="0"/>
    <n v="281"/>
    <s v="FAVREAU PHILIPPE"/>
  </r>
  <r>
    <m/>
    <s v="UNION NORD EST 95 A "/>
    <x v="1"/>
    <n v="85"/>
    <s v="MIGUEL CYRIL"/>
  </r>
  <r>
    <m/>
    <s v="AC NORD VAL D'OISE "/>
    <x v="0"/>
    <n v="66"/>
    <s v="CHAILLOUX CELINE"/>
  </r>
  <r>
    <m/>
    <s v="US EZANVILLE-ECOUEN "/>
    <x v="0"/>
    <n v="18"/>
    <s v="BERRIER ISABELLE"/>
  </r>
  <r>
    <m/>
    <s v="US MERY AC "/>
    <x v="0"/>
    <n v="1"/>
    <s v="LEROUX PIERRE"/>
  </r>
  <r>
    <m/>
    <s v="SAINT-BRICE ATHLETISME "/>
    <x v="0"/>
    <n v="70"/>
    <s v="LUDER ANNE-CLAIRE"/>
  </r>
  <r>
    <m/>
    <s v="ENTENTE FRANCONVILLE CESAME VAL D'OISE"/>
    <x v="0"/>
    <n v="5"/>
    <s v="LIONS MARIE"/>
  </r>
  <r>
    <m/>
    <s v="ACSAM "/>
    <x v="0"/>
    <n v="58"/>
    <s v="MAGLIANO MAZAUD JACKIE"/>
  </r>
  <r>
    <m/>
    <s v="CSME ATHLETISME "/>
    <x v="0"/>
    <n v="58"/>
    <s v="LE LAY LIONEL"/>
  </r>
  <r>
    <m/>
    <s v="MONTMAGNY SPORTS "/>
    <x v="0"/>
    <n v="38"/>
    <s v="AWOUE DIANE"/>
  </r>
  <r>
    <m/>
    <s v="L'ISLE ADAM AC "/>
    <x v="0"/>
    <n v="121"/>
    <s v="TUTAKOWSKI SERGE"/>
  </r>
  <r>
    <m/>
    <s v="ESME US DEUIL "/>
    <x v="0"/>
    <n v="132"/>
    <s v="VIROLAN JEAN-MARC"/>
  </r>
  <r>
    <m/>
    <s v="CLUB ATHLETIC ERMONTOIS "/>
    <x v="0"/>
    <n v="98"/>
    <s v="ARNAUD SANDRA"/>
  </r>
  <r>
    <m/>
    <s v="ARNOUVILLE GONESSE VILLIERS-LE-BEL ATHLETISME "/>
    <x v="1"/>
    <n v="80"/>
    <s v="GAYDU STEPHANE"/>
  </r>
  <r>
    <m/>
    <s v="FRANCONVILLE ATHLETISME VAL D OISE "/>
    <x v="0"/>
    <n v="82"/>
    <s v="TRENTA ALEXANDRE"/>
  </r>
  <r>
    <m/>
    <s v="AC ST GRATIEN-SANNOIS "/>
    <x v="0"/>
    <n v="198"/>
    <s v="SADAT CHALLAL"/>
  </r>
  <r>
    <m/>
    <s v="US DASSAULT ARGENTEUIL "/>
    <x v="0"/>
    <n v="0"/>
    <s v="SIMON STEPHANE"/>
  </r>
  <r>
    <m/>
    <s v="AUVERS ATHLETISME "/>
    <x v="0"/>
    <n v="27"/>
    <s v="MOREAU NATHALIE"/>
  </r>
  <r>
    <m/>
    <s v="C.C. TAVERNY ATHLETISME "/>
    <x v="0"/>
    <n v="125"/>
    <s v="LEMOGNE LOIC"/>
  </r>
  <r>
    <m/>
    <s v="DOMONT ATHLETISME "/>
    <x v="0"/>
    <n v="100"/>
    <s v="DEVULDER JEAN-PIERRE"/>
  </r>
  <r>
    <m/>
    <s v="VAUREAL ATHLETISME "/>
    <x v="0"/>
    <n v="99"/>
    <s v="BEURIENNE DOMINIQUE"/>
  </r>
  <r>
    <m/>
    <s v="C.O.M.ARGENTEUIL "/>
    <x v="0"/>
    <n v="3"/>
    <s v="DUVAL MARIE-COLOMBE"/>
  </r>
  <r>
    <m/>
    <s v="US MONTSOULT-BAILLET-MAFFLIERS "/>
    <x v="0"/>
    <n v="15"/>
    <s v="BUCAILLE LAURENT"/>
  </r>
  <r>
    <m/>
    <s v="LIB'AIR'TRAIL "/>
    <x v="2"/>
    <n v="16"/>
    <s v="THIBAUT YVES"/>
  </r>
  <r>
    <m/>
    <s v="PERSAN ATHLETIC CLUB "/>
    <x v="0"/>
    <n v="11"/>
    <s v="AICHI ABDELLATIF"/>
  </r>
  <r>
    <m/>
    <s v="THILLAY RUNNING ATHLETIC CLUB "/>
    <x v="1"/>
    <n v="13"/>
    <s v="NORDON PHILIPPE"/>
  </r>
  <r>
    <m/>
    <s v="ATHLETIC CLUB MAGNY EN VEXIN "/>
    <x v="2"/>
    <n v="28"/>
    <s v="BABACI AHCENE"/>
  </r>
  <r>
    <m/>
    <s v="TEAM ATHLETIC GOUSS "/>
    <x v="1"/>
    <n v="77"/>
    <s v="KOUBARACHEN KAMALEDDINE"/>
  </r>
  <r>
    <m/>
    <s v="VALLEE DE MONTMORENCY TRIATHLON "/>
    <x v="0"/>
    <n v="5"/>
    <s v="LETOCART LUCAS"/>
  </r>
  <r>
    <m/>
    <s v="ARGENTEUIL ATHLETISME "/>
    <x v="0"/>
    <n v="76"/>
    <s v="MARCHAL PATRICE"/>
  </r>
  <r>
    <m/>
    <s v="GARGES ATHLETIQUE CLUB "/>
    <x v="1"/>
    <n v="46"/>
    <s v="PEREIRA DA SILVA WILLIAM"/>
  </r>
  <r>
    <m/>
    <s v="CLUB MUNICIPAL DORVILLE DE LOUVRES "/>
    <x v="1"/>
    <n v="1"/>
    <s v="FILIPPAZZI GUILLAUME"/>
  </r>
  <r>
    <m/>
    <s v="USO BEZONS "/>
    <x v="0"/>
    <n v="2"/>
    <s v="REZZAG MILOUD "/>
  </r>
  <r>
    <m/>
    <s v="CO SEMI MARATHON DE SAINT WITZ "/>
    <x v="1"/>
    <n v="0"/>
    <s v="JOLY OLIVIER 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count="1118">
  <r>
    <x v="0"/>
    <s v="Arts martiaux Courdimanche"/>
    <x v="0"/>
    <n v="2"/>
    <x v="0"/>
    <s v="Mme Chevalier"/>
  </r>
  <r>
    <x v="0"/>
    <s v="USM Aikido"/>
    <x v="0"/>
    <n v="5"/>
    <x v="1"/>
    <s v="M Alain Bourgeaux"/>
  </r>
  <r>
    <x v="0"/>
    <s v="CSME Art Martiaux"/>
    <x v="0"/>
    <n v="8"/>
    <x v="0"/>
    <s v="Mme Theriez"/>
  </r>
  <r>
    <x v="0"/>
    <s v="Budokan Deuil la Barre"/>
    <x v="0"/>
    <n v="3"/>
    <x v="1"/>
    <s v="M Rousseau"/>
  </r>
  <r>
    <x v="0"/>
    <s v="AS Saint Gratien Aikido"/>
    <x v="0"/>
    <n v="7"/>
    <x v="1"/>
    <s v="M Vinsonneau"/>
  </r>
  <r>
    <x v="0"/>
    <s v="Aikido Energie Saint Prix"/>
    <x v="0"/>
    <n v="10"/>
    <x v="2"/>
    <s v="Pas de correspondant identifié"/>
  </r>
  <r>
    <x v="0"/>
    <s v="Aikido club Soisy sous Montmorency"/>
    <x v="0"/>
    <n v="13"/>
    <x v="1"/>
    <s v="M Peraro"/>
  </r>
  <r>
    <x v="0"/>
    <s v="Dojo de l’Aubette"/>
    <x v="1"/>
    <n v="2"/>
    <x v="1"/>
    <s v="M Causse"/>
  </r>
  <r>
    <x v="0"/>
    <s v="Aikido club de Puiseux en France"/>
    <x v="2"/>
    <m/>
    <x v="1"/>
    <s v="M Egea"/>
  </r>
  <r>
    <x v="0"/>
    <s v="Aikikai de Sarcelles"/>
    <x v="2"/>
    <n v="1"/>
    <x v="1"/>
    <s v="M Belhadi"/>
  </r>
  <r>
    <x v="0"/>
    <s v="Aikido club Sannois"/>
    <x v="0"/>
    <n v="5"/>
    <x v="1"/>
    <s v="M Le Bellour"/>
  </r>
  <r>
    <x v="0"/>
    <s v="Association Champenoise d’Aikido"/>
    <x v="0"/>
    <n v="4"/>
    <x v="1"/>
    <s v="M Magrit"/>
  </r>
  <r>
    <x v="0"/>
    <s v="Aikido Adamois"/>
    <x v="0"/>
    <m/>
    <x v="1"/>
    <s v="M Labbas"/>
  </r>
  <r>
    <x v="0"/>
    <s v="USEE Ezanville section aikido"/>
    <x v="0"/>
    <n v="3"/>
    <x v="1"/>
    <s v="M Teyssedou"/>
  </r>
  <r>
    <x v="0"/>
    <s v="Aikikai de Montmorency"/>
    <x v="0"/>
    <m/>
    <x v="0"/>
    <s v="Mme Saidi"/>
  </r>
  <r>
    <x v="1"/>
    <s v="AA PAYS DE FRANCE ATHLE 95 "/>
    <x v="2"/>
    <n v="59"/>
    <x v="1"/>
    <s v="FERNANDEZ-VELIZ GILLES"/>
  </r>
  <r>
    <x v="1"/>
    <s v="AC BEAUCHAMP "/>
    <x v="0"/>
    <n v="40"/>
    <x v="1"/>
    <s v="GASCUENA SEBASTIEN"/>
  </r>
  <r>
    <x v="1"/>
    <s v="ACS CORMEILLES-EN-PARISIS "/>
    <x v="0"/>
    <n v="87"/>
    <x v="1"/>
    <s v="DESCHAMPS LUC"/>
  </r>
  <r>
    <x v="1"/>
    <s v="AS SAINT-OUEN-L'AUMONE "/>
    <x v="0"/>
    <n v="45"/>
    <x v="1"/>
    <s v="PIVARD JEAN-PIERRE"/>
  </r>
  <r>
    <x v="1"/>
    <s v="EA CERGY PONTOISE ATHLETISME"/>
    <x v="0"/>
    <n v="281"/>
    <x v="1"/>
    <s v="FAVREAU PHILIPPE"/>
  </r>
  <r>
    <x v="1"/>
    <s v="UNION NORD EST 95 A "/>
    <x v="2"/>
    <n v="85"/>
    <x v="1"/>
    <s v="MIGUEL CYRIL"/>
  </r>
  <r>
    <x v="1"/>
    <s v="AC NORD VAL D'OISE "/>
    <x v="0"/>
    <n v="66"/>
    <x v="0"/>
    <s v="CHAILLOUX CELINE"/>
  </r>
  <r>
    <x v="1"/>
    <s v="US EZANVILLE-ECOUEN "/>
    <x v="0"/>
    <n v="18"/>
    <x v="0"/>
    <s v="BERRIER ISABELLE"/>
  </r>
  <r>
    <x v="1"/>
    <s v="US MERY AC "/>
    <x v="0"/>
    <n v="1"/>
    <x v="1"/>
    <s v="LEROUX PIERRE"/>
  </r>
  <r>
    <x v="1"/>
    <s v="SAINT-BRICE ATHLETISME "/>
    <x v="0"/>
    <n v="70"/>
    <x v="0"/>
    <s v="LUDER ANNE-CLAIRE"/>
  </r>
  <r>
    <x v="1"/>
    <s v="ENTENTE FRANCONVILLE CESAME VAL D'OISE"/>
    <x v="0"/>
    <n v="5"/>
    <x v="0"/>
    <s v="LIONS MARIE"/>
  </r>
  <r>
    <x v="1"/>
    <s v="ACSAM "/>
    <x v="0"/>
    <n v="58"/>
    <x v="0"/>
    <s v="MAGLIANO MAZAUD JACKIE"/>
  </r>
  <r>
    <x v="1"/>
    <s v="CSME ATHLETISME "/>
    <x v="0"/>
    <n v="58"/>
    <x v="1"/>
    <s v="LE LAY LIONEL"/>
  </r>
  <r>
    <x v="1"/>
    <s v="MONTMAGNY SPORTS "/>
    <x v="0"/>
    <n v="38"/>
    <x v="0"/>
    <s v="AWOUE DIANE"/>
  </r>
  <r>
    <x v="1"/>
    <s v="L'ISLE ADAM AC "/>
    <x v="0"/>
    <n v="121"/>
    <x v="1"/>
    <s v="TUTAKOWSKI SERGE"/>
  </r>
  <r>
    <x v="1"/>
    <s v="ESME US DEUIL "/>
    <x v="0"/>
    <n v="132"/>
    <x v="1"/>
    <s v="VIROLAN JEAN-MARC"/>
  </r>
  <r>
    <x v="1"/>
    <s v="CLUB ATHLETIC ERMONTOIS "/>
    <x v="0"/>
    <n v="98"/>
    <x v="0"/>
    <s v="ARNAUD SANDRA"/>
  </r>
  <r>
    <x v="1"/>
    <s v="ARNOUVILLE GONESSE VILLIERS-LE-BEL ATHLETISME "/>
    <x v="2"/>
    <n v="80"/>
    <x v="1"/>
    <s v="GAYDU STEPHANE"/>
  </r>
  <r>
    <x v="1"/>
    <s v="FRANCONVILLE ATHLETISME VAL D OISE "/>
    <x v="0"/>
    <n v="82"/>
    <x v="1"/>
    <s v="TRENTA ALEXANDRE"/>
  </r>
  <r>
    <x v="1"/>
    <s v="AC ST GRATIEN-SANNOIS "/>
    <x v="0"/>
    <n v="198"/>
    <x v="1"/>
    <s v="SADAT CHALLAL"/>
  </r>
  <r>
    <x v="1"/>
    <s v="US DASSAULT ARGENTEUIL "/>
    <x v="0"/>
    <n v="0"/>
    <x v="1"/>
    <s v="SIMON STEPHANE"/>
  </r>
  <r>
    <x v="1"/>
    <s v="AUVERS ATHLETISME "/>
    <x v="0"/>
    <n v="27"/>
    <x v="0"/>
    <s v="MOREAU NATHALIE"/>
  </r>
  <r>
    <x v="1"/>
    <s v="C.C. TAVERNY ATHLETISME "/>
    <x v="0"/>
    <n v="125"/>
    <x v="1"/>
    <s v="LEMOGNE LOIC"/>
  </r>
  <r>
    <x v="1"/>
    <s v="DOMONT ATHLETISME "/>
    <x v="0"/>
    <n v="100"/>
    <x v="1"/>
    <s v="DEVULDER JEAN-PIERRE"/>
  </r>
  <r>
    <x v="1"/>
    <s v="VAUREAL ATHLETISME "/>
    <x v="0"/>
    <n v="99"/>
    <x v="1"/>
    <s v="BEURIENNE DOMINIQUE"/>
  </r>
  <r>
    <x v="1"/>
    <s v="C.O.M.ARGENTEUIL "/>
    <x v="0"/>
    <n v="3"/>
    <x v="0"/>
    <s v="DUVAL MARIE-COLOMBE"/>
  </r>
  <r>
    <x v="1"/>
    <s v="US MONTSOULT-BAILLET-MAFFLIERS "/>
    <x v="0"/>
    <n v="15"/>
    <x v="1"/>
    <s v="BUCAILLE LAURENT"/>
  </r>
  <r>
    <x v="1"/>
    <s v="LIB'AIR'TRAIL "/>
    <x v="1"/>
    <n v="16"/>
    <x v="1"/>
    <s v="THIBAUT YVES"/>
  </r>
  <r>
    <x v="1"/>
    <s v="PERSAN ATHLETIC CLUB "/>
    <x v="0"/>
    <n v="11"/>
    <x v="1"/>
    <s v="AICHI ABDELLATIF"/>
  </r>
  <r>
    <x v="1"/>
    <s v="THILLAY RUNNING ATHLETIC CLUB "/>
    <x v="2"/>
    <n v="13"/>
    <x v="1"/>
    <s v="NORDON PHILIPPE"/>
  </r>
  <r>
    <x v="1"/>
    <s v="ATHLETIC CLUB MAGNY EN VEXIN "/>
    <x v="1"/>
    <n v="28"/>
    <x v="1"/>
    <s v="BABACI AHCENE"/>
  </r>
  <r>
    <x v="1"/>
    <s v="TEAM ATHLETIC GOUSS "/>
    <x v="2"/>
    <n v="77"/>
    <x v="1"/>
    <s v="KOUBARACHEN KAMALEDDINE"/>
  </r>
  <r>
    <x v="1"/>
    <s v="VALLEE DE MONTMORENCY TRIATHLON "/>
    <x v="0"/>
    <n v="5"/>
    <x v="1"/>
    <s v="LETOCART LUCAS"/>
  </r>
  <r>
    <x v="1"/>
    <s v="ARGENTEUIL ATHLETISME "/>
    <x v="0"/>
    <n v="76"/>
    <x v="1"/>
    <s v="MARCHAL PATRICE"/>
  </r>
  <r>
    <x v="1"/>
    <s v="GARGES ATHLETIQUE CLUB "/>
    <x v="2"/>
    <n v="46"/>
    <x v="1"/>
    <s v="PEREIRA DA SILVA WILLIAM"/>
  </r>
  <r>
    <x v="1"/>
    <s v="CLUB MUNICIPAL DORVILLE DE LOUVRES "/>
    <x v="2"/>
    <n v="1"/>
    <x v="1"/>
    <s v="FILIPPAZZI GUILLAUME"/>
  </r>
  <r>
    <x v="1"/>
    <s v="USO BEZONS "/>
    <x v="0"/>
    <n v="2"/>
    <x v="1"/>
    <s v="REZZAG MILOUD "/>
  </r>
  <r>
    <x v="1"/>
    <s v="CO SEMI MARATHON DE SAINT WITZ "/>
    <x v="2"/>
    <n v="0"/>
    <x v="1"/>
    <s v="JOLY OLIVIER "/>
  </r>
  <r>
    <x v="2"/>
    <s v="COM Argenteuil"/>
    <x v="0"/>
    <n v="35"/>
    <x v="0"/>
    <s v="Mme BEIGNON SABINE"/>
  </r>
  <r>
    <x v="2"/>
    <s v="SN Enghien"/>
    <x v="0"/>
    <n v="37"/>
    <x v="1"/>
    <s v="M. SOUCHET ANDRE"/>
  </r>
  <r>
    <x v="2"/>
    <s v="Beaumont Aviron"/>
    <x v="0"/>
    <n v="25"/>
    <x v="1"/>
    <s v="M. ALIGE THIERRY"/>
  </r>
  <r>
    <x v="2"/>
    <s v="SN Oise"/>
    <x v="0"/>
    <n v="79"/>
    <x v="0"/>
    <s v="Mme GRAIS CHRISTELLE"/>
  </r>
  <r>
    <x v="2"/>
    <s v="Val d’Oise Aviron "/>
    <x v="1"/>
    <n v="54"/>
    <x v="1"/>
    <s v="M. TOUZALIN PHILIPPE"/>
  </r>
  <r>
    <x v="2"/>
    <s v="Aviron Libre Seine et Oise"/>
    <x v="0"/>
    <n v="5"/>
    <x v="1"/>
    <s v="M. BUDET HERVE"/>
  </r>
  <r>
    <x v="3"/>
    <s v="Badminton Argenteuil Détente 95"/>
    <x v="0"/>
    <n v="14"/>
    <x v="1"/>
    <s v="Olivier Herbulding"/>
  </r>
  <r>
    <x v="3"/>
    <s v="Les Volants Arnouville Gonesse"/>
    <x v="2"/>
    <n v="23"/>
    <x v="1"/>
    <s v="Frédéric Filip"/>
  </r>
  <r>
    <x v="3"/>
    <s v="Badminton Club Bessancourtois"/>
    <x v="0"/>
    <n v="18"/>
    <x v="1"/>
    <s v="Pascal Moisseron"/>
  </r>
  <r>
    <x v="3"/>
    <s v="Bouffémont Badminton"/>
    <x v="0"/>
    <n v="20"/>
    <x v="1"/>
    <s v="Patrice Lesellier"/>
  </r>
  <r>
    <x v="3"/>
    <s v="Les Volants de Cergy"/>
    <x v="0"/>
    <n v="50"/>
    <x v="1"/>
    <s v="David Catrycke"/>
  </r>
  <r>
    <x v="3"/>
    <s v="AS Courdimanche"/>
    <x v="0"/>
    <n v="10"/>
    <x v="1"/>
    <s v="Frédéric Sueur"/>
  </r>
  <r>
    <x v="3"/>
    <s v="Club Sportif Municipal Eaubonne"/>
    <x v="0"/>
    <n v="34"/>
    <x v="1"/>
    <s v="Thomas Basbayon"/>
  </r>
  <r>
    <x v="3"/>
    <s v="Badminton Club Eragny"/>
    <x v="0"/>
    <n v="32"/>
    <x v="1"/>
    <s v="Nicolas Tompkin"/>
  </r>
  <r>
    <x v="3"/>
    <s v="Ermont Badminton Club"/>
    <x v="0"/>
    <n v="85"/>
    <x v="1"/>
    <s v="Didier PIorkowski"/>
  </r>
  <r>
    <x v="3"/>
    <s v="Union Sportive Ezanville-Ecouen"/>
    <x v="0"/>
    <n v="66"/>
    <x v="2"/>
    <s v="Dominique Charleux"/>
  </r>
  <r>
    <x v="3"/>
    <s v="Badminton Club de Goussainville"/>
    <x v="2"/>
    <n v="23"/>
    <x v="1"/>
    <s v="Baladjy Danaradjou"/>
  </r>
  <r>
    <x v="3"/>
    <s v="L’Herblaisienne"/>
    <x v="0"/>
    <n v="56"/>
    <x v="1"/>
    <s v="Philippe Cerisier"/>
  </r>
  <r>
    <x v="3"/>
    <s v="Fous de la Raquette de Jouy-le-Moutier"/>
    <x v="0"/>
    <n v="48"/>
    <x v="0"/>
    <s v="Maud Kervadec"/>
  </r>
  <r>
    <x v="3"/>
    <s v="Association Sportive Luzarchoise"/>
    <x v="0"/>
    <n v="15"/>
    <x v="0"/>
    <s v="Sophie Calfuty"/>
  </r>
  <r>
    <x v="3"/>
    <s v="Marly Bad"/>
    <x v="2"/>
    <n v="37"/>
    <x v="1"/>
    <s v="Thierry Dore"/>
  </r>
  <r>
    <x v="3"/>
    <s v="Badminton Club de Menucourt"/>
    <x v="0"/>
    <n v="24"/>
    <x v="1"/>
    <s v="Frédéric Delacroix"/>
  </r>
  <r>
    <x v="3"/>
    <s v="Badminton Club des Bords de l’Oise"/>
    <x v="0"/>
    <n v="41"/>
    <x v="0"/>
    <s v="Marie-Hélène Bellanger"/>
  </r>
  <r>
    <x v="3"/>
    <s v="Les Plumes Ignymontaines"/>
    <x v="0"/>
    <n v="28"/>
    <x v="0"/>
    <s v="Anne-Sophie Jouhanet"/>
  </r>
  <r>
    <x v="3"/>
    <s v="Montmagny-Sports"/>
    <x v="0"/>
    <n v="28"/>
    <x v="0"/>
    <s v="Frédérique Hurier"/>
  </r>
  <r>
    <x v="3"/>
    <s v="U.S. Montsoult-Baillet-Maffliers"/>
    <x v="0"/>
    <n v="24"/>
    <x v="1"/>
    <s v="Gonzalo Fernandez"/>
  </r>
  <r>
    <x v="3"/>
    <s v="Badminton Club de Pontoise"/>
    <x v="0"/>
    <n v="35"/>
    <x v="1"/>
    <s v="Julien Puigrenier"/>
  </r>
  <r>
    <x v="3"/>
    <s v="Association Presloises de Badminton"/>
    <x v="0"/>
    <n v="10"/>
    <x v="1"/>
    <s v="Laurent Kervandal"/>
  </r>
  <r>
    <x v="3"/>
    <s v="Vaillante Omnisport Saint-Brice"/>
    <x v="0"/>
    <n v="1"/>
    <x v="1"/>
    <s v="Jérôme Leroux"/>
  </r>
  <r>
    <x v="3"/>
    <s v="Ass. Sport. Saint-Gratien Badminton"/>
    <x v="0"/>
    <n v="34"/>
    <x v="1"/>
    <s v="Jean-Claude Ginestet"/>
  </r>
  <r>
    <x v="3"/>
    <s v="Badminton Saint-Witz"/>
    <x v="2"/>
    <n v="11"/>
    <x v="1"/>
    <s v="Alexandre Lacomme"/>
  </r>
  <r>
    <x v="3"/>
    <s v="Omnia Sports de Sannois"/>
    <x v="0"/>
    <n v="20"/>
    <x v="1"/>
    <s v="François Lamarche"/>
  </r>
  <r>
    <x v="3"/>
    <s v="As du Volant Taverny-Saint-Leu"/>
    <x v="0"/>
    <n v="51"/>
    <x v="1"/>
    <s v="Thomas Desmay"/>
  </r>
  <r>
    <x v="4"/>
    <s v="Teddy Bear Cergy"/>
    <x v="0"/>
    <n v="2"/>
    <x v="0"/>
    <s v="Mme Berna NAREA"/>
  </r>
  <r>
    <x v="4"/>
    <s v="Les Expos Ermont"/>
    <x v="0"/>
    <n v="11"/>
    <x v="1"/>
    <s v="Mr Stéphane ROYO"/>
  </r>
  <r>
    <x v="4"/>
    <s v="Squales Vauréal"/>
    <x v="0"/>
    <n v="17"/>
    <x v="1"/>
    <s v="Mr Jérôme FRUGIER"/>
  </r>
  <r>
    <x v="4"/>
    <s v="Cerbères Domont"/>
    <x v="0"/>
    <n v="1"/>
    <x v="1"/>
    <s v="Mr Stéphane PERRIN"/>
  </r>
  <r>
    <x v="4"/>
    <s v="Les Royals Roosters"/>
    <x v="0"/>
    <n v="13"/>
    <x v="0"/>
    <s v="Mme Laeticia ODIN"/>
  </r>
  <r>
    <x v="4"/>
    <s v="Les Félins Herblay"/>
    <x v="0"/>
    <n v="3"/>
    <x v="1"/>
    <s v="Mr Vicent CANAMERAS"/>
  </r>
  <r>
    <x v="4"/>
    <s v="The Little Mice Le Thillay"/>
    <x v="2"/>
    <n v="6"/>
    <x v="1"/>
    <s v="Me Alain ROUCAN"/>
  </r>
  <r>
    <x v="4"/>
    <s v="Cricket Club St Brice 95"/>
    <x v="0"/>
    <n v="13"/>
    <x v="1"/>
    <s v="Mr Jitendrasinh RAJ"/>
  </r>
  <r>
    <x v="4"/>
    <s v="Cricket Club Argenteuil"/>
    <x v="0"/>
    <n v="12"/>
    <x v="1"/>
    <s v="Mr Muhammad MUNIR"/>
  </r>
  <r>
    <x v="4"/>
    <s v="Cricket Club Sarcelles"/>
    <x v="2"/>
    <n v="0"/>
    <x v="1"/>
    <s v="Mr Susheer DE CHAROTTE"/>
  </r>
  <r>
    <x v="4"/>
    <s v="Cricket Club Goussainville"/>
    <x v="2"/>
    <n v="0"/>
    <x v="1"/>
    <s v="Mr Arsalan MAJID"/>
  </r>
  <r>
    <x v="4"/>
    <s v="Cricket Club Villiers-le-Bel"/>
    <x v="2"/>
    <n v="12"/>
    <x v="2"/>
    <m/>
  </r>
  <r>
    <x v="4"/>
    <s v="Cricket Club Gonesse - France Gymkhana"/>
    <x v="2"/>
    <n v="9"/>
    <x v="1"/>
    <s v="Mr Rizwan BADRI"/>
  </r>
  <r>
    <x v="5"/>
    <s v="AAS SARCELLES BB"/>
    <x v="2"/>
    <n v="45"/>
    <x v="1"/>
    <s v="ADEKAMBI Romeo"/>
  </r>
  <r>
    <x v="5"/>
    <s v="ACS CORMEILLAIS"/>
    <x v="0"/>
    <n v="28"/>
    <x v="1"/>
    <s v="DORVAL Philippe"/>
  </r>
  <r>
    <x v="5"/>
    <s v="AS BESSANCOURT"/>
    <x v="0"/>
    <n v="6"/>
    <x v="0"/>
    <s v="VAUCHEL Assya"/>
  </r>
  <r>
    <x v="5"/>
    <s v="SAINT BRICE BASKET"/>
    <x v="0"/>
    <n v="17"/>
    <x v="1"/>
    <s v="LOTAIRE Cédric"/>
  </r>
  <r>
    <x v="5"/>
    <s v="AUVERS BC"/>
    <x v="0"/>
    <n v="6"/>
    <x v="1"/>
    <s v="MANTEAU Guillaume"/>
  </r>
  <r>
    <x v="5"/>
    <s v="AS ST OUEN L'AUMONE"/>
    <x v="0"/>
    <n v="12"/>
    <x v="1"/>
    <s v="GEORGES Jean-François"/>
  </r>
  <r>
    <x v="5"/>
    <s v="BC ERMONT"/>
    <x v="0"/>
    <n v="109"/>
    <x v="0"/>
    <s v="TOURNAY Pascale"/>
  </r>
  <r>
    <x v="5"/>
    <s v="BC FRANCONVILLE PB"/>
    <x v="0"/>
    <n v="33"/>
    <x v="1"/>
    <s v="GAYET Jean-Marc"/>
  </r>
  <r>
    <x v="5"/>
    <s v="BC TAVERNY MONTIGNY"/>
    <x v="0"/>
    <n v="47"/>
    <x v="1"/>
    <s v="ETIENNE-JACQUES Cedrick"/>
  </r>
  <r>
    <x v="5"/>
    <s v="CM GARGES LES GONESSE"/>
    <x v="2"/>
    <n v="51"/>
    <x v="0"/>
    <s v="GENIN Sandrine"/>
  </r>
  <r>
    <x v="5"/>
    <s v="CM ORVILLE DE LOUVRES"/>
    <x v="2"/>
    <n v="24"/>
    <x v="0"/>
    <s v="BARKA Nathalie"/>
  </r>
  <r>
    <x v="5"/>
    <s v="CSM EAUBONNE"/>
    <x v="0"/>
    <n v="7"/>
    <x v="1"/>
    <s v="HUZ Laurent"/>
  </r>
  <r>
    <x v="5"/>
    <s v="OLYMPIC CLUB JOUY LE MOUTIER"/>
    <x v="0"/>
    <n v="2"/>
    <x v="0"/>
    <s v="BOUKARI Nourdine"/>
  </r>
  <r>
    <x v="5"/>
    <s v="USDEM BASKET"/>
    <x v="0"/>
    <n v="97"/>
    <x v="1"/>
    <s v="GAUDET Philippe"/>
  </r>
  <r>
    <x v="5"/>
    <s v="ARGENTEUIL BB"/>
    <x v="0"/>
    <n v="8"/>
    <x v="1"/>
    <s v="BOUCHERIT Hakim"/>
  </r>
  <r>
    <x v="5"/>
    <s v="HERBLAY BASKETBALL CLUB"/>
    <x v="0"/>
    <n v="37"/>
    <x v="0"/>
    <s v="INES"/>
  </r>
  <r>
    <x v="5"/>
    <s v="E ST LEU B"/>
    <x v="0"/>
    <n v="12"/>
    <x v="1"/>
    <s v="MEREUZE Laurent"/>
  </r>
  <r>
    <x v="5"/>
    <s v="Entente Fosses Marly Basket Club"/>
    <x v="2"/>
    <n v="7"/>
    <x v="0"/>
    <s v="BOUNDAOUI Akima"/>
  </r>
  <r>
    <x v="5"/>
    <s v="O SANNOIS ST GRATIEN"/>
    <x v="0"/>
    <n v="123"/>
    <x v="1"/>
    <s v="FILLEAU Jacques"/>
  </r>
  <r>
    <x v="5"/>
    <s v="UM0 BEAUMONT B"/>
    <x v="0"/>
    <n v="18"/>
    <x v="1"/>
    <s v="BEOUCH Nabil"/>
  </r>
  <r>
    <x v="5"/>
    <s v="MAGNY VEXIN BASKET"/>
    <x v="1"/>
    <n v="18"/>
    <x v="0"/>
    <s v="MORVAN Valérie "/>
  </r>
  <r>
    <x v="5"/>
    <s v="US MONTSOULT-BAILLET-MAFFLIERS"/>
    <x v="0"/>
    <n v="46"/>
    <x v="1"/>
    <s v="CELESTIN Christian "/>
  </r>
  <r>
    <x v="5"/>
    <s v="DOMONT B"/>
    <x v="0"/>
    <n v="53"/>
    <x v="1"/>
    <s v="CROS Vincent"/>
  </r>
  <r>
    <x v="5"/>
    <s v="US O BEZONS"/>
    <x v="0"/>
    <n v="102"/>
    <x v="1"/>
    <s v="KOURDACI Abdallah"/>
  </r>
  <r>
    <x v="5"/>
    <s v="CERGY-PONTOISE BB"/>
    <x v="0"/>
    <n v="78"/>
    <x v="0"/>
    <s v="SY Amara "/>
  </r>
  <r>
    <x v="5"/>
    <s v="ERAGNY BC"/>
    <x v="0"/>
    <n v="40"/>
    <x v="0"/>
    <s v="CORNUEJOLS Isabelle"/>
  </r>
  <r>
    <x v="5"/>
    <s v="BC L'ISLE ADAM"/>
    <x v="0"/>
    <n v="26"/>
    <x v="1"/>
    <s v="BANIDOL Michel"/>
  </r>
  <r>
    <x v="5"/>
    <s v="US ENNERY BB"/>
    <x v="0"/>
    <n v="11"/>
    <x v="1"/>
    <s v="DE FREITAS Julien"/>
  </r>
  <r>
    <x v="5"/>
    <s v="BC BEAUCHAMP"/>
    <x v="0"/>
    <n v="19"/>
    <x v="0"/>
    <s v="ROUSSEAU Catherine"/>
  </r>
  <r>
    <x v="5"/>
    <s v="MACCABI SARCELLES"/>
    <x v="2"/>
    <n v="0"/>
    <x v="1"/>
    <s v="HADDAD Georges"/>
  </r>
  <r>
    <x v="5"/>
    <s v="BOUFFEMONT AC B"/>
    <x v="0"/>
    <n v="78"/>
    <x v="1"/>
    <s v="NOWACKI François"/>
  </r>
  <r>
    <x v="5"/>
    <s v="CS PIERRELAYE"/>
    <x v="0"/>
    <n v="14"/>
    <x v="0"/>
    <s v="MARTIN Patricia"/>
  </r>
  <r>
    <x v="5"/>
    <s v="BC FREPILLON MERIEL MERY"/>
    <x v="0"/>
    <n v="29"/>
    <x v="1"/>
    <s v="MARTINS VIEIRA Jose"/>
  </r>
  <r>
    <x v="5"/>
    <s v="VAUREAL BC"/>
    <x v="0"/>
    <n v="5"/>
    <x v="1"/>
    <s v="CIVIL Jean-Patrice"/>
  </r>
  <r>
    <x v="5"/>
    <s v="MENUCOURT BC"/>
    <x v="0"/>
    <n v="15"/>
    <x v="0"/>
    <s v="ALEXIS Treissy"/>
  </r>
  <r>
    <x v="5"/>
    <s v="ES CHAMBLY PERSAN"/>
    <x v="0"/>
    <n v="9"/>
    <x v="1"/>
    <s v="SIDIBE Abdoulaye"/>
  </r>
  <r>
    <x v="5"/>
    <s v="ETOILE GROSLAY BASKET"/>
    <x v="0"/>
    <n v="11"/>
    <x v="0"/>
    <s v="RIBET Laurence"/>
  </r>
  <r>
    <x v="5"/>
    <s v="MONTMAGNY SPORTS"/>
    <x v="0"/>
    <n v="9"/>
    <x v="0"/>
    <s v="OULEKHIARI Christelle"/>
  </r>
  <r>
    <x v="5"/>
    <s v="EST VAL D'OISE BASKET"/>
    <x v="2"/>
    <n v="27"/>
    <x v="1"/>
    <s v="COTTELON Yves"/>
  </r>
  <r>
    <x v="5"/>
    <s v="VILLIERS LE BEL BASKET (VLB B)"/>
    <x v="2"/>
    <n v="28"/>
    <x v="0"/>
    <s v="RAHIMAN Ama"/>
  </r>
  <r>
    <x v="6"/>
    <s v="AC Beauchamps"/>
    <x v="0"/>
    <n v="11"/>
    <x v="1"/>
    <s v="Mr Boudy"/>
  </r>
  <r>
    <x v="6"/>
    <s v="Raid Orientation Cergy"/>
    <x v="0"/>
    <n v="2"/>
    <x v="1"/>
    <s v="Mr Lahellec"/>
  </r>
  <r>
    <x v="6"/>
    <s v="Raid Life"/>
    <x v="0"/>
    <n v="2"/>
    <x v="1"/>
    <s v="Mr Blairon"/>
  </r>
  <r>
    <x v="7"/>
    <s v="BCUO"/>
    <x v="3"/>
    <n v="4"/>
    <x v="1"/>
    <s v="Pierre MARAIS"/>
  </r>
  <r>
    <x v="7"/>
    <s v="US Domont"/>
    <x v="0"/>
    <n v="7"/>
    <x v="0"/>
    <s v="Céline HUTSEBAUT"/>
  </r>
  <r>
    <x v="7"/>
    <s v="Val D'Oise DC"/>
    <x v="3"/>
    <n v="2"/>
    <x v="1"/>
    <s v="Rodolphe CRAMETE"/>
  </r>
  <r>
    <x v="7"/>
    <s v="AS Herblay"/>
    <x v="0"/>
    <n v="0"/>
    <x v="1"/>
    <s v="JP RIBOURDOUILLE"/>
  </r>
  <r>
    <x v="7"/>
    <s v="Argenteuil Val de Seine"/>
    <x v="0"/>
    <n v="10"/>
    <x v="1"/>
    <s v="Fabien JUDY"/>
  </r>
  <r>
    <x v="7"/>
    <s v="ACVO"/>
    <x v="3"/>
    <n v="0"/>
    <x v="1"/>
    <s v="Pascal MIKLANEK"/>
  </r>
  <r>
    <x v="7"/>
    <s v="US Ezainville Ecoucu"/>
    <x v="0"/>
    <n v="8"/>
    <x v="1"/>
    <s v="Hervé GRIMAL"/>
  </r>
  <r>
    <x v="7"/>
    <s v="OCVO"/>
    <x v="3"/>
    <n v="5"/>
    <x v="1"/>
    <s v="Hervé FRANCOIS"/>
  </r>
  <r>
    <x v="7"/>
    <s v="ASGLB"/>
    <x v="3"/>
    <n v="2"/>
    <x v="1"/>
    <s v="Alexandre BALLUREAU"/>
  </r>
  <r>
    <x v="7"/>
    <s v="PAC 95"/>
    <x v="0"/>
    <n v="16"/>
    <x v="1"/>
    <s v="Pascal NOËL"/>
  </r>
  <r>
    <x v="7"/>
    <s v="ES Persan"/>
    <x v="0"/>
    <n v="6"/>
    <x v="1"/>
    <s v="Lionel FLAHAUT"/>
  </r>
  <r>
    <x v="7"/>
    <s v="Europe Moto Sport"/>
    <x v="3"/>
    <n v="0"/>
    <x v="1"/>
    <s v="Ludovic BASTIEN"/>
  </r>
  <r>
    <x v="7"/>
    <s v="Osny BMX Club"/>
    <x v="0"/>
    <n v="11"/>
    <x v="0"/>
    <s v="Chrystele FEUILLU"/>
  </r>
  <r>
    <x v="7"/>
    <s v="BC Eragny"/>
    <x v="0"/>
    <n v="5"/>
    <x v="1"/>
    <s v="Steven DA SILVA"/>
  </r>
  <r>
    <x v="7"/>
    <s v="AC Marines"/>
    <x v="1"/>
    <n v="3"/>
    <x v="1"/>
    <s v="Pascal RENAULT"/>
  </r>
  <r>
    <x v="7"/>
    <s v="EC Osny Pontoise"/>
    <x v="0"/>
    <n v="2"/>
    <x v="0"/>
    <s v="Delphine JEANNEAU"/>
  </r>
  <r>
    <x v="7"/>
    <s v="Avenir de Survilliers"/>
    <x v="2"/>
    <n v="4"/>
    <x v="1"/>
    <s v="Fabrice CHERET"/>
  </r>
  <r>
    <x v="7"/>
    <s v="Vélo 9 et Compagnie"/>
    <x v="3"/>
    <n v="0"/>
    <x v="1"/>
    <s v="Serge DARCEL"/>
  </r>
  <r>
    <x v="7"/>
    <s v="EC Goussainville"/>
    <x v="2"/>
    <n v="2"/>
    <x v="0"/>
    <s v="Evelyne REGULIER"/>
  </r>
  <r>
    <x v="7"/>
    <s v="Hittas Social Club"/>
    <x v="3"/>
    <n v="2"/>
    <x v="1"/>
    <s v="Marc CAUCHY"/>
  </r>
  <r>
    <x v="7"/>
    <s v="Sangliers du Vexin"/>
    <x v="1"/>
    <n v="2"/>
    <x v="1"/>
    <s v="Patrice PANNIER"/>
  </r>
  <r>
    <x v="7"/>
    <s v="Team Bike St Prix"/>
    <x v="0"/>
    <n v="0"/>
    <x v="1"/>
    <s v="Laurent ROUSSEL"/>
  </r>
  <r>
    <x v="8"/>
    <s v="UNION VELO ARGENTEUILLAISE"/>
    <x v="0"/>
    <n v="14"/>
    <x v="0"/>
    <s v="Me"/>
  </r>
  <r>
    <x v="8"/>
    <s v="CYCLO CLUB DU VEXIN"/>
    <x v="1"/>
    <n v="29"/>
    <x v="1"/>
    <s v="M"/>
  </r>
  <r>
    <x v="8"/>
    <s v="A.S. MENUCOURT SECTION CYCLO"/>
    <x v="0"/>
    <n v="10"/>
    <x v="1"/>
    <s v="M"/>
  </r>
  <r>
    <x v="8"/>
    <s v="VELO CLUB DE BEAUCHAMP"/>
    <x v="0"/>
    <n v="2"/>
    <x v="1"/>
    <s v="M"/>
  </r>
  <r>
    <x v="8"/>
    <s v="UNION SPORTIVE AUVERS OISE"/>
    <x v="0"/>
    <n v="26"/>
    <x v="1"/>
    <s v="M"/>
  </r>
  <r>
    <x v="8"/>
    <s v="UNION CYCLO DOMONTOISE"/>
    <x v="0"/>
    <n v="13"/>
    <x v="1"/>
    <s v="M"/>
  </r>
  <r>
    <x v="8"/>
    <s v="ENTENTE CYCLO-MARCHE ARNOUVILLOISE"/>
    <x v="2"/>
    <n v="29"/>
    <x v="0"/>
    <s v="Me"/>
  </r>
  <r>
    <x v="8"/>
    <s v="CYCLOTOURISTESPORT FREPILLON"/>
    <x v="0"/>
    <n v="20"/>
    <x v="1"/>
    <s v="M"/>
  </r>
  <r>
    <x v="8"/>
    <s v="SAINT PRIX CYCLO"/>
    <x v="0"/>
    <n v="0"/>
    <x v="1"/>
    <s v="M"/>
  </r>
  <r>
    <x v="8"/>
    <s v="LES CYCLOS D ENNERY"/>
    <x v="1"/>
    <n v="6"/>
    <x v="1"/>
    <s v="M"/>
  </r>
  <r>
    <x v="8"/>
    <s v="CSM EAUBONNE CYCLO LOISIRS"/>
    <x v="0"/>
    <n v="11"/>
    <x v="1"/>
    <s v="M"/>
  </r>
  <r>
    <x v="8"/>
    <s v="CYCLO CLUB LA FONTAINE FRANCONVILLE"/>
    <x v="0"/>
    <n v="6"/>
    <x v="1"/>
    <s v="M"/>
  </r>
  <r>
    <x v="8"/>
    <s v="CYCLO CLUB DE MOURS CCM"/>
    <x v="0"/>
    <n v="0"/>
    <x v="1"/>
    <s v="M"/>
  </r>
  <r>
    <x v="8"/>
    <s v="A C SPORT CORMEILLAIS"/>
    <x v="0"/>
    <n v="6"/>
    <x v="1"/>
    <s v="M"/>
  </r>
  <r>
    <x v="8"/>
    <s v="AMICALE RANDONNEURS ERMONTOIS"/>
    <x v="0"/>
    <n v="0"/>
    <x v="1"/>
    <s v="M"/>
  </r>
  <r>
    <x v="8"/>
    <s v="US CERGY CYCLO"/>
    <x v="0"/>
    <n v="6"/>
    <x v="1"/>
    <s v="M"/>
  </r>
  <r>
    <x v="8"/>
    <s v="CLUB CYCLOTOURISME MERIELLOIS"/>
    <x v="0"/>
    <n v="2"/>
    <x v="1"/>
    <s v="M"/>
  </r>
  <r>
    <x v="8"/>
    <s v="U.V. TAVERNY"/>
    <x v="0"/>
    <n v="2"/>
    <x v="1"/>
    <s v="M"/>
  </r>
  <r>
    <x v="8"/>
    <s v="AUDAX CLUB DE MARLY LA VILLE"/>
    <x v="2"/>
    <n v="6"/>
    <x v="1"/>
    <s v="M"/>
  </r>
  <r>
    <x v="8"/>
    <s v="LES CYCLOS DU LAC D ENGHIEN"/>
    <x v="0"/>
    <n v="4"/>
    <x v="1"/>
    <s v="M"/>
  </r>
  <r>
    <x v="8"/>
    <s v="ASS CYCLO CLUB GROSLAY"/>
    <x v="0"/>
    <n v="1"/>
    <x v="1"/>
    <s v="M"/>
  </r>
  <r>
    <x v="8"/>
    <s v="UNION CYCLO IGNYMONTAINE"/>
    <x v="0"/>
    <n v="0"/>
    <x v="1"/>
    <s v="M"/>
  </r>
  <r>
    <x v="8"/>
    <s v="ASS. CYCLISTE VALLEE DE LA VIOSNE"/>
    <x v="1"/>
    <n v="3"/>
    <x v="1"/>
    <s v="M"/>
  </r>
  <r>
    <x v="8"/>
    <s v="CYCLO CLUB DE L ISLE ADAM"/>
    <x v="0"/>
    <n v="1"/>
    <x v="1"/>
    <s v="M"/>
  </r>
  <r>
    <x v="8"/>
    <s v="M.I. VAL D OISE"/>
    <x v="3"/>
    <n v="2"/>
    <x v="2"/>
    <s v="Individuel"/>
  </r>
  <r>
    <x v="8"/>
    <s v="LES FOUS DU GUIDON"/>
    <x v="3"/>
    <n v="0"/>
    <x v="1"/>
    <s v="M"/>
  </r>
  <r>
    <x v="8"/>
    <s v="RELAIS AMICAL VAL D'OISE"/>
    <x v="3"/>
    <n v="7"/>
    <x v="0"/>
    <s v="Me"/>
  </r>
  <r>
    <x v="8"/>
    <s v="LES RENARDS DE CERGY"/>
    <x v="0"/>
    <n v="15"/>
    <x v="1"/>
    <s v="M"/>
  </r>
  <r>
    <x v="9"/>
    <s v="UMOB GYMNASTIQUE VOLONTAIRE"/>
    <x v="0"/>
    <n v="115"/>
    <x v="0"/>
    <s v="Albouy Nicole"/>
  </r>
  <r>
    <x v="9"/>
    <s v="GYM VOLONTAIRE DOMONTOISE"/>
    <x v="0"/>
    <n v="95"/>
    <x v="1"/>
    <s v="Penin Max"/>
  </r>
  <r>
    <x v="9"/>
    <s v="GV VIARMES ASNIERE SUR OISE"/>
    <x v="0"/>
    <n v="92"/>
    <x v="0"/>
    <s v="Gasté Colette"/>
  </r>
  <r>
    <x v="9"/>
    <s v="AMICALE FRANCONVILLE GV"/>
    <x v="0"/>
    <n v="353"/>
    <x v="1"/>
    <s v="Cordier Gérard"/>
  </r>
  <r>
    <x v="9"/>
    <s v="VIVA GYM SANNOIS"/>
    <x v="0"/>
    <n v="412"/>
    <x v="1"/>
    <s v="Rogez Daniel"/>
  </r>
  <r>
    <x v="9"/>
    <s v="ASH GYM VOL D HERBLAY"/>
    <x v="0"/>
    <n v="160"/>
    <x v="0"/>
    <s v="Bellair Eliane"/>
  </r>
  <r>
    <x v="9"/>
    <s v="GYM VOLONTAIRE ERMONT"/>
    <x v="0"/>
    <n v="711"/>
    <x v="1"/>
    <s v="Danin Maurice"/>
  </r>
  <r>
    <x v="9"/>
    <s v="GV GONESSE- VILLIERS"/>
    <x v="2"/>
    <n v="90"/>
    <x v="0"/>
    <s v="Desaubry Catherine"/>
  </r>
  <r>
    <x v="9"/>
    <s v="GV L'ISLE ADAM PARMAIN"/>
    <x v="0"/>
    <n v="265"/>
    <x v="0"/>
    <s v="Hallonet Béatrice"/>
  </r>
  <r>
    <x v="9"/>
    <s v="CCT GYMNASTIQUE VOLONTAIRE"/>
    <x v="0"/>
    <n v="542"/>
    <x v="0"/>
    <s v="Marlière Marie Bernard"/>
  </r>
  <r>
    <x v="9"/>
    <s v="C S P GYM PIERRELAYE"/>
    <x v="0"/>
    <n v="132"/>
    <x v="0"/>
    <s v="Leroux Nathalie"/>
  </r>
  <r>
    <x v="9"/>
    <s v="GV SURVILLIERS"/>
    <x v="2"/>
    <n v="43"/>
    <x v="0"/>
    <s v="Delhomme Carole"/>
  </r>
  <r>
    <x v="9"/>
    <s v="A.S.O. GYM'TONIK"/>
    <x v="0"/>
    <n v="140"/>
    <x v="0"/>
    <s v="Couvreur Suzanne"/>
  </r>
  <r>
    <x v="9"/>
    <s v="GV de LUZARCHES"/>
    <x v="0"/>
    <n v="193"/>
    <x v="0"/>
    <s v="Bellapantia Laure"/>
  </r>
  <r>
    <x v="9"/>
    <s v="ASH GYMNASTIQUE VOLONTAIRE"/>
    <x v="0"/>
    <n v="273"/>
    <x v="1"/>
    <s v="Rainguez Gérard"/>
  </r>
  <r>
    <x v="9"/>
    <s v="CLUB DE GV FREPILLON"/>
    <x v="0"/>
    <n v="116"/>
    <x v="0"/>
    <s v="Carpentier Aude"/>
  </r>
  <r>
    <x v="9"/>
    <s v="GYM VOLONTAIRE DE MERIEL"/>
    <x v="0"/>
    <n v="250"/>
    <x v="1"/>
    <s v="Brunet Lecomte Michel"/>
  </r>
  <r>
    <x v="9"/>
    <s v="ASSOCIATION G V MENUCOURT"/>
    <x v="0"/>
    <n v="210"/>
    <x v="0"/>
    <s v="Daoudal Nathalie"/>
  </r>
  <r>
    <x v="9"/>
    <s v="ASSOCIATION GV DE PRESLES"/>
    <x v="0"/>
    <n v="98"/>
    <x v="0"/>
    <s v="Herault Catherine"/>
  </r>
  <r>
    <x v="9"/>
    <s v="DYNAMIQUE GYM ERAGNY"/>
    <x v="0"/>
    <n v="303"/>
    <x v="0"/>
    <s v="Fourreau Nadia"/>
  </r>
  <r>
    <x v="9"/>
    <s v="CLUB de l'AMITIE MONTMORENCY"/>
    <x v="0"/>
    <n v="23"/>
    <x v="0"/>
    <s v="Lefort Michèle"/>
  </r>
  <r>
    <x v="9"/>
    <s v="ASMEP JUDO AM GOUSSAINVILLE"/>
    <x v="2"/>
    <n v="150"/>
    <x v="1"/>
    <s v="De Sousa Fernando"/>
  </r>
  <r>
    <x v="9"/>
    <s v="U S M B M"/>
    <x v="0"/>
    <n v="182"/>
    <x v="1"/>
    <s v="Macchietti Jean "/>
  </r>
  <r>
    <x v="9"/>
    <s v="AMACSL SECTION GV ST MARTIN DU TERTRE"/>
    <x v="0"/>
    <n v="39"/>
    <x v="0"/>
    <s v="Prevot Florence "/>
  </r>
  <r>
    <x v="9"/>
    <s v="AMICALE ANCIENS ELEVES ST BRICE GV"/>
    <x v="0"/>
    <n v="55"/>
    <x v="0"/>
    <s v="Pavard Simone  (responsable)"/>
  </r>
  <r>
    <x v="9"/>
    <s v="ASS. GYMNASTIQUE ANDILLOISE"/>
    <x v="0"/>
    <n v="38"/>
    <x v="0"/>
    <s v="Maurel Yveline"/>
  </r>
  <r>
    <x v="9"/>
    <s v="SMGVS JOIE DE VIVRE"/>
    <x v="2"/>
    <n v="188"/>
    <x v="0"/>
    <s v="Biot Marie Louise"/>
  </r>
  <r>
    <x v="9"/>
    <s v="ASSOC GYM VOL NERVILLOISE"/>
    <x v="0"/>
    <n v="33"/>
    <x v="2"/>
    <s v="Leroy Dominique"/>
  </r>
  <r>
    <x v="9"/>
    <s v="GYMNASTIQUE VOLONTAIRE SAGY"/>
    <x v="1"/>
    <n v="30"/>
    <x v="0"/>
    <s v="Guillaumeau Ludivine"/>
  </r>
  <r>
    <x v="9"/>
    <s v="AMICALE LAIQUE GV MERY"/>
    <x v="0"/>
    <n v="220"/>
    <x v="1"/>
    <s v="Baudouin Guy"/>
  </r>
  <r>
    <x v="9"/>
    <s v="VAILLANTE OMNISPORT"/>
    <x v="0"/>
    <n v="62"/>
    <x v="0"/>
    <s v="Tessier Evelyne"/>
  </r>
  <r>
    <x v="9"/>
    <s v="FOYER RURAL DE COURDIMANCHE"/>
    <x v="0"/>
    <n v="56"/>
    <x v="1"/>
    <s v="Guillerm Christophe"/>
  </r>
  <r>
    <x v="9"/>
    <s v="UNION SPORTIVE ARGENTEUIL SECTION GV"/>
    <x v="0"/>
    <n v="59"/>
    <x v="0"/>
    <s v="Allama Malha"/>
  </r>
  <r>
    <x v="9"/>
    <s v="AMICALE SPORTIVE ATTAINVILLOISE"/>
    <x v="0"/>
    <n v="86"/>
    <x v="0"/>
    <s v="Millet Adeline"/>
  </r>
  <r>
    <x v="9"/>
    <s v="GV SAINT GRATIEN"/>
    <x v="0"/>
    <n v="281"/>
    <x v="0"/>
    <s v="François Christiane"/>
  </r>
  <r>
    <x v="9"/>
    <s v="GV DE CHAUMONTEL"/>
    <x v="0"/>
    <n v="293"/>
    <x v="0"/>
    <s v="Bouchalois Joscelyne"/>
  </r>
  <r>
    <x v="9"/>
    <s v="VITAGYM VAUREAL"/>
    <x v="0"/>
    <n v="393"/>
    <x v="0"/>
    <s v="Gary Marie Hélène"/>
  </r>
  <r>
    <x v="9"/>
    <s v="BEAUCHAMP LOISIRS ET CULTURE"/>
    <x v="0"/>
    <n v="63"/>
    <x v="0"/>
    <s v="Givonetti Adeline"/>
  </r>
  <r>
    <x v="9"/>
    <s v="GYM 'VITALITE"/>
    <x v="0"/>
    <n v="74"/>
    <x v="0"/>
    <s v="Demade Michelon Sandrine"/>
  </r>
  <r>
    <x v="9"/>
    <s v="VIVA FORM MONTMAGNY"/>
    <x v="0"/>
    <n v="85"/>
    <x v="0"/>
    <s v="Sirop Josiane"/>
  </r>
  <r>
    <x v="9"/>
    <s v="SPORT EN LIBERTE"/>
    <x v="2"/>
    <n v="155"/>
    <x v="0"/>
    <s v="Desmidt Sylvie"/>
  </r>
  <r>
    <x v="9"/>
    <s v="COMA GYM DE MAINTIEN"/>
    <x v="0"/>
    <n v="205"/>
    <x v="0"/>
    <s v="Evrard Colette (responsable)"/>
  </r>
  <r>
    <x v="9"/>
    <s v="MAISON POUR TOUS BOISSY"/>
    <x v="1"/>
    <n v="134"/>
    <x v="1"/>
    <s v="Blin Jean Luc"/>
  </r>
  <r>
    <x v="9"/>
    <s v="VITAGYM SPORT ET BIEN-ÊTRE"/>
    <x v="0"/>
    <n v="13"/>
    <x v="0"/>
    <s v="Raisin Estelle"/>
  </r>
  <r>
    <x v="9"/>
    <s v="OLYMPIC CLUB JOUY LE MOUTIER"/>
    <x v="0"/>
    <n v="15"/>
    <x v="1"/>
    <s v="Muller Jacques (Responsable)"/>
  </r>
  <r>
    <x v="9"/>
    <s v="ASSOC GYMNIQUE BOUFFEMONT"/>
    <x v="0"/>
    <n v="56"/>
    <x v="0"/>
    <s v="Renault Michèle"/>
  </r>
  <r>
    <x v="9"/>
    <s v="GYMNASTIQUE SPORTIVE AUVERSOISE GSA"/>
    <x v="0"/>
    <n v="27"/>
    <x v="0"/>
    <s v="Méri Sophie"/>
  </r>
  <r>
    <x v="9"/>
    <s v="SAGA"/>
    <x v="2"/>
    <n v="49"/>
    <x v="0"/>
    <s v="Julvecourt Josiane"/>
  </r>
  <r>
    <x v="9"/>
    <s v="CLUB DU BEL AUTOMNE"/>
    <x v="1"/>
    <n v="13"/>
    <x v="1"/>
    <s v="Perrier Pierre"/>
  </r>
  <r>
    <x v="9"/>
    <s v="LES CLES DU BIEN ETRE"/>
    <x v="0"/>
    <n v="115"/>
    <x v="0"/>
    <s v="Torcheux Marie Claude"/>
  </r>
  <r>
    <x v="9"/>
    <s v="CEPPE - FORME DYNAMISME ET BIEN ETRE"/>
    <x v="0"/>
    <n v="418"/>
    <x v="0"/>
    <s v="Suzanne Evelyne"/>
  </r>
  <r>
    <x v="9"/>
    <s v="GV SPORTS EN MARCHE"/>
    <x v="0"/>
    <n v="49"/>
    <x v="0"/>
    <s v="Bougeard Laurence"/>
  </r>
  <r>
    <x v="9"/>
    <s v="COMA section YOGA"/>
    <x v="0"/>
    <n v="126"/>
    <x v="1"/>
    <s v="Raymond Yves (responsable)"/>
  </r>
  <r>
    <x v="9"/>
    <s v="METHODE CECILE PATIN"/>
    <x v="0"/>
    <n v="43"/>
    <x v="0"/>
    <s v="Aries Bénédicte"/>
  </r>
  <r>
    <x v="9"/>
    <s v="Le YOGA de PRESLES"/>
    <x v="0"/>
    <n v="34"/>
    <x v="0"/>
    <s v="Dewit Elisabeth"/>
  </r>
  <r>
    <x v="9"/>
    <s v="ANCRE DE CHINE"/>
    <x v="3"/>
    <n v="2"/>
    <x v="1"/>
    <s v="Vicente Thierry"/>
  </r>
  <r>
    <x v="9"/>
    <s v="JUST FOR YOU"/>
    <x v="0"/>
    <n v="19"/>
    <x v="0"/>
    <s v="Cugney Laurence"/>
  </r>
  <r>
    <x v="9"/>
    <s v="ASSOCIATION GENERALE DES FAMILLES DE TAVERNY"/>
    <x v="0"/>
    <n v="79"/>
    <x v="1"/>
    <s v="Albin Patrick"/>
  </r>
  <r>
    <x v="9"/>
    <s v="AH FITNESS"/>
    <x v="0"/>
    <n v="174"/>
    <x v="0"/>
    <s v="Brun Dubarry Bernadette"/>
  </r>
  <r>
    <x v="9"/>
    <s v="GV Mesniloise"/>
    <x v="2"/>
    <n v="27"/>
    <x v="0"/>
    <s v="Muller Odile"/>
  </r>
  <r>
    <x v="9"/>
    <s v="GYM ET FORME"/>
    <x v="2"/>
    <n v="122"/>
    <x v="0"/>
    <s v="Bleinat Emilie"/>
  </r>
  <r>
    <x v="9"/>
    <s v="CODEP ESPACES"/>
    <x v="3"/>
    <n v="4"/>
    <x v="1"/>
    <s v="Gasté Guy"/>
  </r>
  <r>
    <x v="9"/>
    <s v="PERSAN"/>
    <x v="0"/>
    <n v="24"/>
    <x v="1"/>
    <s v="Baltazard Albert"/>
  </r>
  <r>
    <x v="10"/>
    <s v="EE LA FORET"/>
    <x v="0"/>
    <n v="303"/>
    <x v="2"/>
    <s v="M ROUDAIRE"/>
  </r>
  <r>
    <x v="10"/>
    <s v="L’ESPOIR"/>
    <x v="0"/>
    <n v="322"/>
    <x v="2"/>
    <s v="S CALLOUD"/>
  </r>
  <r>
    <x v="10"/>
    <s v="VAL KALYPSO"/>
    <x v="0"/>
    <n v="210"/>
    <x v="2"/>
    <s v="F PICHARD"/>
  </r>
  <r>
    <x v="10"/>
    <s v="EPINETTTE DE BOISEMONT"/>
    <x v="0"/>
    <n v="471"/>
    <x v="2"/>
    <s v="P ROEDERER"/>
  </r>
  <r>
    <x v="10"/>
    <s v="BOIS DE LA NOUE"/>
    <x v="0"/>
    <n v="101"/>
    <x v="2"/>
    <s v="G GONZALEZ"/>
  </r>
  <r>
    <x v="10"/>
    <s v="LA MONTAGNE"/>
    <x v="0"/>
    <n v="196"/>
    <x v="2"/>
    <s v="M DEBOUTIN"/>
  </r>
  <r>
    <x v="10"/>
    <s v="PORGY EQUITATION "/>
    <x v="1"/>
    <n v="106"/>
    <x v="2"/>
    <s v="N CLAUDEL"/>
  </r>
  <r>
    <x v="10"/>
    <s v="EZANVILLE"/>
    <x v="0"/>
    <n v="182"/>
    <x v="2"/>
    <s v="S LECOMTE"/>
  </r>
  <r>
    <x v="10"/>
    <s v="HARAS DU PARISIS"/>
    <x v="0"/>
    <n v="184"/>
    <x v="2"/>
    <s v="JM COLOT"/>
  </r>
  <r>
    <x v="10"/>
    <s v="LE PIED A L’ETRIER"/>
    <x v="2"/>
    <n v="14"/>
    <x v="2"/>
    <s v="F KORDA"/>
  </r>
  <r>
    <x v="10"/>
    <s v="FRANCONVILLE"/>
    <x v="0"/>
    <n v="367"/>
    <x v="2"/>
    <s v="A LECOMTE"/>
  </r>
  <r>
    <x v="10"/>
    <s v="FONTAINE CYPIERRE"/>
    <x v="2"/>
    <n v="278"/>
    <x v="2"/>
    <s v="N LEPECHEUR"/>
  </r>
  <r>
    <x v="10"/>
    <s v="FERME ERAGNY"/>
    <x v="0"/>
    <n v="111"/>
    <x v="2"/>
    <s v="M DUCROS"/>
  </r>
  <r>
    <x v="10"/>
    <s v="COUER DE L’ISLE ADAM"/>
    <x v="0"/>
    <n v="102"/>
    <x v="2"/>
    <s v="M AUDOUIN"/>
  </r>
  <r>
    <x v="10"/>
    <s v="LA TANIERE"/>
    <x v="1"/>
    <n v="129"/>
    <x v="2"/>
    <s v="JM MILLECAMPS"/>
  </r>
  <r>
    <x v="10"/>
    <s v="PLESSIS BOUCHARD"/>
    <x v="0"/>
    <n v="231"/>
    <x v="2"/>
    <s v="D AUBERT"/>
  </r>
  <r>
    <x v="10"/>
    <s v="LIVILLIERS"/>
    <x v="1"/>
    <n v="204"/>
    <x v="2"/>
    <s v="A MOUTARDE"/>
  </r>
  <r>
    <x v="10"/>
    <s v="VITELLE"/>
    <x v="2"/>
    <n v="63"/>
    <x v="2"/>
    <s v="J E NANSOT"/>
  </r>
  <r>
    <x v="10"/>
    <s v="LA SENTE "/>
    <x v="0"/>
    <n v="54"/>
    <x v="2"/>
    <s v="C FORMA"/>
  </r>
  <r>
    <x v="10"/>
    <s v="LES ACACIAS"/>
    <x v="1"/>
    <n v="138"/>
    <x v="2"/>
    <s v="F LEJOUR"/>
  </r>
  <r>
    <x v="10"/>
    <s v="MERIEL"/>
    <x v="0"/>
    <n v="216"/>
    <x v="2"/>
    <s v="P DARGERE"/>
  </r>
  <r>
    <x v="10"/>
    <s v="VAL FLEURI"/>
    <x v="1"/>
    <n v="166"/>
    <x v="2"/>
    <s v="T MARAIN"/>
  </r>
  <r>
    <x v="10"/>
    <s v="RONQUEROLLES"/>
    <x v="0"/>
    <n v="33"/>
    <x v="2"/>
    <s v="A JUNG"/>
  </r>
  <r>
    <x v="10"/>
    <s v="LE GALOP"/>
    <x v="0"/>
    <n v="293"/>
    <x v="2"/>
    <s v="P E PATOUX"/>
  </r>
  <r>
    <x v="10"/>
    <s v="RANCH ST PRIX"/>
    <x v="0"/>
    <n v="123"/>
    <x v="2"/>
    <s v="JL STEVENS"/>
  </r>
  <r>
    <x v="10"/>
    <s v="HARAS DU VAL"/>
    <x v="0"/>
    <n v="199"/>
    <x v="2"/>
    <s v="N AUVET"/>
  </r>
  <r>
    <x v="10"/>
    <s v="ST WTIZ"/>
    <x v="1"/>
    <n v="68"/>
    <x v="2"/>
    <s v="C PRADET"/>
  </r>
  <r>
    <x v="10"/>
    <s v="LA CHEVEE"/>
    <x v="1"/>
    <n v="83"/>
    <x v="2"/>
    <s v="N VILAIN"/>
  </r>
  <r>
    <x v="10"/>
    <s v="LA CRINIERE"/>
    <x v="1"/>
    <n v="211"/>
    <x v="2"/>
    <s v="L MALBOIS"/>
  </r>
  <r>
    <x v="10"/>
    <s v="VIARMES"/>
    <x v="0"/>
    <n v="123"/>
    <x v="2"/>
    <s v="P LABRE"/>
  </r>
  <r>
    <x v="10"/>
    <s v="LE CENTAURE"/>
    <x v="1"/>
    <n v="280"/>
    <x v="2"/>
    <s v="A JORELLE"/>
  </r>
  <r>
    <x v="10"/>
    <s v="LES TILLEULS"/>
    <x v="0"/>
    <n v="196"/>
    <x v="2"/>
    <s v="L DUQUENOY"/>
  </r>
  <r>
    <x v="10"/>
    <s v="US M DASSAULT"/>
    <x v="0"/>
    <n v="15"/>
    <x v="2"/>
    <s v="S DESSESSART"/>
  </r>
  <r>
    <x v="10"/>
    <s v="BEAUMONT/OISE"/>
    <x v="0"/>
    <n v="251"/>
    <x v="2"/>
    <s v="V BOTTALLA"/>
  </r>
  <r>
    <x v="10"/>
    <s v="CHARVAUX"/>
    <x v="0"/>
    <n v="71"/>
    <x v="2"/>
    <s v="JC DANCOING"/>
  </r>
  <r>
    <x v="10"/>
    <s v="BOUFFEMONT"/>
    <x v="0"/>
    <n v="73"/>
    <x v="2"/>
    <s v="A ACKET"/>
  </r>
  <r>
    <x v="10"/>
    <s v="HARAS D’YZIEUX"/>
    <x v="0"/>
    <n v="38"/>
    <x v="2"/>
    <s v="P LECOUYER"/>
  </r>
  <r>
    <x v="10"/>
    <s v="COURDIMANCHE"/>
    <x v="0"/>
    <n v="20"/>
    <x v="2"/>
    <s v="P CLAVEQUIN"/>
  </r>
  <r>
    <x v="10"/>
    <s v="TRIANON"/>
    <x v="0"/>
    <n v="46"/>
    <x v="2"/>
    <s v="A DE HULSTER"/>
  </r>
  <r>
    <x v="10"/>
    <s v="EQUITATION CONSEILS"/>
    <x v="0"/>
    <n v="6"/>
    <x v="2"/>
    <s v="J LEMEUNIER"/>
  </r>
  <r>
    <x v="10"/>
    <s v="GADANCOURT"/>
    <x v="0"/>
    <n v="26"/>
    <x v="2"/>
    <s v="G DE MEAUX"/>
  </r>
  <r>
    <x v="10"/>
    <s v="GENAINVILLE"/>
    <x v="1"/>
    <n v="111"/>
    <x v="2"/>
    <s v="A SMATI"/>
  </r>
  <r>
    <x v="10"/>
    <s v="GOUSSAINVILLE"/>
    <x v="2"/>
    <n v="21"/>
    <x v="2"/>
    <s v="P GRIFFOND"/>
  </r>
  <r>
    <x v="10"/>
    <s v="DRUMAL"/>
    <x v="1"/>
    <n v="17"/>
    <x v="2"/>
    <s v="C LECOMTE"/>
  </r>
  <r>
    <x v="10"/>
    <s v="CROIX ST ANTOINE"/>
    <x v="0"/>
    <n v="72"/>
    <x v="2"/>
    <s v="G BERTRAND"/>
  </r>
  <r>
    <x v="10"/>
    <s v="OREE LA FORET"/>
    <x v="0"/>
    <n v="217"/>
    <x v="2"/>
    <s v="D FRUCHET"/>
  </r>
  <r>
    <x v="10"/>
    <s v="L’UFREE"/>
    <x v="0"/>
    <n v="84"/>
    <x v="2"/>
    <s v="F BRUNET"/>
  </r>
  <r>
    <x v="10"/>
    <s v="JM BAZIRE"/>
    <x v="2"/>
    <n v="33"/>
    <x v="2"/>
    <s v="JM BAZIRE"/>
  </r>
  <r>
    <x v="10"/>
    <s v="VAL D’Y"/>
    <x v="0"/>
    <n v="27"/>
    <x v="2"/>
    <s v="M PILLIARD"/>
  </r>
  <r>
    <x v="10"/>
    <s v="CHAUMONTEL EQUESTRE"/>
    <x v="0"/>
    <n v="41"/>
    <x v="2"/>
    <s v="G KIEFFER"/>
  </r>
  <r>
    <x v="10"/>
    <s v="G CAUBET"/>
    <x v="0"/>
    <n v="27"/>
    <x v="2"/>
    <s v="J JOSSERAND"/>
  </r>
  <r>
    <x v="10"/>
    <s v="HARAS D’IRKA"/>
    <x v="0"/>
    <n v="26"/>
    <x v="2"/>
    <s v="G VIDAL"/>
  </r>
  <r>
    <x v="10"/>
    <s v="MONTMAGNY"/>
    <x v="0"/>
    <n v="55"/>
    <x v="2"/>
    <s v="S TOUITOU"/>
  </r>
  <r>
    <x v="10"/>
    <s v="PRESLES"/>
    <x v="0"/>
    <n v="33"/>
    <x v="2"/>
    <s v="J THORY"/>
  </r>
  <r>
    <x v="10"/>
    <s v="CB TOURISME "/>
    <x v="0"/>
    <n v="13"/>
    <x v="2"/>
    <s v="C BOUHET"/>
  </r>
  <r>
    <x v="10"/>
    <s v="SAPINERER"/>
    <x v="0"/>
    <n v="49"/>
    <x v="2"/>
    <s v="G CORBIER"/>
  </r>
  <r>
    <x v="10"/>
    <s v="LA FONTAINE"/>
    <x v="0"/>
    <n v="27"/>
    <x v="2"/>
    <s v="A CHAUVET"/>
  </r>
  <r>
    <x v="10"/>
    <s v="LA CHAPELLE"/>
    <x v="1"/>
    <n v="53"/>
    <x v="2"/>
    <s v="JL BUSSEREAU"/>
  </r>
  <r>
    <x v="10"/>
    <s v="MEZIERES"/>
    <x v="0"/>
    <n v="27"/>
    <x v="2"/>
    <s v="N CHARTIER"/>
  </r>
  <r>
    <x v="10"/>
    <s v="L’HAUTIL"/>
    <x v="0"/>
    <n v="48"/>
    <x v="2"/>
    <s v="C CROSETTI"/>
  </r>
  <r>
    <x v="10"/>
    <s v="LA LICORNE"/>
    <x v="1"/>
    <n v="25"/>
    <x v="2"/>
    <s v="V BENAYOUN"/>
  </r>
  <r>
    <x v="10"/>
    <s v="DSB DRESSAGE"/>
    <x v="0"/>
    <n v="34"/>
    <x v="2"/>
    <s v="S BRIEUSSEL"/>
  </r>
  <r>
    <x v="10"/>
    <s v="LE MOULIN"/>
    <x v="0"/>
    <n v="17"/>
    <x v="2"/>
    <s v="E CREVECOEUR"/>
  </r>
  <r>
    <x v="10"/>
    <s v="LES CRETES"/>
    <x v="1"/>
    <n v="1"/>
    <x v="2"/>
    <s v="I LINDEKER"/>
  </r>
  <r>
    <x v="10"/>
    <s v="CROIX BLANCHE"/>
    <x v="0"/>
    <n v="1"/>
    <x v="2"/>
    <s v="R BOURDIN"/>
  </r>
  <r>
    <x v="10"/>
    <s v="CHATEAUX CHAMPLATREUX"/>
    <x v="0"/>
    <n v="32"/>
    <x v="2"/>
    <s v="G CARDON"/>
  </r>
  <r>
    <x v="10"/>
    <s v="DOMAINE DE LA COUTURE"/>
    <x v="0"/>
    <n v="30"/>
    <x v="2"/>
    <s v="A SEYNAHAVE"/>
  </r>
  <r>
    <x v="10"/>
    <s v="LES PEUPLIERS"/>
    <x v="1"/>
    <n v="21"/>
    <x v="2"/>
    <s v="JL MOREAU"/>
  </r>
  <r>
    <x v="10"/>
    <s v="HARAVILLIERS"/>
    <x v="0"/>
    <n v="22"/>
    <x v="2"/>
    <s v="M RABAUD"/>
  </r>
  <r>
    <x v="10"/>
    <s v="CASTELIN"/>
    <x v="0"/>
    <n v="19"/>
    <x v="2"/>
    <s v="C CASTELIN"/>
  </r>
  <r>
    <x v="10"/>
    <s v="JUM EUROPE ORGANISATION"/>
    <x v="0"/>
    <n v="2"/>
    <x v="2"/>
    <s v="JF JUNG"/>
  </r>
  <r>
    <x v="10"/>
    <s v="LENOIR"/>
    <x v="1"/>
    <n v="28"/>
    <x v="2"/>
    <s v="A LENOIR"/>
  </r>
  <r>
    <x v="10"/>
    <s v="MAFFLIERS"/>
    <x v="0"/>
    <n v="30"/>
    <x v="2"/>
    <s v="B POMPIDOU"/>
  </r>
  <r>
    <x v="10"/>
    <s v="EQUILIBRE"/>
    <x v="0"/>
    <n v="60"/>
    <x v="2"/>
    <s v="F CHARROT"/>
  </r>
  <r>
    <x v="10"/>
    <s v="EL SUERTE"/>
    <x v="0"/>
    <n v="19"/>
    <x v="2"/>
    <s v="C MARY"/>
  </r>
  <r>
    <x v="10"/>
    <s v="NUCOURT"/>
    <x v="1"/>
    <n v="8"/>
    <x v="2"/>
    <s v="E BAUER"/>
  </r>
  <r>
    <x v="10"/>
    <s v="SOUFFLE AU COEUR"/>
    <x v="0"/>
    <n v="4"/>
    <x v="2"/>
    <s v="H FARASHI"/>
  </r>
  <r>
    <x v="10"/>
    <s v="3 VALLEES"/>
    <x v="0"/>
    <n v="19"/>
    <x v="2"/>
    <s v="S DIGAIRE"/>
  </r>
  <r>
    <x v="10"/>
    <s v="ENDURANCE VEXIN"/>
    <x v="1"/>
    <n v="0"/>
    <x v="2"/>
    <s v="E GUILLEMIN"/>
  </r>
  <r>
    <x v="10"/>
    <s v="PISCOP EQUESTRES"/>
    <x v="0"/>
    <n v="15"/>
    <x v="2"/>
    <s v="H COCHET"/>
  </r>
  <r>
    <x v="10"/>
    <s v="CHILARD"/>
    <x v="1"/>
    <n v="25"/>
    <x v="2"/>
    <s v="C CHILARD"/>
  </r>
  <r>
    <x v="10"/>
    <s v="EQUI NATURE"/>
    <x v="1"/>
    <n v="24"/>
    <x v="2"/>
    <s v="V DE SMEDT"/>
  </r>
  <r>
    <x v="10"/>
    <s v="LES TILLEULS"/>
    <x v="0"/>
    <n v="10"/>
    <x v="2"/>
    <s v="L DUQUENOY"/>
  </r>
  <r>
    <x v="10"/>
    <s v="LES CAMARGUAIS"/>
    <x v="1"/>
    <n v="7"/>
    <x v="2"/>
    <s v="P ALVERNY"/>
  </r>
  <r>
    <x v="11"/>
    <s v="Magny en Vexin"/>
    <x v="1"/>
    <n v="10"/>
    <x v="1"/>
    <s v="Bruno LECOQ"/>
  </r>
  <r>
    <x v="11"/>
    <s v="Fosses Escrime"/>
    <x v="2"/>
    <n v="17"/>
    <x v="1"/>
    <s v="Sébastien BICHASCLE"/>
  </r>
  <r>
    <x v="11"/>
    <s v="L'Isle-Adam"/>
    <x v="0"/>
    <n v="28"/>
    <x v="1"/>
    <s v="Jean-Louis BOUGLE"/>
  </r>
  <r>
    <x v="11"/>
    <s v="Cercle d'Escrime de Beaumont-sur-Oise"/>
    <x v="0"/>
    <n v="12"/>
    <x v="1"/>
    <s v="Jérémy PICOL"/>
  </r>
  <r>
    <x v="11"/>
    <s v="ASC Escrime Cormeilles en Parisis"/>
    <x v="0"/>
    <n v="32"/>
    <x v="1"/>
    <s v="Pascal GILLES"/>
  </r>
  <r>
    <x v="11"/>
    <s v="La Riposte Ignonaise Montigny les Cormeilles"/>
    <x v="0"/>
    <n v="21"/>
    <x v="0"/>
    <s v="Monique VARDI"/>
  </r>
  <r>
    <x v="11"/>
    <s v="Escrime Club de Franconville"/>
    <x v="0"/>
    <n v="15"/>
    <x v="0"/>
    <s v="Sandrine DUPROIX"/>
  </r>
  <r>
    <x v="11"/>
    <s v="Cercle d'Escrime de Gonesse"/>
    <x v="2"/>
    <n v="9"/>
    <x v="1"/>
    <s v="Patrick CHAUVIN"/>
  </r>
  <r>
    <x v="11"/>
    <s v="AS Herblay sur Seine"/>
    <x v="0"/>
    <n v="20"/>
    <x v="1"/>
    <s v="Eric PALISSON"/>
  </r>
  <r>
    <x v="11"/>
    <s v="C.S. Le Plessis Bouchard"/>
    <x v="0"/>
    <n v="15"/>
    <x v="1"/>
    <s v="François CAGNON"/>
  </r>
  <r>
    <x v="11"/>
    <s v="Isle-Adam CR"/>
    <x v="0"/>
    <n v="2"/>
    <x v="1"/>
    <s v="Jean-Louis BOUGLE"/>
  </r>
  <r>
    <x v="11"/>
    <s v="Cercle d'Escrime de Saint Gratien"/>
    <x v="0"/>
    <n v="46"/>
    <x v="1"/>
    <s v="Raphaël FAURE"/>
  </r>
  <r>
    <x v="11"/>
    <s v="Cercle d'Escrime de Cergy"/>
    <x v="0"/>
    <n v="21"/>
    <x v="1"/>
    <s v="Jean GARRIGUE"/>
  </r>
  <r>
    <x v="11"/>
    <s v="Cercle d'Escrime de Vauréal"/>
    <x v="0"/>
    <n v="6"/>
    <x v="0"/>
    <s v="Carole LEISEN"/>
  </r>
  <r>
    <x v="11"/>
    <s v="Escrime Club de Menucourt"/>
    <x v="0"/>
    <n v="4"/>
    <x v="1"/>
    <s v="Pierre-Louis HOUDELETTE"/>
  </r>
  <r>
    <x v="11"/>
    <s v="CREATIF"/>
    <x v="3"/>
    <s v="NC"/>
    <x v="0"/>
    <s v="Aurélie DEYME"/>
  </r>
  <r>
    <x v="11"/>
    <s v="CS Jouy-le-Moutier"/>
    <x v="0"/>
    <s v="NC"/>
    <x v="1"/>
    <s v="Bruno FIORIO"/>
  </r>
  <r>
    <x v="11"/>
    <s v="La Mesnie de Minn Wulf"/>
    <x v="3"/>
    <s v="NC "/>
    <x v="1"/>
    <s v="Marc AIM"/>
  </r>
  <r>
    <x v="12"/>
    <s v="AVENIRS DE SURVILLIERS"/>
    <x v="2"/>
    <n v="2"/>
    <x v="1"/>
    <s v="DAHMAT Hocine"/>
  </r>
  <r>
    <x v="12"/>
    <s v="CORMEILLAIS ACS"/>
    <x v="0"/>
    <n v="16"/>
    <x v="1"/>
    <s v="BOUAZIZ Abd El Malk"/>
  </r>
  <r>
    <x v="12"/>
    <s v="FRANCONVILLE FC"/>
    <x v="0"/>
    <n v="67"/>
    <x v="1"/>
    <s v="MARCHAND François"/>
  </r>
  <r>
    <x v="12"/>
    <s v="BEAUCHAMP AS"/>
    <x v="0"/>
    <n v="6"/>
    <x v="1"/>
    <s v="ESSART Jean Michel"/>
  </r>
  <r>
    <x v="12"/>
    <s v="VIARMES ASNIERES OL"/>
    <x v="0"/>
    <n v="29"/>
    <x v="1"/>
    <s v="CRISTOBAL Xavier"/>
  </r>
  <r>
    <x v="12"/>
    <s v="MAGNY EN VEXIN FC"/>
    <x v="1"/>
    <n v="34"/>
    <x v="1"/>
    <s v="BAIDA Olivier"/>
  </r>
  <r>
    <x v="12"/>
    <s v="SARCELLES AAS"/>
    <x v="2"/>
    <n v="179"/>
    <x v="1"/>
    <s v="COULIBALY Boubakar"/>
  </r>
  <r>
    <x v="12"/>
    <s v="ST PRIX ES"/>
    <x v="0"/>
    <n v="40"/>
    <x v="1"/>
    <s v="VIVIERE Philippe"/>
  </r>
  <r>
    <x v="12"/>
    <s v="SOISY ANDILLY MARGENCY FC"/>
    <x v="0"/>
    <n v="59"/>
    <x v="1"/>
    <s v="GOIDIN Laurent"/>
  </r>
  <r>
    <x v="12"/>
    <s v="AUVERS ENNERY FC"/>
    <x v="1"/>
    <n v="5"/>
    <x v="1"/>
    <s v="CHUPPE Philippe"/>
  </r>
  <r>
    <x v="12"/>
    <s v="GONESSE RC"/>
    <x v="2"/>
    <n v="64"/>
    <x v="1"/>
    <s v="MENDES Nuno Miguel"/>
  </r>
  <r>
    <x v="12"/>
    <s v="AS ERAGNY FC"/>
    <x v="0"/>
    <n v="34"/>
    <x v="1"/>
    <s v="BARBERON Patrick"/>
  </r>
  <r>
    <x v="12"/>
    <s v="ROISSY EN France FC"/>
    <x v="2"/>
    <n v="10"/>
    <x v="1"/>
    <s v="POUILLARD Eric"/>
  </r>
  <r>
    <x v="12"/>
    <s v="MONTIGNY LES CORMEILLES F.O"/>
    <x v="0"/>
    <n v="3"/>
    <x v="1"/>
    <s v="MENDY Marc"/>
  </r>
  <r>
    <x v="12"/>
    <s v="DOMONT FC"/>
    <x v="0"/>
    <n v="42"/>
    <x v="0"/>
    <s v="PASCREAU Marie Jeanne"/>
  </r>
  <r>
    <x v="12"/>
    <s v="SANNOIS ST GRATIEN ENTENTE"/>
    <x v="0"/>
    <n v="91"/>
    <x v="1"/>
    <s v="WILLIOT Bernard"/>
  </r>
  <r>
    <x v="12"/>
    <s v="MONTMAGNY SPORTS"/>
    <x v="0"/>
    <n v="3"/>
    <x v="1"/>
    <s v="METE Soilyho"/>
  </r>
  <r>
    <x v="12"/>
    <s v="ST OUEN L’AUMONE AS"/>
    <x v="0"/>
    <n v="66"/>
    <x v="1"/>
    <s v="MOUKRIM Toufik"/>
  </r>
  <r>
    <x v="12"/>
    <s v="PRESLES USL"/>
    <x v="0"/>
    <n v="6"/>
    <x v="1"/>
    <s v="LEVERT Jérôme"/>
  </r>
  <r>
    <x v="12"/>
    <s v="EAUBONNE CSM"/>
    <x v="0"/>
    <n v="15"/>
    <x v="1"/>
    <s v="NORKI Rachid"/>
  </r>
  <r>
    <x v="12"/>
    <s v="MARLY LA VILLE ES"/>
    <x v="2"/>
    <n v="33"/>
    <x v="1"/>
    <s v="KAZUMBA IMUINE Paulin"/>
  </r>
  <r>
    <x v="12"/>
    <s v="THILLAY VAUD’HERLAND ESM"/>
    <x v="2"/>
    <n v="24"/>
    <x v="1"/>
    <s v="TERKI Hocine"/>
  </r>
  <r>
    <x v="12"/>
    <s v="OSNY FC"/>
    <x v="0"/>
    <n v="56"/>
    <x v="1"/>
    <s v="ZIDAHNAL Farid"/>
  </r>
  <r>
    <x v="12"/>
    <s v="PUISEUX LOUVRES FC"/>
    <x v="2"/>
    <n v="28"/>
    <x v="1"/>
    <s v="ZENNADI Mohand"/>
  </r>
  <r>
    <x v="12"/>
    <s v="ARNOUVILLE AS"/>
    <x v="2"/>
    <n v="3"/>
    <x v="1"/>
    <s v="ASSUIED Steeven"/>
  </r>
  <r>
    <x v="12"/>
    <s v="GARGES FCM"/>
    <x v="2"/>
    <n v="111"/>
    <x v="1"/>
    <s v="AGDID Mbarek"/>
  </r>
  <r>
    <x v="12"/>
    <s v="GROSLAY FC"/>
    <x v="0"/>
    <n v="19"/>
    <x v="1"/>
    <s v="WEGLINSKI Alexandre"/>
  </r>
  <r>
    <x v="12"/>
    <s v="VEMARS ST WITZ FC"/>
    <x v="2"/>
    <n v="6"/>
    <x v="1"/>
    <s v="GAKOU Issa"/>
  </r>
  <r>
    <x v="12"/>
    <s v="BRUYERES BERNES USM"/>
    <x v="0"/>
    <n v="13"/>
    <x v="1"/>
    <s v="LOPES DA SILVA Alexandre"/>
  </r>
  <r>
    <x v="12"/>
    <s v="GAFEPB"/>
    <x v="0"/>
    <n v="13"/>
    <x v="0"/>
    <s v="BOUZNAD Malika"/>
  </r>
  <r>
    <x v="12"/>
    <s v="ST BRICE FC"/>
    <x v="0"/>
    <n v="60"/>
    <x v="1"/>
    <s v="GONCALVES BANDEIRA José"/>
  </r>
  <r>
    <x v="12"/>
    <s v="FONTENAY EN PARISIS FC"/>
    <x v="0"/>
    <n v="1"/>
    <x v="1"/>
    <s v="SCHILT Laurent"/>
  </r>
  <r>
    <x v="12"/>
    <s v="MENUCOURT AS"/>
    <x v="0"/>
    <n v="8"/>
    <x v="1"/>
    <s v="LABBE Christian"/>
  </r>
  <r>
    <x v="12"/>
    <s v="ECOUEN FC"/>
    <x v="0"/>
    <n v="21"/>
    <x v="1"/>
    <s v="TORTORA Georges"/>
  </r>
  <r>
    <x v="12"/>
    <s v="BELLOY ST MARTIN ASC"/>
    <x v="0"/>
    <n v="26"/>
    <x v="1"/>
    <s v="LESAFFRE Thierry"/>
  </r>
  <r>
    <x v="12"/>
    <s v="PARMAIN AC"/>
    <x v="0"/>
    <n v="8"/>
    <x v="1"/>
    <s v="WAMBECKE Alain"/>
  </r>
  <r>
    <x v="12"/>
    <s v="BEZONS USO"/>
    <x v="0"/>
    <n v="53"/>
    <x v="1"/>
    <s v="DJE Herman"/>
  </r>
  <r>
    <x v="12"/>
    <s v="NEUVILLE SUR OISE AS"/>
    <x v="0"/>
    <n v="3"/>
    <x v="1"/>
    <s v="POMARES Franck"/>
  </r>
  <r>
    <x v="12"/>
    <s v="JOUY LE MOUTIER FC"/>
    <x v="0"/>
    <n v="34"/>
    <x v="1"/>
    <s v="GARCIA DA SILVA Francisco"/>
  </r>
  <r>
    <x v="12"/>
    <s v="VAUREAL FCM"/>
    <x v="0"/>
    <n v="3"/>
    <x v="0"/>
    <s v="BOULTAME Rida"/>
  </r>
  <r>
    <x v="12"/>
    <s v="ADAMOIS OL"/>
    <x v="0"/>
    <n v="3"/>
    <x v="1"/>
    <s v="LIEVRE Vincent"/>
  </r>
  <r>
    <x v="12"/>
    <s v="FOSSES UF"/>
    <x v="2"/>
    <n v="79"/>
    <x v="1"/>
    <s v="VINCENTELLI Jean Christophe"/>
  </r>
  <r>
    <x v="12"/>
    <s v="COURDIMANCHE AS"/>
    <x v="0"/>
    <n v="10"/>
    <x v="1"/>
    <s v="MELLUL Jean François"/>
  </r>
  <r>
    <x v="12"/>
    <s v="MONTMORENCY FC"/>
    <x v="0"/>
    <n v="65"/>
    <x v="1"/>
    <s v="DIAKUNUA Bertrand"/>
  </r>
  <r>
    <x v="12"/>
    <s v="COSMOPOLITAN CLUB DE TAVERNY"/>
    <x v="0"/>
    <n v="42"/>
    <x v="1"/>
    <s v="NOBLAYE Yannick"/>
  </r>
  <r>
    <x v="12"/>
    <s v="DEUIL ENGHIEN FC"/>
    <x v="0"/>
    <n v="20"/>
    <x v="1"/>
    <s v="ZANZOURI Didier"/>
  </r>
  <r>
    <x v="12"/>
    <s v="CHARS AS"/>
    <x v="1"/>
    <n v="1"/>
    <x v="1"/>
    <s v="WAGNON Gilles"/>
  </r>
  <r>
    <x v="12"/>
    <s v="ST LEU 95 FC"/>
    <x v="0"/>
    <n v="55"/>
    <x v="1"/>
    <s v="LOPES Emmanuel"/>
  </r>
  <r>
    <x v="12"/>
    <s v="FUTSAL CLUB ELITE DE SANNOIS"/>
    <x v="0"/>
    <n v="3"/>
    <x v="1"/>
    <s v="BENNACEUR THERESINE Karim"/>
  </r>
  <r>
    <x v="12"/>
    <s v="VILLIERS LE BEL JS"/>
    <x v="2"/>
    <n v="15"/>
    <x v="1"/>
    <s v="FIE Wilfred"/>
  </r>
  <r>
    <x v="12"/>
    <s v="PERSAN US 03"/>
    <x v="0"/>
    <n v="37"/>
    <x v="1"/>
    <s v="NDIAYE Ousmane"/>
  </r>
  <r>
    <x v="12"/>
    <s v="PONTOISIENNE JS"/>
    <x v="0"/>
    <n v="17"/>
    <x v="1"/>
    <s v="LEWATE Yimcheu"/>
  </r>
  <r>
    <x v="12"/>
    <s v="ERMONT AS"/>
    <x v="0"/>
    <n v="54"/>
    <x v="1"/>
    <s v="RENAI Sami"/>
  </r>
  <r>
    <x v="12"/>
    <s v="ARGENTEUIL FC"/>
    <x v="0"/>
    <n v="65"/>
    <x v="1"/>
    <s v="COULIBALY Abdoulaye"/>
  </r>
  <r>
    <x v="12"/>
    <s v="ECLAIR DE PUISEUX AS"/>
    <x v="2"/>
    <n v="2"/>
    <x v="1"/>
    <s v="TODESCO Adrien"/>
  </r>
  <r>
    <x v="12"/>
    <s v="CERGY PONTOISE FC"/>
    <x v="0"/>
    <n v="70"/>
    <x v="1"/>
    <s v="DIA Pap Mar"/>
  </r>
  <r>
    <x v="12"/>
    <s v="GARGES DJIBSON ASC"/>
    <x v="2"/>
    <n v="18"/>
    <x v="1"/>
    <s v="NIANGHANE Moussa"/>
  </r>
  <r>
    <x v="12"/>
    <s v="CHAMPAGNE 95 SFC"/>
    <x v="0"/>
    <n v="22"/>
    <x v="1"/>
    <s v="JONQUOIS Thierry"/>
  </r>
  <r>
    <x v="12"/>
    <s v="ACADEMIE FOOTBALL CLUB ERMONT"/>
    <x v="0"/>
    <n v="6"/>
    <x v="1"/>
    <s v="FREITAS Joao"/>
  </r>
  <r>
    <x v="12"/>
    <s v="VEXIN AS"/>
    <x v="1"/>
    <n v="2"/>
    <x v="1"/>
    <s v="LE NOURS Jean Michel"/>
  </r>
  <r>
    <x v="12"/>
    <s v="PARIS CLUB DE GOUSSAINVILLE FUTSAL"/>
    <x v="2"/>
    <n v="7"/>
    <x v="1"/>
    <s v="AMARI Toufik"/>
  </r>
  <r>
    <x v="12"/>
    <s v="ENT.MERY MERIEL BESSANCOURT"/>
    <x v="0"/>
    <n v="34"/>
    <x v="1"/>
    <s v="FALEMPIN Patrick"/>
  </r>
  <r>
    <x v="12"/>
    <s v="PARISIS FC"/>
    <x v="0"/>
    <n v="134"/>
    <x v="1"/>
    <s v="CALVE Philippe"/>
  </r>
  <r>
    <x v="12"/>
    <s v="CLUB FUTSAL JEUNESSE PERSANAISE"/>
    <x v="0"/>
    <n v="15"/>
    <x v="0"/>
    <s v="CALINOIU Maria"/>
  </r>
  <r>
    <x v="12"/>
    <s v="MARCOUVILLE CITY CERGY PONTOISE"/>
    <x v="0"/>
    <n v="3"/>
    <x v="1"/>
    <s v="FRANCERIES Cedric"/>
  </r>
  <r>
    <x v="12"/>
    <s v="GOUSSAINVILLE FC"/>
    <x v="2"/>
    <n v="26"/>
    <x v="1"/>
    <s v="BENRAMDANE Mehdi"/>
  </r>
  <r>
    <x v="12"/>
    <s v="ENT.BEAUMONT MOURS"/>
    <x v="0"/>
    <n v="35"/>
    <x v="1"/>
    <s v="BELGACEM Sofiane"/>
  </r>
  <r>
    <x v="12"/>
    <s v="FOOT INDOOR LOISIR"/>
    <x v="2"/>
    <n v="2"/>
    <x v="1"/>
    <s v="OUMOKRANE Azes"/>
  </r>
  <r>
    <x v="12"/>
    <s v="CHAUMONTEL LUZARCHES AS"/>
    <x v="0"/>
    <n v="25"/>
    <x v="1"/>
    <s v="BINARD Wilfried"/>
  </r>
  <r>
    <x v="12"/>
    <s v="RACING CLUB D’ARGENTEUIL"/>
    <x v="0"/>
    <n v="98"/>
    <x v="1"/>
    <s v="KEITA Mohamed"/>
  </r>
  <r>
    <x v="12"/>
    <s v="ATTAINVILLE FUTSAL"/>
    <x v="0"/>
    <n v="3"/>
    <x v="1"/>
    <s v="VERNET Olivier"/>
  </r>
  <r>
    <x v="13"/>
    <s v="COUGARS"/>
    <x v="0"/>
    <n v="6"/>
    <x v="1"/>
    <s v="M. BAGO STEPHANE"/>
  </r>
  <r>
    <x v="13"/>
    <s v="GAULOIS"/>
    <x v="0"/>
    <n v="1"/>
    <x v="1"/>
    <s v="M. DELACOUR ROMAIN"/>
  </r>
  <r>
    <x v="13"/>
    <s v="GEM’S"/>
    <x v="0"/>
    <n v="136"/>
    <x v="0"/>
    <s v="Mme MARCEAU CECILE"/>
  </r>
  <r>
    <x v="13"/>
    <s v="PENDRAGONS"/>
    <x v="0"/>
    <n v="1"/>
    <x v="1"/>
    <s v="M. BESANCON DULAC ALAIN"/>
  </r>
  <r>
    <x v="14"/>
    <s v="Golf de Domont Montmorency"/>
    <x v="0"/>
    <m/>
    <x v="1"/>
    <s v="Alain MALIGE"/>
  </r>
  <r>
    <x v="14"/>
    <s v="Gold de Seraincourt"/>
    <x v="1"/>
    <m/>
    <x v="1"/>
    <s v="Michael STAM"/>
  </r>
  <r>
    <x v="14"/>
    <s v="Golf de Villarceaux"/>
    <x v="1"/>
    <m/>
    <x v="1"/>
    <s v="Jacques BOTTO"/>
  </r>
  <r>
    <x v="14"/>
    <s v="AS Air France"/>
    <x v="0"/>
    <m/>
    <x v="1"/>
    <s v="Jacky LACHAUX"/>
  </r>
  <r>
    <x v="14"/>
    <s v="As du Golf d'Ecancourt"/>
    <x v="1"/>
    <m/>
    <x v="1"/>
    <s v="Jean-Jacques DANIEL"/>
  </r>
  <r>
    <x v="14"/>
    <s v="AS Clubs 3M"/>
    <x v="1"/>
    <m/>
    <x v="0"/>
    <s v="Gaëlle COLLAS"/>
  </r>
  <r>
    <x v="14"/>
    <s v="Amicale Sportive Air France"/>
    <x v="1"/>
    <m/>
    <x v="1"/>
    <s v="Jacky LACHAUX"/>
  </r>
  <r>
    <x v="14"/>
    <s v="Golf Bluegreen Bellfontaine"/>
    <x v="0"/>
    <m/>
    <x v="1"/>
    <s v="Michel BONFATI-SABIONI"/>
  </r>
  <r>
    <x v="14"/>
    <s v="Golf de Gonesse"/>
    <x v="2"/>
    <m/>
    <x v="1"/>
    <s v="Francis CHARLES"/>
  </r>
  <r>
    <x v="14"/>
    <s v="Garden Golf de Cergy"/>
    <x v="0"/>
    <m/>
    <x v="1"/>
    <s v="Karim BETINA"/>
  </r>
  <r>
    <x v="14"/>
    <s v="Golf club d'Ableige"/>
    <x v="1"/>
    <m/>
    <x v="1"/>
    <s v="Michel GUILBERT"/>
  </r>
  <r>
    <x v="14"/>
    <s v="Golf Hotel de Montgriffon"/>
    <x v="0"/>
    <m/>
    <x v="1"/>
    <s v="Alain HERBET"/>
  </r>
  <r>
    <x v="14"/>
    <s v="Union Sportive Marcel Dassault"/>
    <x v="0"/>
    <m/>
    <x v="1"/>
    <s v="Michel RUELLO"/>
  </r>
  <r>
    <x v="14"/>
    <s v="Ugolf Gadancourt"/>
    <x v="0"/>
    <m/>
    <x v="1"/>
    <s v="Xavier FLAMENT"/>
  </r>
  <r>
    <x v="14"/>
    <s v="Paris International Golf Club"/>
    <x v="0"/>
    <m/>
    <x v="1"/>
    <s v="Jean-Louis ZADIKIAN"/>
  </r>
  <r>
    <x v="14"/>
    <s v="AS Atos IDF"/>
    <x v="0"/>
    <m/>
    <x v="1"/>
    <s v="Burno OECHSLIN"/>
  </r>
  <r>
    <x v="14"/>
    <s v="Ermont Golf Association"/>
    <x v="0"/>
    <m/>
    <x v="1"/>
    <s v="Didier PAMART"/>
  </r>
  <r>
    <x v="14"/>
    <s v="Club culturel et sportif SAGEM"/>
    <x v="0"/>
    <m/>
    <x v="1"/>
    <s v="Daniel BESNIER"/>
  </r>
  <r>
    <x v="14"/>
    <s v="Golf de l'Isle Adam"/>
    <x v="0"/>
    <m/>
    <x v="1"/>
    <s v="Richard TZAROUKIAN"/>
  </r>
  <r>
    <x v="14"/>
    <s v="ASPTT Cergy Pontoise"/>
    <x v="0"/>
    <m/>
    <x v="1"/>
    <s v="Hervé L'HOTE"/>
  </r>
  <r>
    <x v="14"/>
    <s v="Daily Golf SOA"/>
    <x v="0"/>
    <m/>
    <x v="1"/>
    <s v="Alain DUVARD"/>
  </r>
  <r>
    <x v="14"/>
    <s v="USMBM"/>
    <x v="0"/>
    <m/>
    <x v="0"/>
    <s v="Nathalie FERREUX"/>
  </r>
  <r>
    <x v="14"/>
    <s v="Avogue"/>
    <x v="0"/>
    <m/>
    <x v="1"/>
    <s v="Jean-Claude KOWALCZYK"/>
  </r>
  <r>
    <x v="14"/>
    <s v="MIPS-EMC2"/>
    <x v="0"/>
    <m/>
    <x v="1"/>
    <s v="Frédéric LADOUCE"/>
  </r>
  <r>
    <x v="14"/>
    <s v="Golf de Maubuisson"/>
    <x v="0"/>
    <m/>
    <x v="1"/>
    <s v="Paul LATOUCHE"/>
  </r>
  <r>
    <x v="14"/>
    <s v="AS Union sportive Energie Golf 95"/>
    <x v="0"/>
    <m/>
    <x v="1"/>
    <s v="Pierre BRUN"/>
  </r>
  <r>
    <x v="14"/>
    <s v="USP Val d'Oise"/>
    <x v="0"/>
    <m/>
    <x v="1"/>
    <s v="André VERLANDE"/>
  </r>
  <r>
    <x v="14"/>
    <s v="AS Agirocana"/>
    <x v="0"/>
    <m/>
    <x v="1"/>
    <s v="Stéphane MIROL"/>
  </r>
  <r>
    <x v="14"/>
    <s v="Golf international Roissy"/>
    <x v="0"/>
    <m/>
    <x v="1"/>
    <s v="Claude BREL"/>
  </r>
  <r>
    <x v="15"/>
    <s v="Club Gymnique Ermont "/>
    <x v="0"/>
    <n v="416"/>
    <x v="1"/>
    <s v="FORTIER Luc"/>
  </r>
  <r>
    <x v="15"/>
    <s v="Albonaise Gymnastique de Franconville"/>
    <x v="0"/>
    <n v="644"/>
    <x v="0"/>
    <s v="CARON Brigitte"/>
  </r>
  <r>
    <x v="15"/>
    <s v="Etoile Goussaivilloise"/>
    <x v="2"/>
    <n v="397"/>
    <x v="0"/>
    <s v="AVELOT Roxane"/>
  </r>
  <r>
    <x v="15"/>
    <s v="Association Gymnique Igny Montaine "/>
    <x v="0"/>
    <n v="120"/>
    <x v="0"/>
    <s v="CORNET Fabienne "/>
  </r>
  <r>
    <x v="15"/>
    <s v="Association Saint Ouen l'Aumone Gymnastique"/>
    <x v="0"/>
    <n v="45"/>
    <x v="0"/>
    <s v="YATOUNGOU Isabelle"/>
  </r>
  <r>
    <x v="15"/>
    <s v="Astus Soisy Sous Montmorency "/>
    <x v="0"/>
    <n v="232"/>
    <x v="0"/>
    <s v="GONCALVES Marie Isabelle"/>
  </r>
  <r>
    <x v="15"/>
    <s v="Avenir Survilliers "/>
    <x v="2"/>
    <n v="188"/>
    <x v="0"/>
    <s v="GAILLARD Valérie "/>
  </r>
  <r>
    <x v="15"/>
    <s v="Club Municipal Garges Les Gonesse GYM "/>
    <x v="2"/>
    <n v="24"/>
    <x v="0"/>
    <s v="FIRPION Cassandre"/>
  </r>
  <r>
    <x v="15"/>
    <s v="Club Olympique Multisport Argenteuil Gymnastique "/>
    <x v="0"/>
    <n v="350"/>
    <x v="1"/>
    <s v="CHAROY Franck "/>
  </r>
  <r>
    <x v="15"/>
    <s v="CERGY'M Club "/>
    <x v="0"/>
    <n v="268"/>
    <x v="1"/>
    <s v="LANDEMAINE Sylvain "/>
  </r>
  <r>
    <x v="15"/>
    <s v="Association Amicale Sportive Sarcelles"/>
    <x v="2"/>
    <n v="274"/>
    <x v="1"/>
    <s v="GRAUX Richard "/>
  </r>
  <r>
    <x v="15"/>
    <s v="Alliance Gym Fosse - Marly La Ville "/>
    <x v="2"/>
    <n v="202"/>
    <x v="0"/>
    <s v="PAJOR Elisabeth "/>
  </r>
  <r>
    <x v="15"/>
    <s v="Les Ecureuils de Saint Prix "/>
    <x v="0"/>
    <n v="265"/>
    <x v="0"/>
    <s v="PERRIN Melanie "/>
  </r>
  <r>
    <x v="15"/>
    <s v="Argenteuil Gymnastique "/>
    <x v="0"/>
    <n v="303"/>
    <x v="0"/>
    <s v="CLOAREC Stephanie "/>
  </r>
  <r>
    <x v="15"/>
    <s v="La Vigilante de Deuil "/>
    <x v="0"/>
    <n v="1"/>
    <x v="1"/>
    <s v="LANDAIS Alain "/>
  </r>
  <r>
    <x v="15"/>
    <s v="Les Batelières d'Herblay "/>
    <x v="0"/>
    <n v="458"/>
    <x v="0"/>
    <s v="GALLARD Laurence"/>
  </r>
  <r>
    <x v="15"/>
    <s v="Les Etoiles de Louvres "/>
    <x v="2"/>
    <n v="109"/>
    <x v="1"/>
    <s v="EDEYER Philippe "/>
  </r>
  <r>
    <x v="15"/>
    <s v="Le Ruban Volant Vauréal "/>
    <x v="0"/>
    <n v="175"/>
    <x v="0"/>
    <s v="PIED Sarah "/>
  </r>
  <r>
    <x v="15"/>
    <s v="GRS Taverny "/>
    <x v="0"/>
    <n v="231"/>
    <x v="0"/>
    <s v="AYEL Daniele"/>
  </r>
  <r>
    <x v="15"/>
    <s v="l'Herblaisienne "/>
    <x v="0"/>
    <n v="1"/>
    <x v="1"/>
    <s v="CERISIER Philippe "/>
  </r>
  <r>
    <x v="15"/>
    <s v="Gym Américaine Sannois "/>
    <x v="0"/>
    <n v="124"/>
    <x v="0"/>
    <s v="BIGANT Carine "/>
  </r>
  <r>
    <x v="15"/>
    <s v="Top Fitness Club "/>
    <x v="0"/>
    <n v="4"/>
    <x v="1"/>
    <s v="LAPLACE Michel "/>
  </r>
  <r>
    <x v="15"/>
    <s v="UNION sportive Ezanville Ecouen "/>
    <x v="0"/>
    <n v="116"/>
    <x v="1"/>
    <s v="DELAPLANCHE Christophe "/>
  </r>
  <r>
    <x v="15"/>
    <s v="Cergy Pontoise Gymnastique Rythmique "/>
    <x v="0"/>
    <n v="298"/>
    <x v="0"/>
    <s v="ETAME YESCOT Agnes "/>
  </r>
  <r>
    <x v="15"/>
    <s v="Fit Dance "/>
    <x v="0"/>
    <n v="13"/>
    <x v="0"/>
    <s v="MOURGUES Coraline "/>
  </r>
  <r>
    <x v="15"/>
    <s v="Club de Gymastique Montmorencien "/>
    <x v="0"/>
    <n v="267"/>
    <x v="0"/>
    <s v="DENTIE Valérie "/>
  </r>
  <r>
    <x v="15"/>
    <s v="Association Sportive et Gymnique de Gonesse "/>
    <x v="2"/>
    <n v="6"/>
    <x v="0"/>
    <s v="DELIVRY Elodie "/>
  </r>
  <r>
    <x v="15"/>
    <s v="Club Gymnique Artistique d'Eaubonne "/>
    <x v="0"/>
    <n v="31"/>
    <x v="0"/>
    <s v="PECHEREAU Marie-Claude"/>
  </r>
  <r>
    <x v="16"/>
    <s v="COM ARGENTEUIL"/>
    <x v="0"/>
    <n v="62"/>
    <x v="0"/>
    <s v="Mme Ahkila GUEBLI"/>
  </r>
  <r>
    <x v="16"/>
    <s v="HB SAINT BRICE"/>
    <x v="0"/>
    <n v="25"/>
    <x v="1"/>
    <s v="Mr Patrick COHEN SKALLI"/>
  </r>
  <r>
    <x v="16"/>
    <s v="CSM EAUBONNE"/>
    <x v="0"/>
    <n v="51"/>
    <x v="1"/>
    <s v="Mr Didier VEAUX"/>
  </r>
  <r>
    <x v="16"/>
    <s v="HBC ARNOUVILLE GONESSE"/>
    <x v="2"/>
    <n v="29"/>
    <x v="1"/>
    <s v="Mr Pacôme BIGLIONE"/>
  </r>
  <r>
    <x v="16"/>
    <s v="HBC FRANCONVILLE"/>
    <x v="0"/>
    <n v="77"/>
    <x v="1"/>
    <s v="Mr Jean Frédérick RALEFOMANANA"/>
  </r>
  <r>
    <x v="16"/>
    <s v="HB GOUSSAINVILLE"/>
    <x v="2"/>
    <n v="40"/>
    <x v="0"/>
    <s v="Mme Christine LAGUILLEZ"/>
  </r>
  <r>
    <x v="16"/>
    <s v="USDEM"/>
    <x v="0"/>
    <n v="58"/>
    <x v="1"/>
    <s v="Mr Thierry THOMAS"/>
  </r>
  <r>
    <x v="16"/>
    <s v="&quot;HAUT VAL-D'OISE HANDBALL L'ISLE-ADAM / PERSAN&quot;"/>
    <x v="0"/>
    <n v="29"/>
    <x v="1"/>
    <s v="Mr Cyrille LAVAL"/>
  </r>
  <r>
    <x v="16"/>
    <s v="AS ROISSY"/>
    <x v="2"/>
    <n v="27"/>
    <x v="1"/>
    <s v="Mr Eric COLIN"/>
  </r>
  <r>
    <x v="16"/>
    <s v="ST GRATIEN SANNOIS HB"/>
    <x v="0"/>
    <n v="22"/>
    <x v="1"/>
    <s v="Mr Phillippe DELAFOSSE"/>
  </r>
  <r>
    <x v="16"/>
    <s v="HBC ST LEU TAVERNY"/>
    <x v="0"/>
    <n v="30"/>
    <x v="0"/>
    <s v="Mme Audrey PIVOY-PICHAUD"/>
  </r>
  <r>
    <x v="16"/>
    <s v="AS ST OUEN L'AUMONE"/>
    <x v="0"/>
    <n v="49"/>
    <x v="1"/>
    <s v="Mr Jonathan MIHY"/>
  </r>
  <r>
    <x v="16"/>
    <s v="HBC SANNOIS"/>
    <x v="0"/>
    <n v="0"/>
    <x v="0"/>
    <s v="Mme Chantal ELOY"/>
  </r>
  <r>
    <x v="16"/>
    <s v="SOISY ANDILLY MARGENCY"/>
    <x v="0"/>
    <n v="65"/>
    <x v="1"/>
    <s v="Mr Julien COTTE"/>
  </r>
  <r>
    <x v="16"/>
    <s v="HBC BEAUCHAMP"/>
    <x v="0"/>
    <n v="0"/>
    <x v="0"/>
    <s v="Mme Rose-Marie VALENTE"/>
  </r>
  <r>
    <x v="16"/>
    <s v="US ECOUEN/EZANVILLE"/>
    <x v="0"/>
    <n v="33"/>
    <x v="1"/>
    <s v="Mr Mathieu LALLOZ"/>
  </r>
  <r>
    <x v="16"/>
    <s v="FB2M HB"/>
    <x v="0"/>
    <n v="52"/>
    <x v="1"/>
    <s v="Mr Gérard BOUTOUYRIE"/>
  </r>
  <r>
    <x v="16"/>
    <s v="MONTMAGNY"/>
    <x v="0"/>
    <n v="11"/>
    <x v="1"/>
    <s v="Mr Sébastien KOTHE"/>
  </r>
  <r>
    <x v="16"/>
    <s v="AVENIR SURVILLIERS FOSSES MARLY"/>
    <x v="2"/>
    <n v="34"/>
    <x v="0"/>
    <s v="Mme Sylvie DELHOMME"/>
  </r>
  <r>
    <x v="16"/>
    <s v="HBC VILLIERS LE BEL"/>
    <x v="2"/>
    <n v="28"/>
    <x v="0"/>
    <s v="Mme Peggy AGODOR"/>
  </r>
  <r>
    <x v="16"/>
    <s v="HBC PARISIS (HERBLAY / MONTIGNY LES CORMEILLES)"/>
    <x v="0"/>
    <n v="69"/>
    <x v="1"/>
    <s v="Mr Sébastien BINET"/>
  </r>
  <r>
    <x v="16"/>
    <s v="ASSOCIATION MARINOISE DE HANDBALL"/>
    <x v="1"/>
    <n v="0"/>
    <x v="1"/>
    <s v="Mr BAUDOT Patrick"/>
  </r>
  <r>
    <x v="16"/>
    <s v="ACSC CORMEILLES HANDBALL"/>
    <x v="0"/>
    <n v="9"/>
    <x v="1"/>
    <s v="Mr Gérard DURIOL"/>
  </r>
  <r>
    <x v="16"/>
    <s v="CM GARGES HANDBALL"/>
    <x v="2"/>
    <n v="20"/>
    <x v="1"/>
    <s v="Mr Phaëton BONHEL"/>
  </r>
  <r>
    <x v="16"/>
    <s v="MAGNY HB"/>
    <x v="1"/>
    <n v="11"/>
    <x v="1"/>
    <s v="Mr Serge GOUGEROT"/>
  </r>
  <r>
    <x v="16"/>
    <s v="CERGY HANDBALL"/>
    <x v="0"/>
    <n v="151"/>
    <x v="0"/>
    <s v="Mme Sabrina JAUBERT"/>
  </r>
  <r>
    <x v="16"/>
    <s v="PONTOISE HANDBALL"/>
    <x v="0"/>
    <n v="0"/>
    <x v="1"/>
    <s v="Mr Samir BIDAH"/>
  </r>
  <r>
    <x v="16"/>
    <s v="CLUB HANDBALL LOISIRS LOUPS WEZIENS"/>
    <x v="0"/>
    <n v="0"/>
    <x v="1"/>
    <s v="MrPRIGENT STEPHANE"/>
  </r>
  <r>
    <x v="16"/>
    <s v="AS SARCELLES"/>
    <x v="2"/>
    <n v="57"/>
    <x v="1"/>
    <s v="Mr FRANCOIS-XAVIER LOWE"/>
  </r>
  <r>
    <x v="17"/>
    <s v="ENTENTE AGGLOMERATION CERGY PONTOISE ATHLETISME"/>
    <x v="0"/>
    <n v="2"/>
    <x v="1"/>
    <s v="M. PHILIPPE FAVREAU"/>
  </r>
  <r>
    <x v="17"/>
    <s v="DIALOGUE ET LIBERTE DES SOURDS"/>
    <x v="0"/>
    <n v="11"/>
    <x v="1"/>
    <s v="M. ALEXANDRE STEPHANT"/>
  </r>
  <r>
    <x v="17"/>
    <s v="ETERNAL VICTORY"/>
    <x v="0"/>
    <n v="0"/>
    <x v="1"/>
    <s v="M. VIDAL ELBAZ"/>
  </r>
  <r>
    <x v="17"/>
    <s v="ASSOCIATION SPORTIVE CERGY PONTOISE HANDISPORT"/>
    <x v="0"/>
    <n v="0"/>
    <x v="1"/>
    <s v="M. THIERRY CERIVAL"/>
  </r>
  <r>
    <x v="17"/>
    <s v="INSTITUT D'EDUCATION MOTRICE MADELEINE FOCKENBERGHE"/>
    <x v="2"/>
    <n v="24"/>
    <x v="1"/>
    <s v="M. MOUSSA TRAORE"/>
  </r>
  <r>
    <x v="17"/>
    <s v="AILES V VOUS"/>
    <x v="0"/>
    <n v="1"/>
    <x v="1"/>
    <s v="M. DAVID PILON"/>
  </r>
  <r>
    <x v="17"/>
    <s v="ASSOCIATION AMICALE SPORTIVE DE SARCELLES RUGBY"/>
    <x v="2"/>
    <n v="0"/>
    <x v="1"/>
    <s v="M. FABRICE DOLO"/>
  </r>
  <r>
    <x v="17"/>
    <s v="ASPPH"/>
    <x v="0"/>
    <n v="14"/>
    <x v="1"/>
    <s v="M. JEAN BERNARD GEBERT"/>
  </r>
  <r>
    <x v="17"/>
    <s v="CERGY PONTOISE NATATION"/>
    <x v="0"/>
    <n v="1"/>
    <x v="1"/>
    <s v="M. PHILIPPE CASBAS"/>
  </r>
  <r>
    <x v="17"/>
    <s v="CERCLE SPORTIF PLESSIS BOUCHARD"/>
    <x v="0"/>
    <n v="3"/>
    <x v="0"/>
    <s v="Me. LAETITIA WOUSSEN"/>
  </r>
  <r>
    <x v="17"/>
    <s v="ACADEMIE DE BILLARD D'ARGENTEUIL"/>
    <x v="0"/>
    <n v="1"/>
    <x v="1"/>
    <s v="Mr PATRICK OLLIVIER"/>
  </r>
  <r>
    <x v="17"/>
    <s v="HANDISPORT ARGENTEUIL CLUB"/>
    <x v="0"/>
    <n v="2"/>
    <x v="0"/>
    <s v="Me. WARDA KAABECHE"/>
  </r>
  <r>
    <x v="17"/>
    <s v="ASSOCIATION AERONAUTIQUE DU VAL D'OISE"/>
    <x v="3"/>
    <n v="0"/>
    <x v="1"/>
    <s v=" M. MARC BOURA"/>
  </r>
  <r>
    <x v="17"/>
    <s v="BIENHETRE"/>
    <x v="0"/>
    <n v="8"/>
    <x v="1"/>
    <s v="M. SAID SEDRANI"/>
  </r>
  <r>
    <x v="17"/>
    <s v="AERO-CLUB PARIS-NORD"/>
    <x v="0"/>
    <n v="1"/>
    <x v="1"/>
    <s v="M. JEAN-YVES PRUGNAUD"/>
  </r>
  <r>
    <x v="17"/>
    <s v="CLUB SPORTIF MUNICIPAL D'EAUBONNE - SECTION HANDI"/>
    <x v="0"/>
    <n v="1"/>
    <x v="1"/>
    <s v="M. DIDIER VEAUX"/>
  </r>
  <r>
    <x v="17"/>
    <s v="TENNIS CLUB LA CHATAIGNERAIE"/>
    <x v="0"/>
    <n v="1"/>
    <x v="0"/>
    <s v="Me. FLORENCE MARCEL"/>
  </r>
  <r>
    <x v="17"/>
    <s v="ASSOCIATION PRESLOISE DE BADMINTON"/>
    <x v="0"/>
    <n v="1"/>
    <x v="1"/>
    <s v="M. LAURENT KERVENDAL"/>
  </r>
  <r>
    <x v="18"/>
    <s v="Hockey Club de Cergy-Pontoise"/>
    <x v="0"/>
    <n v="82"/>
    <x v="1"/>
    <s v="Régis GODEC"/>
  </r>
  <r>
    <x v="18"/>
    <s v="Franconville Hockey Club"/>
    <x v="0"/>
    <n v="14"/>
    <x v="1"/>
    <s v="Yann BARTESCH"/>
  </r>
  <r>
    <x v="18"/>
    <s v="Argenteuil Sports de Glace"/>
    <x v="0"/>
    <n v="12"/>
    <x v="0"/>
    <s v="Sophie DIAKITE"/>
  </r>
  <r>
    <x v="18"/>
    <s v="Garges Hockey Club"/>
    <x v="2"/>
    <n v="8"/>
    <x v="1"/>
    <s v="Christophe MASSON"/>
  </r>
  <r>
    <x v="18"/>
    <s v="Deuil CSG"/>
    <x v="0"/>
    <n v="0"/>
    <x v="0"/>
    <s v="Christine DELOBELLE"/>
  </r>
  <r>
    <x v="19"/>
    <s v="C.O.M.A. JUDO"/>
    <x v="0"/>
    <n v="25"/>
    <x v="1"/>
    <s v="Mr Jean-Michel FLOHIC"/>
  </r>
  <r>
    <x v="19"/>
    <s v="E.S. CHAMPIOUX - ARGENTEUIL"/>
    <x v="0"/>
    <n v="18"/>
    <x v="0"/>
    <s v="Mme Syvie ALGISI"/>
  </r>
  <r>
    <x v="19"/>
    <s v="US ARGENTEUILLAISE"/>
    <x v="0"/>
    <n v="10"/>
    <x v="0"/>
    <s v="Mme Malha ALLAMA"/>
  </r>
  <r>
    <x v="19"/>
    <s v="JUDO CLUB ESCALES ARGENTEUIL"/>
    <x v="0"/>
    <n v="60"/>
    <x v="0"/>
    <s v="Mme Laure BARATTER"/>
  </r>
  <r>
    <x v="19"/>
    <s v="ARNOUVILLE JUDO/FTINESS"/>
    <x v="2"/>
    <n v="13"/>
    <x v="0"/>
    <s v="Mme Monique ASMUSSEN"/>
  </r>
  <r>
    <x v="19"/>
    <s v="VALLEE OISE des IMPRESSIONNISTES"/>
    <x v="0"/>
    <n v="52"/>
    <x v="1"/>
    <s v="Mr Philippe LE CHEVALIER"/>
  </r>
  <r>
    <x v="19"/>
    <s v="J.C. BEAUCHAMP"/>
    <x v="0"/>
    <n v="35"/>
    <x v="1"/>
    <s v="Mr Anthony GOIFFON"/>
  </r>
  <r>
    <x v="19"/>
    <s v="BEAUMONT S/OISE JUDO"/>
    <x v="0"/>
    <n v="42"/>
    <x v="1"/>
    <s v="Mr Tahar BENGUESMI"/>
  </r>
  <r>
    <x v="19"/>
    <s v="A.S.C. BELLOY en France Judo"/>
    <x v="0"/>
    <m/>
    <x v="0"/>
    <s v="Mme Aline CARON"/>
  </r>
  <r>
    <x v="19"/>
    <s v="R.C. BESSANCOURT"/>
    <x v="0"/>
    <n v="4"/>
    <x v="1"/>
    <s v="Mr Laïd REFOUFI"/>
  </r>
  <r>
    <x v="19"/>
    <s v="U.S.O. BEZONS"/>
    <x v="0"/>
    <n v="10"/>
    <x v="1"/>
    <s v="Mr Jose MNODIN"/>
  </r>
  <r>
    <x v="19"/>
    <s v="BOUFFEMONT A.C."/>
    <x v="0"/>
    <n v="37"/>
    <x v="1"/>
    <s v="Mr Rémy MASCRE"/>
  </r>
  <r>
    <x v="19"/>
    <s v="C.J.F.R. BRAY &amp; LU"/>
    <x v="1"/>
    <n v="3"/>
    <x v="1"/>
    <s v="Mr Antoine SAGNA"/>
  </r>
  <r>
    <x v="19"/>
    <s v="C.O.M.BRUYERES/OISE"/>
    <x v="0"/>
    <n v="20"/>
    <x v="1"/>
    <s v="Mr Alain GARBE"/>
  </r>
  <r>
    <x v="19"/>
    <s v="BUDO CLUB CERGY"/>
    <x v="0"/>
    <n v="93"/>
    <x v="1"/>
    <s v="Mr Olivier LETTE"/>
  </r>
  <r>
    <x v="19"/>
    <s v="AS JUDO CHAMPAGNE"/>
    <x v="0"/>
    <n v="22"/>
    <x v="1"/>
    <s v="Mr Thierry MORIN"/>
  </r>
  <r>
    <x v="19"/>
    <s v="J.C. CHAUMONTEL"/>
    <x v="0"/>
    <n v="5"/>
    <x v="0"/>
    <s v="Mme Véronique CLAVREUL"/>
  </r>
  <r>
    <x v="19"/>
    <s v="J.C. CORMEILLAIS"/>
    <x v="0"/>
    <n v="75"/>
    <x v="0"/>
    <s v="Mme Régine ROUCOU"/>
  </r>
  <r>
    <x v="19"/>
    <s v="Association des A.M. DE"/>
    <x v="3"/>
    <n v="22"/>
    <x v="0"/>
    <s v="Mme Daphnée"/>
  </r>
  <r>
    <x v="19"/>
    <s v="COURDIMANCHE"/>
    <x v="0"/>
    <m/>
    <x v="1"/>
    <s v="CHEVALLIER"/>
  </r>
  <r>
    <x v="19"/>
    <s v="BUDOKAN DEUIL"/>
    <x v="0"/>
    <n v="65"/>
    <x v="1"/>
    <s v="Mr Abdelkrim BENBRAHIM"/>
  </r>
  <r>
    <x v="19"/>
    <s v="BUDOKAI DOMONTOIS"/>
    <x v="0"/>
    <n v="56"/>
    <x v="1"/>
    <s v="Mr Philippe FORCARD"/>
  </r>
  <r>
    <x v="19"/>
    <s v="C.S.M. EAUBONNE JUDO"/>
    <x v="0"/>
    <n v="52"/>
    <x v="1"/>
    <s v="Mr Michel ESCUER"/>
  </r>
  <r>
    <x v="19"/>
    <s v="AS ECOUENNAISE"/>
    <x v="0"/>
    <n v="22"/>
    <x v="1"/>
    <s v="Mr Jean-Marc GLEVAREC"/>
  </r>
  <r>
    <x v="19"/>
    <s v="J.J.C. ENGHIEN"/>
    <x v="0"/>
    <n v="13"/>
    <x v="1"/>
    <s v="Mr Alain RICHEUX"/>
  </r>
  <r>
    <x v="19"/>
    <s v="U.S. ENNERY"/>
    <x v="1"/>
    <n v="19"/>
    <x v="0"/>
    <s v="Melle M.Agnès PITOIS"/>
  </r>
  <r>
    <x v="19"/>
    <s v="DOJO CLUB ERAGNY/OISE"/>
    <x v="0"/>
    <n v="18"/>
    <x v="1"/>
    <s v="Mr Alain GAUDISSIABOIS"/>
  </r>
  <r>
    <x v="19"/>
    <s v="ASCA ERMONT-JUDO"/>
    <x v="0"/>
    <n v="22"/>
    <x v="1"/>
    <s v="Mr Louis RANDOT"/>
  </r>
  <r>
    <x v="19"/>
    <s v="A.M.ERMONTOIS"/>
    <x v="0"/>
    <n v="10"/>
    <x v="0"/>
    <s v="Mme Nadège NEVEU"/>
  </r>
  <r>
    <x v="19"/>
    <s v="U.S.E.E. JUDO"/>
    <x v="0"/>
    <n v="42"/>
    <x v="0"/>
    <s v="Mme Martine NGUYEN"/>
  </r>
  <r>
    <x v="19"/>
    <s v="JC FONTENAY en PARISIS"/>
    <x v="0"/>
    <n v="8"/>
    <x v="1"/>
    <s v="Mr Olivier TRAJKOVIC"/>
  </r>
  <r>
    <x v="19"/>
    <s v="JC FOSSES"/>
    <x v="2"/>
    <n v="5"/>
    <x v="1"/>
    <s v="Mr Philippe NORDON"/>
  </r>
  <r>
    <x v="19"/>
    <s v="J.C. FRANCONVILLE"/>
    <x v="0"/>
    <n v="26"/>
    <x v="1"/>
    <s v="Mr Elie LAMIELLE"/>
  </r>
  <r>
    <x v="19"/>
    <s v="AADB GARGES JUDO"/>
    <x v="2"/>
    <n v="3"/>
    <x v="1"/>
    <s v="Mr Philippe AUMAITRE"/>
  </r>
  <r>
    <x v="19"/>
    <s v="MARTIAL ARTS ACADEMY JUDO"/>
    <x v="1"/>
    <n v="0"/>
    <x v="1"/>
    <s v="Mr Mohamed EL MARZOUKI"/>
  </r>
  <r>
    <x v="19"/>
    <s v="JC GONESSE"/>
    <x v="2"/>
    <n v="48"/>
    <x v="1"/>
    <s v="Mr Hafid BOUDOUKARA"/>
  </r>
  <r>
    <x v="19"/>
    <s v="ASMEP JUDO AM GOUSSAINVILLE"/>
    <x v="2"/>
    <n v="7"/>
    <x v="1"/>
    <s v="Mr Fernando DE SOUSA"/>
  </r>
  <r>
    <x v="19"/>
    <s v="JUDO KODOKAN GOUSSAINVILLE"/>
    <x v="2"/>
    <n v="0"/>
    <x v="1"/>
    <s v="Mr Adelkrim KOUIDI"/>
  </r>
  <r>
    <x v="19"/>
    <s v="MLC GROSLAY JUDO"/>
    <x v="0"/>
    <n v="15"/>
    <x v="1"/>
    <s v="Mr Daniel THOMAS"/>
  </r>
  <r>
    <x v="19"/>
    <s v="A.S. HERBLAY JUDO"/>
    <x v="0"/>
    <n v="23"/>
    <x v="1"/>
    <s v="Mr Robert BIDEAU"/>
  </r>
  <r>
    <x v="19"/>
    <s v="3JLM"/>
    <x v="0"/>
    <n v="15"/>
    <x v="0"/>
    <s v="Mme Nadège MATISSE"/>
  </r>
  <r>
    <x v="19"/>
    <s v="JC L'ISLE ADAM"/>
    <x v="0"/>
    <n v="25"/>
    <x v="1"/>
    <s v="Mr Jérémy PILOTIN"/>
  </r>
  <r>
    <x v="19"/>
    <s v="LA FRETTE S/SEINE JUDO"/>
    <x v="0"/>
    <n v="24"/>
    <x v="1"/>
    <s v="Mr Sylvain MANTERNACH"/>
  </r>
  <r>
    <x v="19"/>
    <s v="CS LE PLESSIS BOUCHARD"/>
    <x v="0"/>
    <n v="20"/>
    <x v="0"/>
    <s v="Mme Laetitia WOUSSEN"/>
  </r>
  <r>
    <x v="19"/>
    <s v="J.C. du THILLAY"/>
    <x v="2"/>
    <n v="4"/>
    <x v="1"/>
    <s v="Mr Gary ETINOFF"/>
  </r>
  <r>
    <x v="19"/>
    <s v="CMO LOUVRES"/>
    <x v="2"/>
    <n v="35"/>
    <x v="0"/>
    <s v="Mme Nadège CHENE"/>
  </r>
  <r>
    <x v="19"/>
    <s v="LUZARCHES JUDO"/>
    <x v="0"/>
    <n v="15"/>
    <x v="0"/>
    <s v="Mme Christelle AUFFRAY"/>
  </r>
  <r>
    <x v="19"/>
    <s v="DOJO MAGNYTOIS"/>
    <x v="1"/>
    <n v="43"/>
    <x v="1"/>
    <s v="Mr Jean-Sébastien FAIT"/>
  </r>
  <r>
    <x v="19"/>
    <s v="JUDO MARINES"/>
    <x v="1"/>
    <n v="47"/>
    <x v="1"/>
    <s v="Mr Gilles MALLEDANT"/>
  </r>
  <r>
    <x v="19"/>
    <s v="JC MARLYSIEN"/>
    <x v="2"/>
    <n v="14"/>
    <x v="1"/>
    <s v="Mr Didier DEROUBAIX"/>
  </r>
  <r>
    <x v="19"/>
    <s v="JUDO MENUCOURT"/>
    <x v="0"/>
    <n v="34"/>
    <x v="1"/>
    <s v="Mr Richard REGUILON"/>
  </r>
  <r>
    <x v="19"/>
    <s v="JC MONTIGNY LES CORMEILLES"/>
    <x v="0"/>
    <n v="4"/>
    <x v="1"/>
    <s v="Mr Mohamed DAHEK"/>
  </r>
  <r>
    <x v="19"/>
    <s v="A.C.S. MONTLIGNON"/>
    <x v="0"/>
    <n v="42"/>
    <x v="1"/>
    <s v="Mr Gael GENNA"/>
  </r>
  <r>
    <x v="19"/>
    <s v="MONTMAGNY SPORTS"/>
    <x v="0"/>
    <n v="26"/>
    <x v="1"/>
    <s v="Mr Rabah MOULOUDJ"/>
  </r>
  <r>
    <x v="19"/>
    <s v="JC MONTMORENCY VAL D'OISE"/>
    <x v="0"/>
    <n v="27"/>
    <x v="1"/>
    <s v="Mr Ahcène GOUDJIL"/>
  </r>
  <r>
    <x v="19"/>
    <s v="US MONTSOULT BAILLET"/>
    <x v="0"/>
    <n v="20"/>
    <x v="1"/>
    <s v="Mr Jean-Luc BILBA"/>
  </r>
  <r>
    <x v="19"/>
    <s v="FR MOURS"/>
    <x v="0"/>
    <n v="7"/>
    <x v="1"/>
    <s v="Mr Paulo SILVA"/>
  </r>
  <r>
    <x v="19"/>
    <s v="BUDOKAN NEUVILLOIS"/>
    <x v="0"/>
    <n v="2"/>
    <x v="0"/>
    <s v="Mme Karen GUENOT"/>
  </r>
  <r>
    <x v="19"/>
    <s v="JUDO CLUB D'OSNY"/>
    <x v="0"/>
    <n v="32"/>
    <x v="1"/>
    <s v="Mr Nicolas LEVESQUE"/>
  </r>
  <r>
    <x v="19"/>
    <s v="C.P.C.L.C. PARMAIN"/>
    <x v="0"/>
    <n v="0"/>
    <x v="1"/>
    <s v="Mr Olivier ROUILLARD"/>
  </r>
  <r>
    <x v="19"/>
    <s v="JUDO CLUB PERSAN"/>
    <x v="0"/>
    <n v="74"/>
    <x v="1"/>
    <s v="Mr Vincent LEORIER"/>
  </r>
  <r>
    <x v="19"/>
    <s v="J.J.C. de PIERRELAYE"/>
    <x v="0"/>
    <n v="32"/>
    <x v="1"/>
    <s v="Mr Pascal DUCASTEL"/>
  </r>
  <r>
    <x v="19"/>
    <s v="PONTOISE JUDO"/>
    <x v="0"/>
    <n v="23"/>
    <x v="1"/>
    <s v="Mr Jacques BENOIT-MAJAN"/>
  </r>
  <r>
    <x v="19"/>
    <s v="JUDO JUJITSU PRESLES"/>
    <x v="0"/>
    <n v="25"/>
    <x v="1"/>
    <s v="Mr Arnaud BERRUELLE"/>
  </r>
  <r>
    <x v="19"/>
    <s v="A.L.S. PUISEUX"/>
    <x v="2"/>
    <n v="49"/>
    <x v="0"/>
    <s v="Mme Lenaïc VILCOT"/>
  </r>
  <r>
    <x v="19"/>
    <s v="J.C. ROISSY En France"/>
    <x v="2"/>
    <n v="9"/>
    <x v="1"/>
    <s v="Mr Philippe GROS"/>
  </r>
  <r>
    <x v="19"/>
    <s v="A.A.E. ST BRICE"/>
    <x v="0"/>
    <n v="12"/>
    <x v="1"/>
    <s v="Mr François RIMLINGER"/>
  </r>
  <r>
    <x v="19"/>
    <s v="A.M. SAINT GRATIEN"/>
    <x v="0"/>
    <n v="37"/>
    <x v="1"/>
    <s v="Mr Sacha RIVET"/>
  </r>
  <r>
    <x v="19"/>
    <s v="A.M. SAINT LEU"/>
    <x v="0"/>
    <n v="35"/>
    <x v="0"/>
    <s v="Mme Mélanie JEGOU-SALADE"/>
  </r>
  <r>
    <x v="19"/>
    <s v="JC ST MARTIN DU TERTRE"/>
    <x v="0"/>
    <n v="23"/>
    <x v="0"/>
    <s v="Mme Françoise RAFFAITIN"/>
  </r>
  <r>
    <x v="19"/>
    <s v="A.S.S.O.A. JUDO"/>
    <x v="0"/>
    <n v="51"/>
    <x v="1"/>
    <s v="Mr Pascal VALENTIN"/>
  </r>
  <r>
    <x v="19"/>
    <s v="JUDO SAINT PRIX"/>
    <x v="0"/>
    <n v="14"/>
    <x v="1"/>
    <s v="Mr Claude GUILLAUME"/>
  </r>
  <r>
    <x v="19"/>
    <s v="J.C. WEZIEN"/>
    <x v="2"/>
    <n v="1"/>
    <x v="1"/>
    <s v="Mr Eric RADELET"/>
  </r>
  <r>
    <x v="19"/>
    <s v="DOJO SANNOISIEN"/>
    <x v="0"/>
    <n v="66"/>
    <x v="0"/>
    <s v="Mme Deborah LEMAIRE"/>
  </r>
  <r>
    <x v="19"/>
    <s v="SAKURA CLUB - SANNOIS"/>
    <x v="0"/>
    <n v="3"/>
    <x v="1"/>
    <s v="Mr Didier TRINCKEL"/>
  </r>
  <r>
    <x v="19"/>
    <s v="A.A.S. SARCELLES"/>
    <x v="2"/>
    <n v="13"/>
    <x v="1"/>
    <s v="Mr Carlos FERRAZ"/>
  </r>
  <r>
    <x v="19"/>
    <s v="J.K. SARCELLES"/>
    <x v="2"/>
    <n v="20"/>
    <x v="1"/>
    <s v="Mr Alain RIOLET"/>
  </r>
  <r>
    <x v="19"/>
    <s v="A.S. SERAINCOURT JUDO"/>
    <x v="1"/>
    <n v="22"/>
    <x v="0"/>
    <s v="Mme marie-Louise BIZIEAU"/>
  </r>
  <r>
    <x v="19"/>
    <s v="ACSAM JUDO"/>
    <x v="0"/>
    <n v="35"/>
    <x v="1"/>
    <s v="Mr Didier MILLOT"/>
  </r>
  <r>
    <x v="19"/>
    <s v="AVENIR DE SURVILLIERS"/>
    <x v="2"/>
    <n v="16"/>
    <x v="0"/>
    <s v="Mme Patricia MAYEUX"/>
  </r>
  <r>
    <x v="19"/>
    <s v="J.C. TAVERNY"/>
    <x v="0"/>
    <n v="1"/>
    <x v="0"/>
    <s v="Mme Hélène GAUTIER"/>
  </r>
  <r>
    <x v="19"/>
    <s v="A.S. VAUREAL"/>
    <x v="0"/>
    <n v="47"/>
    <x v="1"/>
    <s v="Mr Philippe SERVIERE"/>
  </r>
  <r>
    <x v="19"/>
    <s v="U.S.C.VEMARS -section JUDO"/>
    <x v="2"/>
    <n v="6"/>
    <x v="1"/>
    <s v="Mr Farid BENABDELAZIZ"/>
  </r>
  <r>
    <x v="19"/>
    <s v="J.C. VIARMES"/>
    <x v="0"/>
    <n v="14"/>
    <x v="1"/>
    <s v="Mr Damien THELLIER"/>
  </r>
  <r>
    <x v="19"/>
    <s v="ECOLE DE SABRE KUSANGI"/>
    <x v="1"/>
    <n v="7"/>
    <x v="1"/>
    <s v="Mr J-Pierre PEREZ"/>
  </r>
  <r>
    <x v="19"/>
    <s v="INTER VALLEES JUDO 95"/>
    <x v="0"/>
    <n v="27"/>
    <x v="1"/>
    <s v="Mr Marcel LAURENT"/>
  </r>
  <r>
    <x v="19"/>
    <s v="J.C. VILLIERS LE BEL"/>
    <x v="2"/>
    <n v="57"/>
    <x v="1"/>
    <s v="Mr Thierry OUKOLOFF"/>
  </r>
  <r>
    <x v="19"/>
    <s v="KEN GAKU KAN"/>
    <x v="0"/>
    <n v="94"/>
    <x v="1"/>
    <s v="Mr Julien PICHARD"/>
  </r>
  <r>
    <x v="19"/>
    <s v="SHUMISEN"/>
    <x v="0"/>
    <n v="29"/>
    <x v="1"/>
    <s v="Mr Pascal FURET-STRICHER"/>
  </r>
  <r>
    <x v="19"/>
    <s v="PONTOISE IAIDO"/>
    <x v="0"/>
    <n v="22"/>
    <x v="1"/>
    <s v="Mr Jacques BENOIT-MAJAN"/>
  </r>
  <r>
    <x v="19"/>
    <s v="KUSANAGI"/>
    <x v="1"/>
    <n v="72"/>
    <x v="1"/>
    <s v="Mr François CLEACH"/>
  </r>
  <r>
    <x v="19"/>
    <s v="NIJI KENDOKA"/>
    <x v="2"/>
    <n v="7"/>
    <x v="1"/>
    <s v="Mr Alain CAPKI"/>
  </r>
  <r>
    <x v="20"/>
    <s v="Budo Club 95"/>
    <x v="0"/>
    <n v="19"/>
    <x v="2"/>
    <m/>
  </r>
  <r>
    <x v="20"/>
    <s v="Karaté Club Taverny"/>
    <x v="0"/>
    <n v="31"/>
    <x v="2"/>
    <m/>
  </r>
  <r>
    <x v="20"/>
    <s v="Karaté Club Bouffemont"/>
    <x v="0"/>
    <n v="61"/>
    <x v="2"/>
    <m/>
  </r>
  <r>
    <x v="20"/>
    <s v="Union Sportive Argenteuil"/>
    <x v="0"/>
    <n v="5"/>
    <x v="2"/>
    <m/>
  </r>
  <r>
    <x v="20"/>
    <s v="Montmagny Sports"/>
    <x v="0"/>
    <n v="14"/>
    <x v="2"/>
    <m/>
  </r>
  <r>
    <x v="20"/>
    <s v="Les Renards Blancs"/>
    <x v="0"/>
    <n v="18"/>
    <x v="2"/>
    <m/>
  </r>
  <r>
    <x v="20"/>
    <s v="Timing"/>
    <x v="0"/>
    <n v="11"/>
    <x v="2"/>
    <m/>
  </r>
  <r>
    <x v="20"/>
    <s v="Association Sportive de Vauréal"/>
    <x v="0"/>
    <n v="19"/>
    <x v="2"/>
    <m/>
  </r>
  <r>
    <x v="20"/>
    <s v="Etoile Sportive des Champioux"/>
    <x v="0"/>
    <n v="0"/>
    <x v="2"/>
    <m/>
  </r>
  <r>
    <x v="20"/>
    <s v="CKIAP"/>
    <x v="0"/>
    <n v="2"/>
    <x v="2"/>
    <m/>
  </r>
  <r>
    <x v="20"/>
    <s v="AS Karaté Osny"/>
    <x v="0"/>
    <n v="8"/>
    <x v="2"/>
    <m/>
  </r>
  <r>
    <x v="20"/>
    <s v="Association Karaté Soisy Andilly Margency"/>
    <x v="0"/>
    <n v="56"/>
    <x v="2"/>
    <m/>
  </r>
  <r>
    <x v="20"/>
    <s v="Judo Club de Villiers le Bel"/>
    <x v="2"/>
    <n v="11"/>
    <x v="2"/>
    <m/>
  </r>
  <r>
    <x v="20"/>
    <s v="KC de Plessis-Bouchard"/>
    <x v="0"/>
    <n v="24"/>
    <x v="2"/>
    <m/>
  </r>
  <r>
    <x v="20"/>
    <s v="Budo Karaté Club de Pontoise"/>
    <x v="0"/>
    <n v="6"/>
    <x v="2"/>
    <m/>
  </r>
  <r>
    <x v="20"/>
    <s v="Association Amicale Sportive Sarcelles Karaté"/>
    <x v="2"/>
    <n v="144"/>
    <x v="2"/>
    <m/>
  </r>
  <r>
    <x v="20"/>
    <s v="ADB KTE Garges"/>
    <x v="2"/>
    <n v="15"/>
    <x v="2"/>
    <m/>
  </r>
  <r>
    <x v="20"/>
    <s v="COM Argenteuil"/>
    <x v="0"/>
    <n v="24"/>
    <x v="2"/>
    <m/>
  </r>
  <r>
    <x v="20"/>
    <s v="Karaté Club de Sannois"/>
    <x v="0"/>
    <n v="48"/>
    <x v="2"/>
    <m/>
  </r>
  <r>
    <x v="20"/>
    <s v="Karaté Club de Montigny"/>
    <x v="0"/>
    <n v="15"/>
    <x v="2"/>
    <m/>
  </r>
  <r>
    <x v="20"/>
    <s v="CKF 95"/>
    <x v="0"/>
    <n v="5"/>
    <x v="2"/>
    <m/>
  </r>
  <r>
    <x v="20"/>
    <s v="USMBM Wado Kan"/>
    <x v="0"/>
    <n v="49"/>
    <x v="2"/>
    <m/>
  </r>
  <r>
    <x v="20"/>
    <s v="ASV Karaté Club de Marines"/>
    <x v="1"/>
    <n v="18"/>
    <x v="2"/>
    <m/>
  </r>
  <r>
    <x v="20"/>
    <s v="Assoc Sport Herblay ASHK"/>
    <x v="0"/>
    <n v="73"/>
    <x v="2"/>
    <m/>
  </r>
  <r>
    <x v="20"/>
    <s v="Karaté Club de Saint Witz"/>
    <x v="2"/>
    <n v="1"/>
    <x v="2"/>
    <m/>
  </r>
  <r>
    <x v="20"/>
    <s v="UMOB Karaté Club de Beaumont"/>
    <x v="0"/>
    <n v="2"/>
    <x v="2"/>
    <m/>
  </r>
  <r>
    <x v="20"/>
    <s v="Viet Vo Dao Cergy"/>
    <x v="0"/>
    <n v="20"/>
    <x v="2"/>
    <m/>
  </r>
  <r>
    <x v="20"/>
    <s v="ASMC Tieu Lam Noi Quyen Club"/>
    <x v="0"/>
    <n v="1"/>
    <x v="2"/>
    <m/>
  </r>
  <r>
    <x v="20"/>
    <s v="Amical Club Sportif Cormeillaise"/>
    <x v="0"/>
    <n v="41"/>
    <x v="2"/>
    <m/>
  </r>
  <r>
    <x v="20"/>
    <s v="Club SP Municipal Eaubonne"/>
    <x v="0"/>
    <n v="95"/>
    <x v="2"/>
    <m/>
  </r>
  <r>
    <x v="20"/>
    <s v="Sport Ensemble"/>
    <x v="3"/>
    <n v="4"/>
    <x v="2"/>
    <m/>
  </r>
  <r>
    <x v="20"/>
    <s v="Budo Club Montigny"/>
    <x v="0"/>
    <n v="9"/>
    <x v="2"/>
    <m/>
  </r>
  <r>
    <x v="20"/>
    <s v="Union Karaté Tsuki"/>
    <x v="0"/>
    <n v="0"/>
    <x v="2"/>
    <m/>
  </r>
  <r>
    <x v="20"/>
    <s v="Yoseikan Budo Vauréal"/>
    <x v="0"/>
    <n v="0"/>
    <x v="2"/>
    <m/>
  </r>
  <r>
    <x v="20"/>
    <s v="Yi King Do Tokolelei"/>
    <x v="0"/>
    <n v="4"/>
    <x v="2"/>
    <m/>
  </r>
  <r>
    <x v="20"/>
    <s v="Kime Club Karaté"/>
    <x v="0"/>
    <n v="17"/>
    <x v="2"/>
    <m/>
  </r>
  <r>
    <x v="20"/>
    <s v="Assoa Karaté"/>
    <x v="0"/>
    <n v="30"/>
    <x v="2"/>
    <m/>
  </r>
  <r>
    <x v="20"/>
    <s v="Karaté Club Domont"/>
    <x v="0"/>
    <n v="114"/>
    <x v="2"/>
    <m/>
  </r>
  <r>
    <x v="20"/>
    <s v="SKJ Jouy Le Moutier"/>
    <x v="0"/>
    <n v="24"/>
    <x v="2"/>
    <m/>
  </r>
  <r>
    <x v="20"/>
    <s v="SIU Lam Self Defense"/>
    <x v="0"/>
    <n v="0"/>
    <x v="2"/>
    <m/>
  </r>
  <r>
    <x v="20"/>
    <s v="Maison des Loisirs et Culture"/>
    <x v="3"/>
    <n v="4"/>
    <x v="2"/>
    <m/>
  </r>
  <r>
    <x v="20"/>
    <s v="Karaté Club de Goussainville"/>
    <x v="2"/>
    <n v="71"/>
    <x v="2"/>
    <m/>
  </r>
  <r>
    <x v="20"/>
    <s v="Arts Martiaux Ermontois"/>
    <x v="0"/>
    <n v="49"/>
    <x v="2"/>
    <m/>
  </r>
  <r>
    <x v="20"/>
    <s v="Gonesse Karaté Club"/>
    <x v="2"/>
    <n v="8"/>
    <x v="2"/>
    <m/>
  </r>
  <r>
    <x v="20"/>
    <s v="Karaté Club Eragny"/>
    <x v="0"/>
    <n v="35"/>
    <x v="2"/>
    <m/>
  </r>
  <r>
    <x v="20"/>
    <s v="Hehio Dojo Le Thillay"/>
    <x v="2"/>
    <n v="9"/>
    <x v="2"/>
    <m/>
  </r>
  <r>
    <x v="20"/>
    <s v="Karaté CMOL"/>
    <x v="2"/>
    <n v="8"/>
    <x v="2"/>
    <m/>
  </r>
  <r>
    <x v="20"/>
    <s v="Shotokan MC Marly La Ville"/>
    <x v="2"/>
    <n v="9"/>
    <x v="2"/>
    <m/>
  </r>
  <r>
    <x v="20"/>
    <s v="Team Kombat Club Saint Brice"/>
    <x v="0"/>
    <n v="61"/>
    <x v="2"/>
    <m/>
  </r>
  <r>
    <x v="20"/>
    <s v="Union Karaté Tsuki UKT Beauchamp"/>
    <x v="0"/>
    <n v="7"/>
    <x v="2"/>
    <m/>
  </r>
  <r>
    <x v="20"/>
    <s v="Karaté Club de Fosses"/>
    <x v="2"/>
    <n v="31"/>
    <x v="2"/>
    <m/>
  </r>
  <r>
    <x v="20"/>
    <s v="Les Dragons de la Récré"/>
    <x v="0"/>
    <n v="3"/>
    <x v="2"/>
    <m/>
  </r>
  <r>
    <x v="20"/>
    <s v="Union de Viet Vo Dao De Méry"/>
    <x v="0"/>
    <n v="17"/>
    <x v="2"/>
    <m/>
  </r>
  <r>
    <x v="20"/>
    <s v="Kim Ho Le Tigre Jaune"/>
    <x v="3"/>
    <n v="0"/>
    <x v="2"/>
    <m/>
  </r>
  <r>
    <x v="20"/>
    <s v="Shin Kokyu Ryu Eam Val d'Oise"/>
    <x v="0"/>
    <n v="4"/>
    <x v="2"/>
    <m/>
  </r>
  <r>
    <x v="20"/>
    <s v="Dragon de Taverny"/>
    <x v="0"/>
    <n v="0"/>
    <x v="2"/>
    <m/>
  </r>
  <r>
    <x v="20"/>
    <s v="ASCA Ermont Yoseikan Aiki"/>
    <x v="0"/>
    <n v="11"/>
    <x v="2"/>
    <m/>
  </r>
  <r>
    <x v="20"/>
    <s v="Sports Saint Clair"/>
    <x v="3"/>
    <n v="0"/>
    <x v="2"/>
    <m/>
  </r>
  <r>
    <x v="20"/>
    <s v="Karaté Club Deuil-la-Barre"/>
    <x v="0"/>
    <n v="30"/>
    <x v="2"/>
    <m/>
  </r>
  <r>
    <x v="20"/>
    <s v="Chia se Fight - Partage du Combat"/>
    <x v="0"/>
    <n v="6"/>
    <x v="2"/>
    <m/>
  </r>
  <r>
    <x v="20"/>
    <s v="Association de Sport et de Culture du Vietnam"/>
    <x v="0"/>
    <n v="13"/>
    <x v="2"/>
    <m/>
  </r>
  <r>
    <x v="20"/>
    <s v="Geibukikan"/>
    <x v="0"/>
    <n v="1"/>
    <x v="2"/>
    <m/>
  </r>
  <r>
    <x v="20"/>
    <s v="Kikentai Karaté Sait Leu"/>
    <x v="0"/>
    <n v="6"/>
    <x v="2"/>
    <m/>
  </r>
  <r>
    <x v="20"/>
    <s v="Amt Thieu LamNoi Quyen CL NET NHI HO"/>
    <x v="3"/>
    <n v="12"/>
    <x v="2"/>
    <m/>
  </r>
  <r>
    <x v="20"/>
    <s v="Yi King Do Jouy le Moutier"/>
    <x v="0"/>
    <n v="13"/>
    <x v="2"/>
    <m/>
  </r>
  <r>
    <x v="20"/>
    <s v="Athletic Karaté Arnouville"/>
    <x v="2"/>
    <n v="38"/>
    <x v="2"/>
    <m/>
  </r>
  <r>
    <x v="20"/>
    <s v="Union Sportive Argenteuillaise Section KravMaga"/>
    <x v="0"/>
    <n v="0"/>
    <x v="2"/>
    <m/>
  </r>
  <r>
    <x v="20"/>
    <s v="Association Sportive Fight Budo Sport"/>
    <x v="0"/>
    <n v="7"/>
    <x v="2"/>
    <m/>
  </r>
  <r>
    <x v="20"/>
    <s v="AS d'Arts Martiaux et de Bien Être NT HOA KIM LONG"/>
    <x v="3"/>
    <n v="1"/>
    <x v="2"/>
    <m/>
  </r>
  <r>
    <x v="20"/>
    <s v="Nihon Tai Jitsu Club de Pierrelaye"/>
    <x v="0"/>
    <n v="2"/>
    <x v="2"/>
    <m/>
  </r>
  <r>
    <x v="20"/>
    <s v="Karaté Pierrelaye"/>
    <x v="0"/>
    <n v="4"/>
    <x v="2"/>
    <m/>
  </r>
  <r>
    <x v="20"/>
    <s v="Krav Maga du Plessis Bouchard"/>
    <x v="0"/>
    <n v="20"/>
    <x v="2"/>
    <m/>
  </r>
  <r>
    <x v="20"/>
    <s v="Uraken Karaté Club"/>
    <x v="0"/>
    <n v="10"/>
    <x v="2"/>
    <m/>
  </r>
  <r>
    <x v="20"/>
    <s v="Karaté Club Menoucourt"/>
    <x v="0"/>
    <n v="8"/>
    <x v="2"/>
    <m/>
  </r>
  <r>
    <x v="20"/>
    <s v="Koryu Karaté Budo Traditionnel"/>
    <x v="0"/>
    <n v="2"/>
    <x v="2"/>
    <m/>
  </r>
  <r>
    <x v="20"/>
    <s v="Tai Nui Kung Fu Academy"/>
    <x v="2"/>
    <n v="2"/>
    <x v="2"/>
    <m/>
  </r>
  <r>
    <x v="20"/>
    <s v="Coma Club Olympique Multisports d'Argenteuil"/>
    <x v="0"/>
    <n v="11"/>
    <x v="2"/>
    <m/>
  </r>
  <r>
    <x v="20"/>
    <s v="Crea Qi Long"/>
    <x v="0"/>
    <n v="5"/>
    <x v="2"/>
    <m/>
  </r>
  <r>
    <x v="20"/>
    <s v="Yosekan Budo Val de France "/>
    <x v="2"/>
    <n v="6"/>
    <x v="2"/>
    <m/>
  </r>
  <r>
    <x v="20"/>
    <s v="Union des Systèmes de Arts Multiples"/>
    <x v="0"/>
    <n v="0"/>
    <x v="2"/>
    <m/>
  </r>
  <r>
    <x v="20"/>
    <s v="Viva Gym"/>
    <x v="3"/>
    <n v="11"/>
    <x v="2"/>
    <m/>
  </r>
  <r>
    <x v="20"/>
    <s v="Karaté Oxygen Chars"/>
    <x v="1"/>
    <n v="2"/>
    <x v="2"/>
    <m/>
  </r>
  <r>
    <x v="20"/>
    <s v="Boxing Union Club de Sannois"/>
    <x v="0"/>
    <n v="27"/>
    <x v="2"/>
    <m/>
  </r>
  <r>
    <x v="20"/>
    <s v="ASLCV Karaté"/>
    <x v="0"/>
    <n v="25"/>
    <x v="2"/>
    <m/>
  </r>
  <r>
    <x v="20"/>
    <s v="Krav Maga Sannois Défense"/>
    <x v="0"/>
    <n v="33"/>
    <x v="2"/>
    <m/>
  </r>
  <r>
    <x v="20"/>
    <s v="Shotokan Karaté Club Vémars"/>
    <x v="2"/>
    <n v="5"/>
    <x v="2"/>
    <m/>
  </r>
  <r>
    <x v="20"/>
    <s v="Dynamic Contact"/>
    <x v="3"/>
    <n v="6"/>
    <x v="2"/>
    <m/>
  </r>
  <r>
    <x v="20"/>
    <s v="Yi-King Do Long Trung Thanh"/>
    <x v="0"/>
    <n v="7"/>
    <x v="2"/>
    <m/>
  </r>
  <r>
    <x v="20"/>
    <s v="Wind Team Pankido"/>
    <x v="2"/>
    <n v="2"/>
    <x v="2"/>
    <m/>
  </r>
  <r>
    <x v="20"/>
    <s v="Krav Maga Global Val d'Oise"/>
    <x v="0"/>
    <n v="53"/>
    <x v="2"/>
    <m/>
  </r>
  <r>
    <x v="20"/>
    <s v="KEJ - Jouy le Moutier Elite Karaté"/>
    <x v="0"/>
    <n v="19"/>
    <x v="2"/>
    <m/>
  </r>
  <r>
    <x v="20"/>
    <s v="Pontoise Judo"/>
    <x v="0"/>
    <n v="6"/>
    <x v="2"/>
    <m/>
  </r>
  <r>
    <x v="20"/>
    <s v="Ecole de Karaté du Vexin"/>
    <x v="1"/>
    <n v="2"/>
    <x v="2"/>
    <m/>
  </r>
  <r>
    <x v="20"/>
    <s v="Ikkyü"/>
    <x v="3"/>
    <n v="3"/>
    <x v="2"/>
    <m/>
  </r>
  <r>
    <x v="20"/>
    <s v="Ecole de Silat Défense Adamois"/>
    <x v="0"/>
    <n v="24"/>
    <x v="2"/>
    <m/>
  </r>
  <r>
    <x v="20"/>
    <s v="Aplmat Epluches 95"/>
    <x v="0"/>
    <n v="5"/>
    <x v="2"/>
    <m/>
  </r>
  <r>
    <x v="21"/>
    <s v="Big Wall Franconville"/>
    <x v="0"/>
    <n v="71"/>
    <x v="1"/>
    <s v="Lucas GELPI"/>
  </r>
  <r>
    <x v="21"/>
    <s v="Block Out Cergy"/>
    <x v="0"/>
    <n v="11"/>
    <x v="1"/>
    <s v="Vincent GAUDIN"/>
  </r>
  <r>
    <x v="21"/>
    <s v="Club des Champioux Argenteuil"/>
    <x v="0"/>
    <n v="14"/>
    <x v="1"/>
    <s v="Yannick RONDEAU"/>
  </r>
  <r>
    <x v="21"/>
    <s v="Club Escalade Beaumontois"/>
    <x v="0"/>
    <n v="77"/>
    <x v="1"/>
    <s v="Yoann BALLURIAUD"/>
  </r>
  <r>
    <x v="21"/>
    <s v="Club Escalade Villers le Bel"/>
    <x v="2"/>
    <n v="62"/>
    <x v="1"/>
    <s v="Christophe GUILLOT"/>
  </r>
  <r>
    <x v="21"/>
    <s v="Club Vertical Ermontois"/>
    <x v="0"/>
    <n v="40"/>
    <x v="1"/>
    <s v="Charles PENVEN"/>
  </r>
  <r>
    <x v="21"/>
    <s v="GERC"/>
    <x v="0"/>
    <n v="84"/>
    <x v="1"/>
    <s v="Laurent CATTANEO"/>
  </r>
  <r>
    <x v="21"/>
    <s v="Les Lézards"/>
    <x v="0"/>
    <n v="64"/>
    <x v="1"/>
    <s v="Stéphane AGULAR"/>
  </r>
  <r>
    <x v="21"/>
    <s v="Mur d'Eau Île-de-France"/>
    <x v="0"/>
    <n v="1"/>
    <x v="1"/>
    <s v="Eric BAUDRY"/>
  </r>
  <r>
    <x v="21"/>
    <s v="Verticale UNION"/>
    <x v="0"/>
    <n v="46"/>
    <x v="1"/>
    <s v="Jérôme MARCHAND"/>
  </r>
  <r>
    <x v="22"/>
    <s v="BRUYERES USM"/>
    <x v="0"/>
    <n v="3"/>
    <x v="2"/>
    <s v="M.FRANQUELIN"/>
  </r>
  <r>
    <x v="22"/>
    <s v="ASNIERES S/OISE CB"/>
    <x v="0"/>
    <n v="1"/>
    <x v="2"/>
    <s v="D.DELOUVIEN"/>
  </r>
  <r>
    <x v="22"/>
    <s v="BOULE MENUCOURTOISE"/>
    <x v="0"/>
    <n v="3"/>
    <x v="2"/>
    <s v="A.TONIN"/>
  </r>
  <r>
    <x v="22"/>
    <s v="CERGY RB"/>
    <x v="0"/>
    <n v="6"/>
    <x v="2"/>
    <s v="B.GENTILI"/>
  </r>
  <r>
    <x v="22"/>
    <s v="JOUY LE MOUTIER"/>
    <x v="0"/>
    <n v="4"/>
    <x v="2"/>
    <s v="J.DUMONT"/>
  </r>
  <r>
    <x v="22"/>
    <s v="SARCELLES AB"/>
    <x v="2"/>
    <n v="3"/>
    <x v="2"/>
    <s v="H.FELER"/>
  </r>
  <r>
    <x v="22"/>
    <s v="VAUREAL AS"/>
    <x v="0"/>
    <n v="6"/>
    <x v="2"/>
    <s v="F.MEZGHINI"/>
  </r>
  <r>
    <x v="22"/>
    <s v="BOULE MARLYSIENNE"/>
    <x v="2"/>
    <n v="4"/>
    <x v="2"/>
    <s v="A.SEISEN"/>
  </r>
  <r>
    <x v="22"/>
    <s v="ECOUEN AB"/>
    <x v="0"/>
    <n v="5"/>
    <x v="2"/>
    <s v="M.PASQUET"/>
  </r>
  <r>
    <x v="22"/>
    <s v="BEAUCHAMP PETANQUE"/>
    <x v="0"/>
    <n v="9"/>
    <x v="2"/>
    <s v="C.LELEU"/>
  </r>
  <r>
    <x v="22"/>
    <s v="FOSSES BS"/>
    <x v="2"/>
    <n v="6"/>
    <x v="2"/>
    <s v="M.COURAT"/>
  </r>
  <r>
    <x v="22"/>
    <s v="BELLOY CBBF"/>
    <x v="0"/>
    <n v="5"/>
    <x v="2"/>
    <s v="E.PARENT"/>
  </r>
  <r>
    <x v="22"/>
    <s v="AB VILLAINOIS"/>
    <x v="0"/>
    <n v="6"/>
    <x v="2"/>
    <s v="M.MILLET"/>
  </r>
  <r>
    <x v="22"/>
    <s v="ABC COURDIMANCHE"/>
    <x v="0"/>
    <n v="6"/>
    <x v="2"/>
    <s v="Y.BOUDIN"/>
  </r>
  <r>
    <x v="22"/>
    <s v="MARGENCY"/>
    <x v="0"/>
    <n v="1"/>
    <x v="2"/>
    <s v="C.HERVE"/>
  </r>
  <r>
    <x v="22"/>
    <s v="PET. ADAMOISE"/>
    <x v="0"/>
    <n v="1"/>
    <x v="2"/>
    <s v="D.LAURENT"/>
  </r>
  <r>
    <x v="22"/>
    <s v="SP SAINT OUEN L’AUM."/>
    <x v="0"/>
    <n v="5"/>
    <x v="2"/>
    <s v="S.MARIE"/>
  </r>
  <r>
    <x v="22"/>
    <s v="DOMONTOISE"/>
    <x v="0"/>
    <n v="3"/>
    <x v="2"/>
    <s v="M.COZIC"/>
  </r>
  <r>
    <x v="22"/>
    <s v="VEMARS P.C"/>
    <x v="2"/>
    <n v="1"/>
    <x v="2"/>
    <s v="L.GIBERT"/>
  </r>
  <r>
    <x v="22"/>
    <s v="TAVERNY PETANQUE"/>
    <x v="0"/>
    <n v="3"/>
    <x v="2"/>
    <s v="J.RODRIGUES"/>
  </r>
  <r>
    <x v="22"/>
    <s v="BEAUMONT USMB"/>
    <x v="0"/>
    <n v="3"/>
    <x v="2"/>
    <s v="P.LEROY"/>
  </r>
  <r>
    <x v="22"/>
    <s v="MERY US"/>
    <x v="0"/>
    <n v="2"/>
    <x v="2"/>
    <s v="P.SDEO"/>
  </r>
  <r>
    <x v="22"/>
    <s v="PRESLES USL"/>
    <x v="0"/>
    <n v="1"/>
    <x v="2"/>
    <s v="JP DEBAYE"/>
  </r>
  <r>
    <x v="22"/>
    <s v="EAUBONNE CSM"/>
    <x v="0"/>
    <n v="1"/>
    <x v="2"/>
    <s v="P.COMBESCOT"/>
  </r>
  <r>
    <x v="22"/>
    <s v="HERBLAY ASP"/>
    <x v="0"/>
    <n v="11"/>
    <x v="2"/>
    <s v="G.TKATCHENKO"/>
  </r>
  <r>
    <x v="22"/>
    <s v="MERIEL PETANQUE"/>
    <x v="0"/>
    <n v="3"/>
    <x v="2"/>
    <s v="P.VARLET"/>
  </r>
  <r>
    <x v="22"/>
    <s v="MONTSOULT USMBM"/>
    <x v="0"/>
    <n v="3"/>
    <x v="2"/>
    <s v="M.MARTINS"/>
  </r>
  <r>
    <x v="22"/>
    <s v="CHAMPAGNE SUR OISE"/>
    <x v="0"/>
    <n v="4"/>
    <x v="2"/>
    <s v="F.HENNION"/>
  </r>
  <r>
    <x v="22"/>
    <s v="BOULISTES DE TAVERNY"/>
    <x v="0"/>
    <n v="10"/>
    <x v="2"/>
    <s v="P.HUCHEDE"/>
  </r>
  <r>
    <x v="22"/>
    <s v="ARNOUVILLE"/>
    <x v="2"/>
    <n v="7"/>
    <x v="2"/>
    <s v="J.THIBAUT"/>
  </r>
  <r>
    <x v="22"/>
    <s v="BOUFFEMONT"/>
    <x v="0"/>
    <n v="9"/>
    <x v="2"/>
    <s v="JL PICCOLI"/>
  </r>
  <r>
    <x v="22"/>
    <s v="PERSAN"/>
    <x v="0"/>
    <n v="11"/>
    <x v="2"/>
    <s v="F.MARTIN"/>
  </r>
  <r>
    <x v="22"/>
    <s v="FRANCONVILLE PC"/>
    <x v="0"/>
    <n v="17"/>
    <x v="2"/>
    <s v="M.ABREU"/>
  </r>
  <r>
    <x v="22"/>
    <s v="EZANVILLE"/>
    <x v="0"/>
    <n v="10"/>
    <x v="2"/>
    <s v="D.LANDES"/>
  </r>
  <r>
    <x v="22"/>
    <s v="SAINT BRICE AAE"/>
    <x v="0"/>
    <n v="11"/>
    <x v="2"/>
    <s v="B.FERRARI"/>
  </r>
  <r>
    <x v="22"/>
    <s v="LUZARCHES ADL"/>
    <x v="0"/>
    <n v="5"/>
    <x v="2"/>
    <s v="M.TERRAI"/>
  </r>
  <r>
    <x v="22"/>
    <s v="SANNOIS"/>
    <x v="0"/>
    <n v="3"/>
    <x v="2"/>
    <s v="G.SEVEGRAND"/>
  </r>
  <r>
    <x v="22"/>
    <s v="LOUVRES"/>
    <x v="2"/>
    <n v="1"/>
    <x v="2"/>
    <s v="O.ULF"/>
  </r>
  <r>
    <x v="22"/>
    <s v="OSNY"/>
    <x v="0"/>
    <n v="4"/>
    <x v="2"/>
    <s v="F.FOURNIER"/>
  </r>
  <r>
    <x v="22"/>
    <s v="ARGENTEUIL"/>
    <x v="0"/>
    <n v="14"/>
    <x v="2"/>
    <s v="L.MARAIS"/>
  </r>
  <r>
    <x v="22"/>
    <s v="MONTIGNY AB"/>
    <x v="0"/>
    <n v="3"/>
    <x v="2"/>
    <s v="B.GUIBOURET"/>
  </r>
  <r>
    <x v="22"/>
    <s v="GONESSE"/>
    <x v="2"/>
    <n v="4"/>
    <x v="2"/>
    <s v="G.LANCELLE"/>
  </r>
  <r>
    <x v="22"/>
    <s v="ROISSY BR"/>
    <x v="2"/>
    <n v="16"/>
    <x v="2"/>
    <s v="F.DUBUS"/>
  </r>
  <r>
    <x v="22"/>
    <s v="BESSANCOURT"/>
    <x v="0"/>
    <n v="8"/>
    <x v="2"/>
    <s v="F.CLOCHER"/>
  </r>
  <r>
    <x v="22"/>
    <s v="BAILLET"/>
    <x v="0"/>
    <n v="9"/>
    <x v="2"/>
    <s v="H.SALKOWSKI"/>
  </r>
  <r>
    <x v="22"/>
    <s v="PLESSIS BOUCHARD BS"/>
    <x v="0"/>
    <n v="9"/>
    <x v="2"/>
    <s v="D.CHANCE"/>
  </r>
  <r>
    <x v="23"/>
    <s v="CD Rugby Val d'Oise "/>
    <x v="0"/>
    <n v="1"/>
    <x v="1"/>
    <s v="G Derus"/>
  </r>
  <r>
    <x v="23"/>
    <s v="AASS"/>
    <x v="2"/>
    <n v="5"/>
    <x v="1"/>
    <s v="F Dolo"/>
  </r>
  <r>
    <x v="23"/>
    <s v="PRC"/>
    <x v="0"/>
    <n v="58"/>
    <x v="1"/>
    <s v="M Schweitzer"/>
  </r>
  <r>
    <x v="23"/>
    <s v="RCVMS"/>
    <x v="0"/>
    <n v="4"/>
    <x v="1"/>
    <s v="A Jacquemard / A Dalous"/>
  </r>
  <r>
    <x v="23"/>
    <s v="RCIA"/>
    <x v="0"/>
    <n v="5"/>
    <x v="1"/>
    <s v="B Quadrone"/>
  </r>
  <r>
    <x v="23"/>
    <s v="EGGXV"/>
    <x v="0"/>
    <n v="6"/>
    <x v="1"/>
    <s v="JL Balestriero"/>
  </r>
  <r>
    <x v="23"/>
    <s v="ORCA"/>
    <x v="0"/>
    <n v="16"/>
    <x v="1"/>
    <s v="Y Sahila"/>
  </r>
  <r>
    <x v="23"/>
    <s v="SDRC"/>
    <x v="0"/>
    <n v="43"/>
    <x v="1"/>
    <s v="S Vidal"/>
  </r>
  <r>
    <x v="23"/>
    <s v="RCACP"/>
    <x v="0"/>
    <n v="7"/>
    <x v="0"/>
    <s v="Mme S Clary"/>
  </r>
  <r>
    <x v="23"/>
    <s v="RCMSO"/>
    <x v="0"/>
    <n v="1"/>
    <x v="1"/>
    <s v="JP Pernot"/>
  </r>
  <r>
    <x v="23"/>
    <s v="ERV"/>
    <x v="2"/>
    <n v="2"/>
    <x v="1"/>
    <s v="L Metzger"/>
  </r>
  <r>
    <x v="24"/>
    <s v="S C de la Mare des Noues"/>
    <x v="0"/>
    <n v="20"/>
    <x v="1"/>
    <s v="M. Franck SOULAGE"/>
  </r>
  <r>
    <x v="24"/>
    <s v="Clan Speleo Pontoisien"/>
    <x v="0"/>
    <n v="1"/>
    <x v="1"/>
    <s v="M. Fabrice DASSE"/>
  </r>
  <r>
    <x v="24"/>
    <s v="Car D IDF"/>
    <x v="0"/>
    <n v="6"/>
    <x v="1"/>
    <s v="M. Christian BENEL"/>
  </r>
  <r>
    <x v="24"/>
    <s v="INDIV"/>
    <x v="3"/>
    <n v="3"/>
    <x v="2"/>
    <m/>
  </r>
  <r>
    <x v="25"/>
    <s v="Argenteuil Sport de Glace "/>
    <x v="0"/>
    <n v="111"/>
    <x v="0"/>
    <s v="Joelle CAPRON "/>
  </r>
  <r>
    <x v="25"/>
    <s v="C.S.G Cergy Pontoise "/>
    <x v="0"/>
    <n v="264"/>
    <x v="0"/>
    <s v="Brigitte GASPAR"/>
  </r>
  <r>
    <x v="25"/>
    <s v="Franconville Sport de Glace "/>
    <x v="0"/>
    <n v="381"/>
    <x v="0"/>
    <s v="Alexia STELLIDIS"/>
  </r>
  <r>
    <x v="25"/>
    <s v="Garge les Gonesse Sports de Glace"/>
    <x v="2"/>
    <n v="68"/>
    <x v="0"/>
    <s v="Noelle SALFATI"/>
  </r>
  <r>
    <x v="26"/>
    <s v="OS Sannois "/>
    <x v="0"/>
    <n v="352"/>
    <x v="0"/>
    <s v="Lydia SALOMON"/>
  </r>
  <r>
    <x v="26"/>
    <s v="Squash du Cygne Enghein"/>
    <x v="0"/>
    <n v="396"/>
    <x v="1"/>
    <s v="Jeremy AILLOUX"/>
  </r>
  <r>
    <x v="26"/>
    <s v="Squash 95 Saint Ouen l'Aumone"/>
    <x v="0"/>
    <n v="132"/>
    <x v="1"/>
    <s v="Grégory MERCIER "/>
  </r>
  <r>
    <x v="27"/>
    <s v="A.S.P.T.T.  CERGY PONTOISE"/>
    <x v="0"/>
    <n v="2"/>
    <x v="2"/>
    <s v="MENDY"/>
  </r>
  <r>
    <x v="27"/>
    <s v="ABLEIGES TC"/>
    <x v="1"/>
    <n v="10"/>
    <x v="2"/>
    <s v="PASSARD"/>
  </r>
  <r>
    <x v="27"/>
    <s v="ADAMOIS (LE TENNIS)"/>
    <x v="0"/>
    <n v="162"/>
    <x v="2"/>
    <s v="ELHAIK"/>
  </r>
  <r>
    <x v="27"/>
    <s v="ARGENTEUIL TENNIS CLUB"/>
    <x v="0"/>
    <n v="98"/>
    <x v="2"/>
    <s v="MEBOUNOU"/>
  </r>
  <r>
    <x v="27"/>
    <s v="ARNOUVILLE TC"/>
    <x v="2"/>
    <n v="32"/>
    <x v="2"/>
    <s v="FAYE NEUVILLE"/>
  </r>
  <r>
    <x v="27"/>
    <s v="ARTHIES (AMICALE TENNIS D')"/>
    <x v="1"/>
    <n v="29"/>
    <x v="2"/>
    <s v="MORA"/>
  </r>
  <r>
    <x v="27"/>
    <s v="AUVERSOIS TC"/>
    <x v="0"/>
    <n v="64"/>
    <x v="2"/>
    <s v="CLIMENT"/>
  </r>
  <r>
    <x v="27"/>
    <s v="BEAUCHAMP (AT)"/>
    <x v="0"/>
    <n v="57"/>
    <x v="2"/>
    <s v="LECOQ"/>
  </r>
  <r>
    <x v="27"/>
    <s v="BEAUMONTOIS (TC)"/>
    <x v="0"/>
    <n v="27"/>
    <x v="2"/>
    <s v="LEBOEUF"/>
  </r>
  <r>
    <x v="27"/>
    <s v="BESSANCOURT TC"/>
    <x v="0"/>
    <n v="44"/>
    <x v="2"/>
    <s v="PETIT"/>
  </r>
  <r>
    <x v="27"/>
    <s v="BEZONS (USO)"/>
    <x v="0"/>
    <n v="83"/>
    <x v="2"/>
    <s v="ESPINET"/>
  </r>
  <r>
    <x v="27"/>
    <s v="BOISEMONT TENNIS LOISIRS"/>
    <x v="0"/>
    <n v="4"/>
    <x v="2"/>
    <s v="MERVEILLE"/>
  </r>
  <r>
    <x v="27"/>
    <s v="BOUFFEMONT TC"/>
    <x v="0"/>
    <n v="32"/>
    <x v="2"/>
    <s v="LAMARE"/>
  </r>
  <r>
    <x v="27"/>
    <s v="BUTRY TC"/>
    <x v="1"/>
    <n v="12"/>
    <x v="2"/>
    <s v="GEORGELIN"/>
  </r>
  <r>
    <x v="27"/>
    <s v="BUXERIEN TC"/>
    <x v="1"/>
    <n v="34"/>
    <x v="2"/>
    <s v="VERRIER"/>
  </r>
  <r>
    <x v="27"/>
    <s v="CERGY TC"/>
    <x v="0"/>
    <n v="179"/>
    <x v="2"/>
    <s v="AMAR"/>
  </r>
  <r>
    <x v="27"/>
    <s v="CHAMPAGNE (TC)"/>
    <x v="0"/>
    <n v="37"/>
    <x v="2"/>
    <s v="BANDOIS-CERVEAU"/>
  </r>
  <r>
    <x v="27"/>
    <s v="CHAUMONTEL USCT"/>
    <x v="0"/>
    <n v="8"/>
    <x v="2"/>
    <s v="FRONTEZAK"/>
  </r>
  <r>
    <x v="27"/>
    <s v="CORMEILLAIS (ACS)"/>
    <x v="0"/>
    <n v="135"/>
    <x v="2"/>
    <s v="DIAS"/>
  </r>
  <r>
    <x v="27"/>
    <s v="CORMEILLES EN VEXIN TC"/>
    <x v="1"/>
    <n v="22"/>
    <x v="2"/>
    <s v="MAHIEU"/>
  </r>
  <r>
    <x v="27"/>
    <s v="COURDIMANCHE T.C"/>
    <x v="0"/>
    <n v="79"/>
    <x v="2"/>
    <s v="FROMONT"/>
  </r>
  <r>
    <x v="27"/>
    <s v="DEUIL USDEM TENNIS"/>
    <x v="0"/>
    <n v="156"/>
    <x v="2"/>
    <s v="RICHE-DEKEIREL"/>
  </r>
  <r>
    <x v="27"/>
    <s v="DOMONT TENNIS CLUB"/>
    <x v="0"/>
    <n v="52"/>
    <x v="2"/>
    <s v="HERRGOTT"/>
  </r>
  <r>
    <x v="27"/>
    <s v="EAUBONNE (CSM)"/>
    <x v="0"/>
    <n v="264"/>
    <x v="2"/>
    <s v="VINCIGUERRA"/>
  </r>
  <r>
    <x v="27"/>
    <s v="EAUBONNE (JA)"/>
    <x v="0"/>
    <n v="28"/>
    <x v="2"/>
    <s v="IVANOFF"/>
  </r>
  <r>
    <x v="27"/>
    <s v="ENGHIEN TC"/>
    <x v="0"/>
    <n v="86"/>
    <x v="2"/>
    <s v="SERVALLI"/>
  </r>
  <r>
    <x v="27"/>
    <s v="ENNERY US"/>
    <x v="1"/>
    <n v="27"/>
    <x v="2"/>
    <s v="DELACOUR"/>
  </r>
  <r>
    <x v="27"/>
    <s v="ERAGNY  TC"/>
    <x v="0"/>
    <n v="94"/>
    <x v="2"/>
    <s v="COLASSON"/>
  </r>
  <r>
    <x v="27"/>
    <s v="ERMONT A.C.T."/>
    <x v="0"/>
    <n v="204"/>
    <x v="2"/>
    <s v="RUBIO"/>
  </r>
  <r>
    <x v="27"/>
    <s v="EZANVILLE-ECOUEN (US)"/>
    <x v="0"/>
    <n v="51"/>
    <x v="2"/>
    <s v="BAEY"/>
  </r>
  <r>
    <x v="27"/>
    <s v="FONTENAY TENNIS CLUB"/>
    <x v="0"/>
    <n v="15"/>
    <x v="2"/>
    <s v="DE CHAUNAC"/>
  </r>
  <r>
    <x v="27"/>
    <s v="FOSSES (AT)"/>
    <x v="2"/>
    <n v="34"/>
    <x v="2"/>
    <s v="DELARUELLE"/>
  </r>
  <r>
    <x v="27"/>
    <s v="FRANCONVILLE TC"/>
    <x v="0"/>
    <n v="111"/>
    <x v="2"/>
    <s v="OPERIOL"/>
  </r>
  <r>
    <x v="27"/>
    <s v="GARGEOISE (AS)"/>
    <x v="2"/>
    <n v="24"/>
    <x v="2"/>
    <s v="DIEN"/>
  </r>
  <r>
    <x v="27"/>
    <s v="GONESSE TC"/>
    <x v="2"/>
    <n v="99"/>
    <x v="2"/>
    <s v="HENNEBELLE"/>
  </r>
  <r>
    <x v="27"/>
    <s v="GOUSSAINVILLE (TCM)"/>
    <x v="2"/>
    <n v="147"/>
    <x v="2"/>
    <s v="POIRIER"/>
  </r>
  <r>
    <x v="27"/>
    <s v="GROSLAY TENNIS CLUB"/>
    <x v="0"/>
    <n v="15"/>
    <x v="2"/>
    <s v="DELPLANQUE"/>
  </r>
  <r>
    <x v="27"/>
    <s v="GUYONNAIS TC"/>
    <x v="2"/>
    <n v="7"/>
    <x v="2"/>
    <s v="HEBERT-LEBRONEC"/>
  </r>
  <r>
    <x v="27"/>
    <s v="HERBLAY (AST)"/>
    <x v="0"/>
    <n v="174"/>
    <x v="2"/>
    <s v="LABOUREL"/>
  </r>
  <r>
    <x v="27"/>
    <s v="JOCASSIEN TC"/>
    <x v="0"/>
    <n v="96"/>
    <x v="2"/>
    <s v="BURLOT"/>
  </r>
  <r>
    <x v="27"/>
    <s v="LA CHATAIGNERAIE  TC"/>
    <x v="0"/>
    <n v="114"/>
    <x v="2"/>
    <s v="MARCEL"/>
  </r>
  <r>
    <x v="27"/>
    <s v="LA FRETTE TC"/>
    <x v="0"/>
    <n v="65"/>
    <x v="2"/>
    <s v="SOUPLET"/>
  </r>
  <r>
    <x v="27"/>
    <s v="LOUVRES (CMO)"/>
    <x v="2"/>
    <n v="65"/>
    <x v="2"/>
    <s v="LEVASSEUR"/>
  </r>
  <r>
    <x v="27"/>
    <s v="LUZARCHES (TC)"/>
    <x v="0"/>
    <n v="30"/>
    <x v="2"/>
    <s v="LOZOYO"/>
  </r>
  <r>
    <x v="27"/>
    <s v="MAGNY (TC)"/>
    <x v="1"/>
    <n v="61"/>
    <x v="2"/>
    <s v="DUBOST"/>
  </r>
  <r>
    <x v="27"/>
    <s v="MARGENCY (TC)"/>
    <x v="0"/>
    <n v="36"/>
    <x v="2"/>
    <s v="MAROSTEGAN"/>
  </r>
  <r>
    <x v="27"/>
    <s v="MARINES (TC)"/>
    <x v="1"/>
    <n v="39"/>
    <x v="2"/>
    <s v="BOUSCHBACHER"/>
  </r>
  <r>
    <x v="27"/>
    <s v="MARLY LA VILLE TENNIS CLUB"/>
    <x v="2"/>
    <n v="58"/>
    <x v="2"/>
    <s v="HURTEL"/>
  </r>
  <r>
    <x v="27"/>
    <s v="MENUCOURT TC"/>
    <x v="0"/>
    <n v="85"/>
    <x v="2"/>
    <s v="FOURNIER"/>
  </r>
  <r>
    <x v="27"/>
    <s v="MERIEL (AT)"/>
    <x v="0"/>
    <n v="38"/>
    <x v="2"/>
    <s v="DAUTREME"/>
  </r>
  <r>
    <x v="27"/>
    <s v="MERY SUR OISE TC"/>
    <x v="0"/>
    <n v="76"/>
    <x v="2"/>
    <s v="BARLIER"/>
  </r>
  <r>
    <x v="27"/>
    <s v="MONTIGNY (TENNIS CLUB MUNICIPAL)"/>
    <x v="0"/>
    <n v="64"/>
    <x v="2"/>
    <s v="FIGAREAU"/>
  </r>
  <r>
    <x v="27"/>
    <s v="MONTLIGNON TC"/>
    <x v="1"/>
    <n v="0"/>
    <x v="2"/>
    <s v="KVOT"/>
  </r>
  <r>
    <x v="27"/>
    <s v="MONTMAGNY CH GRIMAUD TC"/>
    <x v="0"/>
    <n v="56"/>
    <x v="2"/>
    <s v="RAQUILLET"/>
  </r>
  <r>
    <x v="27"/>
    <s v="MONTMORENCY TC"/>
    <x v="0"/>
    <n v="104"/>
    <x v="2"/>
    <s v="PECAS"/>
  </r>
  <r>
    <x v="27"/>
    <s v="MONTSOULT-BAILLET (US)"/>
    <x v="0"/>
    <n v="34"/>
    <x v="2"/>
    <s v="BOISTARD"/>
  </r>
  <r>
    <x v="27"/>
    <s v="NESLOIS TC"/>
    <x v="1"/>
    <n v="42"/>
    <x v="2"/>
    <s v="MEYER"/>
  </r>
  <r>
    <x v="27"/>
    <s v="NEUVILLOIS TC"/>
    <x v="0"/>
    <n v="18"/>
    <x v="2"/>
    <s v="RAVRY"/>
  </r>
  <r>
    <x v="27"/>
    <s v="OSNY (ATL)"/>
    <x v="0"/>
    <n v="50"/>
    <x v="2"/>
    <s v="DUGARDIN"/>
  </r>
  <r>
    <x v="27"/>
    <s v="PERSAN (TC)"/>
    <x v="0"/>
    <n v="19"/>
    <x v="2"/>
    <s v="BIAUDIS"/>
  </r>
  <r>
    <x v="27"/>
    <s v="PIERRELAYE (CS)"/>
    <x v="0"/>
    <n v="71"/>
    <x v="2"/>
    <s v="SICRE"/>
  </r>
  <r>
    <x v="27"/>
    <s v="PLESSIS BOUCHARD  TC"/>
    <x v="0"/>
    <n v="35"/>
    <x v="2"/>
    <s v="PISTILLI"/>
  </r>
  <r>
    <x v="27"/>
    <s v="PONTOISE TC"/>
    <x v="0"/>
    <n v="83"/>
    <x v="2"/>
    <s v="OUDET"/>
  </r>
  <r>
    <x v="27"/>
    <s v="PRESLES TC"/>
    <x v="0"/>
    <n v="20"/>
    <x v="2"/>
    <s v="COSSON"/>
  </r>
  <r>
    <x v="27"/>
    <s v="PUISEUX TC"/>
    <x v="2"/>
    <n v="15"/>
    <x v="2"/>
    <s v="WATINE"/>
  </r>
  <r>
    <x v="27"/>
    <s v="ROISSY EN FRANCE TC"/>
    <x v="2"/>
    <n v="29"/>
    <x v="2"/>
    <s v="RAYE"/>
  </r>
  <r>
    <x v="27"/>
    <s v="SAGY TC"/>
    <x v="1"/>
    <n v="3"/>
    <x v="2"/>
    <s v="GREMMEL"/>
  </r>
  <r>
    <x v="27"/>
    <s v="SAINT BRICE (AAE)"/>
    <x v="0"/>
    <n v="96"/>
    <x v="2"/>
    <s v="DUMONT"/>
  </r>
  <r>
    <x v="27"/>
    <s v="SAINT GRATIEN TC"/>
    <x v="0"/>
    <n v="129"/>
    <x v="2"/>
    <s v="MONGIS"/>
  </r>
  <r>
    <x v="27"/>
    <s v="SAINT MARTIN DU TERTRE TC"/>
    <x v="1"/>
    <n v="3"/>
    <x v="2"/>
    <s v="REHAULT"/>
  </r>
  <r>
    <x v="27"/>
    <s v="SAINT OUEN L'AUMONE (ASSOA)"/>
    <x v="0"/>
    <n v="66"/>
    <x v="2"/>
    <s v="CARRERA"/>
  </r>
  <r>
    <x v="27"/>
    <s v="SAINT PRIX TC"/>
    <x v="0"/>
    <n v="69"/>
    <x v="2"/>
    <s v="GASCUENA"/>
  </r>
  <r>
    <x v="27"/>
    <s v="SANNOIS OSS"/>
    <x v="0"/>
    <n v="211"/>
    <x v="2"/>
    <s v="LAMARCHE"/>
  </r>
  <r>
    <x v="27"/>
    <s v="SANTEUIL (TENNIS CLUB)"/>
    <x v="1"/>
    <n v="5"/>
    <x v="2"/>
    <s v="TACNET"/>
  </r>
  <r>
    <x v="27"/>
    <s v="SARCELLOIS TC - A.S.S"/>
    <x v="2"/>
    <n v="132"/>
    <x v="2"/>
    <s v="PEYSSIES"/>
  </r>
  <r>
    <x v="27"/>
    <s v="SOISY TC"/>
    <x v="0"/>
    <n v="135"/>
    <x v="2"/>
    <s v="CADOU"/>
  </r>
  <r>
    <x v="27"/>
    <s v="SOURCE TC"/>
    <x v="0"/>
    <n v="57"/>
    <x v="2"/>
    <s v="LEVY"/>
  </r>
  <r>
    <x v="27"/>
    <s v="SURVILLIERS (AVENIR DE)"/>
    <x v="2"/>
    <n v="2"/>
    <x v="2"/>
    <s v="HORNUS"/>
  </r>
  <r>
    <x v="27"/>
    <s v="TAVERNY (CCT)"/>
    <x v="0"/>
    <n v="191"/>
    <x v="2"/>
    <s v="LE BRAS"/>
  </r>
  <r>
    <x v="27"/>
    <s v="US TC"/>
    <x v="1"/>
    <n v="20"/>
    <x v="2"/>
    <s v="BEROULE"/>
  </r>
  <r>
    <x v="27"/>
    <s v="VAUREAL TC"/>
    <x v="0"/>
    <n v="88"/>
    <x v="2"/>
    <s v="DUBOIS"/>
  </r>
  <r>
    <x v="27"/>
    <s v="VEMARS TC"/>
    <x v="2"/>
    <n v="11"/>
    <x v="2"/>
    <s v="PREVOST"/>
  </r>
  <r>
    <x v="27"/>
    <s v="VETHEUIL TC"/>
    <x v="1"/>
    <n v="1"/>
    <x v="2"/>
    <s v="PUECH"/>
  </r>
  <r>
    <x v="27"/>
    <s v="VIARMES ASNIERES TC"/>
    <x v="0"/>
    <n v="62"/>
    <x v="2"/>
    <s v="DUMOULIN"/>
  </r>
  <r>
    <x v="27"/>
    <s v="VIENNE EN ARTHIES TC"/>
    <x v="1"/>
    <n v="1"/>
    <x v="2"/>
    <s v="GOUAT BRUNIN"/>
  </r>
  <r>
    <x v="27"/>
    <s v="VIGNY TC"/>
    <x v="1"/>
    <n v="14"/>
    <x v="2"/>
    <s v="DI MEO"/>
  </r>
  <r>
    <x v="27"/>
    <s v="VILLIERS LE BEL TC"/>
    <x v="2"/>
    <n v="82"/>
    <x v="2"/>
    <s v="LALISSE"/>
  </r>
  <r>
    <x v="27"/>
    <s v="WEZIEN TC"/>
    <x v="2"/>
    <n v="46"/>
    <x v="2"/>
    <s v="PETIOT"/>
  </r>
  <r>
    <x v="28"/>
    <s v="SAINT GRATIEN"/>
    <x v="0"/>
    <n v="12"/>
    <x v="1"/>
    <s v="M THEILLET"/>
  </r>
  <r>
    <x v="28"/>
    <s v="MAREIL"/>
    <x v="0"/>
    <n v="1"/>
    <x v="1"/>
    <s v="M COULON"/>
  </r>
  <r>
    <x v="28"/>
    <s v="FRANCONVILLE"/>
    <x v="0"/>
    <n v="7"/>
    <x v="1"/>
    <s v="M BOICHEROT"/>
  </r>
  <r>
    <x v="28"/>
    <s v="SAINT LEU"/>
    <x v="0"/>
    <n v="8"/>
    <x v="1"/>
    <s v="M DE BLOTEAU"/>
  </r>
  <r>
    <x v="28"/>
    <s v="TAVERNY"/>
    <x v="0"/>
    <n v="8"/>
    <x v="0"/>
    <s v="Mme KERGOAT"/>
  </r>
  <r>
    <x v="28"/>
    <s v="SAINT PRIX"/>
    <x v="0"/>
    <n v="1"/>
    <x v="1"/>
    <s v="M FEIGE"/>
  </r>
  <r>
    <x v="28"/>
    <s v="DOMONT"/>
    <x v="0"/>
    <n v="8"/>
    <x v="1"/>
    <s v="M JAMES"/>
  </r>
  <r>
    <x v="28"/>
    <s v="PONTOISE  CERGY"/>
    <x v="0"/>
    <n v="24"/>
    <x v="0"/>
    <s v="Mme ADAM"/>
  </r>
  <r>
    <x v="28"/>
    <s v="GROSLAY"/>
    <x v="0"/>
    <n v="1"/>
    <x v="1"/>
    <s v="M MORGANA"/>
  </r>
  <r>
    <x v="28"/>
    <s v="ENGHIEN"/>
    <x v="0"/>
    <n v="2"/>
    <x v="1"/>
    <s v="M LARDOUX"/>
  </r>
  <r>
    <x v="28"/>
    <s v="MONTMORENCY "/>
    <x v="0"/>
    <n v="8"/>
    <x v="1"/>
    <s v="M SEJEAN"/>
  </r>
  <r>
    <x v="28"/>
    <s v="HERBLAY SUR SEINE"/>
    <x v="0"/>
    <n v="11"/>
    <x v="0"/>
    <s v="Mme AUBERT"/>
  </r>
  <r>
    <x v="28"/>
    <s v="EZANVILLE"/>
    <x v="0"/>
    <n v="10"/>
    <x v="1"/>
    <s v="M CARRASSET"/>
  </r>
  <r>
    <x v="28"/>
    <s v="MONTSOULT"/>
    <x v="0"/>
    <n v="3"/>
    <x v="1"/>
    <s v="M DE BOUARD"/>
  </r>
  <r>
    <x v="28"/>
    <s v="ENNERY"/>
    <x v="1"/>
    <n v="3"/>
    <x v="1"/>
    <s v="M VANNIER"/>
  </r>
  <r>
    <x v="28"/>
    <s v="BEAUCHAMP"/>
    <x v="0"/>
    <n v="22"/>
    <x v="0"/>
    <s v="Mme LORIGNE"/>
  </r>
  <r>
    <x v="28"/>
    <s v="PUISEUX"/>
    <x v="2"/>
    <n v="3"/>
    <x v="1"/>
    <s v="M LASSAUX"/>
  </r>
  <r>
    <x v="28"/>
    <s v="ARGENTEUIL "/>
    <x v="0"/>
    <n v="7"/>
    <x v="1"/>
    <s v="M GALICHET"/>
  </r>
  <r>
    <x v="28"/>
    <s v="SAINT BRICE"/>
    <x v="0"/>
    <n v="1"/>
    <x v="1"/>
    <s v="M MARTIN"/>
  </r>
  <r>
    <x v="28"/>
    <s v="GONESSE"/>
    <x v="2"/>
    <n v="2"/>
    <x v="0"/>
    <s v="Mme MEUNIER"/>
  </r>
  <r>
    <x v="28"/>
    <s v="EAUBONNE"/>
    <x v="0"/>
    <n v="13"/>
    <x v="1"/>
    <s v="M QUELEN"/>
  </r>
  <r>
    <x v="28"/>
    <s v="JOUY VAUREAL "/>
    <x v="0"/>
    <n v="6"/>
    <x v="1"/>
    <s v="M SOUDET"/>
  </r>
  <r>
    <x v="28"/>
    <s v="MONTMAGNY"/>
    <x v="0"/>
    <n v="3"/>
    <x v="1"/>
    <s v="M ZEGLI"/>
  </r>
  <r>
    <x v="28"/>
    <s v="SANNOIS"/>
    <x v="0"/>
    <n v="9"/>
    <x v="1"/>
    <s v="M ANDRE"/>
  </r>
  <r>
    <x v="28"/>
    <s v="MERY"/>
    <x v="0"/>
    <n v="2"/>
    <x v="1"/>
    <s v="M BRAVO"/>
  </r>
  <r>
    <x v="28"/>
    <s v="LA FRETTE SUR SEINE"/>
    <x v="0"/>
    <n v="1"/>
    <x v="1"/>
    <s v="M FANZUTTI"/>
  </r>
  <r>
    <x v="28"/>
    <s v="BESSANCOURT"/>
    <x v="0"/>
    <n v="6"/>
    <x v="1"/>
    <s v="M GARBANI"/>
  </r>
  <r>
    <x v="28"/>
    <s v="PRESLES"/>
    <x v="0"/>
    <n v="3"/>
    <x v="1"/>
    <s v="M HENNEBERT"/>
  </r>
  <r>
    <x v="28"/>
    <s v="ERMONT PLESSIS"/>
    <x v="0"/>
    <n v="23"/>
    <x v="0"/>
    <s v="Mme DIANI"/>
  </r>
  <r>
    <x v="28"/>
    <s v="MARINES"/>
    <x v="1"/>
    <n v="1"/>
    <x v="1"/>
    <s v="M ROUSSEAU"/>
  </r>
  <r>
    <x v="28"/>
    <s v="MENUCOURT"/>
    <x v="0"/>
    <n v="10"/>
    <x v="1"/>
    <s v="M THOMAS"/>
  </r>
  <r>
    <x v="28"/>
    <s v="SAINT MARTIN"/>
    <x v="1"/>
    <n v="3"/>
    <x v="1"/>
    <s v="M VANTHOURNOUT"/>
  </r>
  <r>
    <x v="28"/>
    <s v="MAGNY EN VEXIN"/>
    <x v="1"/>
    <n v="2"/>
    <x v="1"/>
    <s v="M LEBRANCHU"/>
  </r>
  <r>
    <x v="28"/>
    <s v="L’ILE ADAM"/>
    <x v="0"/>
    <n v="3"/>
    <x v="0"/>
    <s v="Mme VESIEZ"/>
  </r>
  <r>
    <x v="29"/>
    <s v="CIE D'ARC D'ERMONT"/>
    <x v="0"/>
    <n v="24"/>
    <x v="1"/>
    <s v="M NUFFER SEBASTIEN"/>
  </r>
  <r>
    <x v="29"/>
    <s v="CIE ARCHERS DE PONTOISE"/>
    <x v="0"/>
    <n v="40"/>
    <x v="1"/>
    <s v="M MULLER DIDIER"/>
  </r>
  <r>
    <x v="29"/>
    <s v="1ERE CIE D ARC DE MONTMAGNY-DEUIL"/>
    <x v="0"/>
    <n v="10"/>
    <x v="0"/>
    <s v="Me VOISIN-DIEN MICHELE"/>
  </r>
  <r>
    <x v="29"/>
    <s v="CIE D'ARC DE MONTMORENCY"/>
    <x v="0"/>
    <n v="13"/>
    <x v="1"/>
    <s v="M MALLEIN YVES"/>
  </r>
  <r>
    <x v="29"/>
    <s v="COMPAGNIE D'ARC VILLIERS LE BEL"/>
    <x v="2"/>
    <n v="19"/>
    <x v="1"/>
    <s v="M RENAUD JEAN PIERRE"/>
  </r>
  <r>
    <x v="29"/>
    <s v="AAS ARC CLUB SARCELLES"/>
    <x v="2"/>
    <n v="17"/>
    <x v="1"/>
    <s v="M BERTHELOT REMI"/>
  </r>
  <r>
    <x v="29"/>
    <s v="CIE D'ARC DE VIARMES"/>
    <x v="0"/>
    <n v="21"/>
    <x v="1"/>
    <s v="M PRIEUR JEAN-MARC"/>
  </r>
  <r>
    <x v="29"/>
    <s v="ARCHERS DE CENT NOIX"/>
    <x v="0"/>
    <n v="9"/>
    <x v="1"/>
    <s v="Me DI MEO JOSIANE"/>
  </r>
  <r>
    <x v="29"/>
    <s v="LES ARCHERS D'ECOUEN"/>
    <x v="0"/>
    <n v="8"/>
    <x v="1"/>
    <s v="M MICHAEL BOURGES"/>
  </r>
  <r>
    <x v="29"/>
    <s v="LA FLECHE SANNOISIENNE"/>
    <x v="0"/>
    <n v="16"/>
    <x v="1"/>
    <s v="M CARO GUY"/>
  </r>
  <r>
    <x v="29"/>
    <s v="A.S.S.O.A. SECTION TIR A L'ARC"/>
    <x v="0"/>
    <n v="7"/>
    <x v="1"/>
    <s v="M LANNUEL LAURENT"/>
  </r>
  <r>
    <x v="29"/>
    <s v="CIE D'ARC DE ST LEU"/>
    <x v="0"/>
    <n v="19"/>
    <x v="1"/>
    <s v="M MARCONNET PHILIPPE"/>
  </r>
  <r>
    <x v="29"/>
    <s v="ARCHERS DE GUIRY"/>
    <x v="1"/>
    <n v="23"/>
    <x v="0"/>
    <s v="Me MULLER ADRIENNE"/>
  </r>
  <r>
    <x v="29"/>
    <s v="LES ARCHERS DE GROUCHY"/>
    <x v="0"/>
    <n v="16"/>
    <x v="1"/>
    <s v="M BERNARD JEAN"/>
  </r>
  <r>
    <x v="29"/>
    <s v="CIE D'ARC DE MARLY LA VILLE"/>
    <x v="2"/>
    <n v="13"/>
    <x v="1"/>
    <s v="M FLAMENT MICHEL"/>
  </r>
  <r>
    <x v="29"/>
    <s v="COMPAGNIE DES ARCHERS DU CHATEAU"/>
    <x v="0"/>
    <n v="22"/>
    <x v="1"/>
    <s v="M COURTOIS JEAN-PIERRE"/>
  </r>
  <r>
    <x v="29"/>
    <s v="LES ARCHERS DU PLESSIS BOUCHARD"/>
    <x v="0"/>
    <n v="9"/>
    <x v="1"/>
    <s v="M PERNET FRANCK"/>
  </r>
  <r>
    <x v="29"/>
    <s v="LES ARCHERS DE ST PRIX"/>
    <x v="0"/>
    <n v="3"/>
    <x v="1"/>
    <s v="M NOURRY JEAN "/>
  </r>
  <r>
    <x v="29"/>
    <s v="COMPAGNIE D ARC DE LOUVRES"/>
    <x v="2"/>
    <n v="3"/>
    <x v="1"/>
    <s v="M KUSNIERZ PATRICE"/>
  </r>
  <r>
    <x v="29"/>
    <s v="LES ARCHERS DE ST BRICE"/>
    <x v="0"/>
    <n v="5"/>
    <x v="1"/>
    <s v="M GARCIN THIERRY"/>
  </r>
  <r>
    <x v="29"/>
    <s v="LES ARCHERS DE BEAUCHAMP"/>
    <x v="0"/>
    <n v="22"/>
    <x v="1"/>
    <s v="M CHERUBINI JEAN-PIERRE"/>
  </r>
  <r>
    <x v="29"/>
    <s v="LES ARCHERS DE MONTIGNY LES CORMEILLES"/>
    <x v="0"/>
    <n v="9"/>
    <x v="1"/>
    <s v="M ESCOTTE GUILLAUME"/>
  </r>
  <r>
    <x v="29"/>
    <s v="A.S. DES ARCHERS D'ERAGNY SUR OISE"/>
    <x v="0"/>
    <n v="13"/>
    <x v="1"/>
    <s v="M TRUFFIER PHILIPPE"/>
  </r>
  <r>
    <x v="29"/>
    <s v="COMPAGNIE D'ARC LES DRAGONNIERS"/>
    <x v="2"/>
    <n v="6"/>
    <x v="1"/>
    <s v="M FORTUNY ANDRES"/>
  </r>
  <r>
    <x v="29"/>
    <s v="ARC LOISIR CLUB DE PARMAIN"/>
    <x v="0"/>
    <n v="7"/>
    <x v="1"/>
    <s v="M DE JOB PHILIPPE"/>
  </r>
  <r>
    <x v="29"/>
    <s v="LES ARCHERS DE BAILLET EN FRANCE"/>
    <x v="1"/>
    <n v="7"/>
    <x v="1"/>
    <s v="M PASQUEREAU STEPHANE"/>
  </r>
  <r>
    <x v="29"/>
    <s v="ARCHERS CORMEILLES EN PARISIS"/>
    <x v="0"/>
    <m/>
    <x v="0"/>
    <s v="Me DE ALMEIDA ANGELIQUE"/>
  </r>
  <r>
    <x v="30"/>
    <s v="TRIATHLON SANNOIS FRANCONVILLE"/>
    <x v="0"/>
    <n v="38"/>
    <x v="1"/>
    <s v="Pascal ENFERT"/>
  </r>
  <r>
    <x v="30"/>
    <s v="T.N.T. EZANVILLE"/>
    <x v="0"/>
    <n v="16"/>
    <x v="0"/>
    <s v="Sylvie MARCEAU"/>
  </r>
  <r>
    <x v="30"/>
    <s v="TRIAXION"/>
    <x v="0"/>
    <n v="15"/>
    <x v="0"/>
    <s v="Catherine GANCE"/>
  </r>
  <r>
    <x v="30"/>
    <s v="BEAUMONT TRIATHLON"/>
    <x v="0"/>
    <n v="11"/>
    <x v="0"/>
    <s v="Valerie RIBEIRO"/>
  </r>
  <r>
    <x v="30"/>
    <s v="U.S.O. BEZONS"/>
    <x v="0"/>
    <n v="7"/>
    <x v="1"/>
    <s v="Cyril GALTIE"/>
  </r>
  <r>
    <x v="30"/>
    <s v="AC MARINES"/>
    <x v="1"/>
    <n v="0"/>
    <x v="1"/>
    <s v="Pascal RENAULT"/>
  </r>
  <r>
    <x v="30"/>
    <s v="AGUISA TEAM TRIATHLON STORE"/>
    <x v="3"/>
    <n v="0"/>
    <x v="1"/>
    <s v="Alexandre GIROUT"/>
  </r>
  <r>
    <x v="30"/>
    <s v="TRIATHLON UDSPVO"/>
    <x v="3"/>
    <n v="0"/>
    <x v="1"/>
    <s v="Fabien VANDENBULCKE"/>
  </r>
  <r>
    <x v="30"/>
    <s v="RAID LIFE"/>
    <x v="3"/>
    <n v="0"/>
    <x v="1"/>
    <s v="Sylvain BLAIRON"/>
  </r>
  <r>
    <x v="30"/>
    <s v="LIB AIR TRAIL"/>
    <x v="1"/>
    <n v="2"/>
    <x v="2"/>
    <s v=" "/>
  </r>
  <r>
    <x v="30"/>
    <s v="VALLEE DE MONTMORENCY TRIATHLON"/>
    <x v="0"/>
    <n v="50"/>
    <x v="1"/>
    <s v="Lucas LETOCART"/>
  </r>
  <r>
    <x v="31"/>
    <s v="A. LAIQUE  MERY SUR OISE"/>
    <x v="0"/>
    <n v="135"/>
    <x v="1"/>
    <s v="BAUDOUI GUY"/>
  </r>
  <r>
    <x v="31"/>
    <s v="A.D.A.N.  CERGY"/>
    <x v="0"/>
    <n v="11"/>
    <x v="1"/>
    <s v="ENGEL ERIC"/>
  </r>
  <r>
    <x v="31"/>
    <s v="A.S HERBLAY CYCLISTE"/>
    <x v="0"/>
    <n v="2"/>
    <x v="1"/>
    <s v="RIBOURDOUILLE   JEAN PIERRE"/>
  </r>
  <r>
    <x v="31"/>
    <s v="A.S.G. GONESSE"/>
    <x v="2"/>
    <n v="37"/>
    <x v="0"/>
    <s v="GUILLAUME CYRILLE"/>
  </r>
  <r>
    <x v="31"/>
    <s v="A.S.L. VILLERON"/>
    <x v="2"/>
    <n v="11"/>
    <x v="1"/>
    <s v="GILLES CLAUDE"/>
  </r>
  <r>
    <x v="31"/>
    <s v="ACTION FORM'"/>
    <x v="3"/>
    <n v="1"/>
    <x v="0"/>
    <s v="MONTORIER CATHERINE"/>
  </r>
  <r>
    <x v="31"/>
    <s v="AMICALE LAIQUE  MAFFLIERS"/>
    <x v="0"/>
    <n v="150"/>
    <x v="1"/>
    <s v="GROSS PHILIPPE"/>
  </r>
  <r>
    <x v="31"/>
    <s v="AMICALE LAIQUE DE BEAUCHAMP"/>
    <x v="0"/>
    <n v="94"/>
    <x v="0"/>
    <s v="LALOI VERONIQUE"/>
  </r>
  <r>
    <x v="31"/>
    <s v="ARABESQUE GYMNIQUE BEAUCHAMP"/>
    <x v="0"/>
    <n v="236"/>
    <x v="1"/>
    <s v="CARRERA CHRISTOPHE"/>
  </r>
  <r>
    <x v="31"/>
    <s v="ASS. CYCLISTE MARINES"/>
    <x v="1"/>
    <n v="18"/>
    <x v="1"/>
    <s v="RENAULT PASCAL"/>
  </r>
  <r>
    <x v="31"/>
    <s v="ASSOA GYMNASTIQUE"/>
    <x v="0"/>
    <n v="68"/>
    <x v="0"/>
    <s v="YATOUNGOU ISABELLE"/>
  </r>
  <r>
    <x v="31"/>
    <s v="AVENIR CYCLISTE BESSANCOURT"/>
    <x v="0"/>
    <n v="1"/>
    <x v="1"/>
    <s v="FERON ANDRE"/>
  </r>
  <r>
    <x v="31"/>
    <s v="AVENIR CYCLISTE DU VAL D'OISE"/>
    <x v="3"/>
    <m/>
    <x v="1"/>
    <s v="MIKLANEK PASCAL"/>
  </r>
  <r>
    <x v="31"/>
    <s v="AVENIR DE SURVILLIERS VTT LA HARDE"/>
    <x v="2"/>
    <n v="20"/>
    <x v="1"/>
    <s v="CHERET  FABRICE"/>
  </r>
  <r>
    <x v="31"/>
    <s v="CLUB CYCLISTE BAILLET EN FRANCE"/>
    <x v="1"/>
    <n v="2"/>
    <x v="1"/>
    <s v="LOUVEL  GILLES"/>
  </r>
  <r>
    <x v="31"/>
    <s v="CLUB DE GYMNASTIQUE EVOLUTION"/>
    <x v="0"/>
    <n v="44"/>
    <x v="0"/>
    <s v="DABOUDET CHRISTIANE"/>
  </r>
  <r>
    <x v="31"/>
    <s v="CLUB MUNICIPAL D'ORVILLE DE LOUVRES (CMOL)"/>
    <x v="2"/>
    <n v="1"/>
    <x v="0"/>
    <s v="COICHOT KARINE"/>
  </r>
  <r>
    <x v="31"/>
    <s v="CLUB OMNISPORT COURDIMANCHE"/>
    <x v="0"/>
    <n v="33"/>
    <x v="1"/>
    <s v="BERAUD VINCENT"/>
  </r>
  <r>
    <x v="31"/>
    <s v="CLUB OSHUKAI COURDIMANCHE"/>
    <x v="0"/>
    <n v="11"/>
    <x v="1"/>
    <s v="FRANCINE ALPHONSE"/>
  </r>
  <r>
    <x v="31"/>
    <s v="COUNTRY VELO CLUB  MERY SUR OISE"/>
    <x v="0"/>
    <n v="6"/>
    <x v="0"/>
    <s v="CHRISTIEN CATHERINE"/>
  </r>
  <r>
    <x v="31"/>
    <s v="ELAN GYMNIQUE VAUREAL"/>
    <x v="0"/>
    <n v="129"/>
    <x v="1"/>
    <s v="SULPICE GILLES"/>
  </r>
  <r>
    <x v="31"/>
    <s v="ENTENTE CYCLISTE OSNY PONTOISE"/>
    <x v="0"/>
    <n v="3"/>
    <x v="0"/>
    <s v="JEANNEAU DELPHINE"/>
  </r>
  <r>
    <x v="31"/>
    <s v="espace de concertation citoyenne"/>
    <x v="0"/>
    <n v="1"/>
    <x v="0"/>
    <s v="SAITOULI SANAA"/>
  </r>
  <r>
    <x v="31"/>
    <s v="ESPOIRS GYMNIQUES D'OSNY"/>
    <x v="0"/>
    <n v="202"/>
    <x v="0"/>
    <s v="JEANNET ANNE-SOPHIE"/>
  </r>
  <r>
    <x v="31"/>
    <s v="EX-AEQUO"/>
    <x v="0"/>
    <n v="98"/>
    <x v="0"/>
    <s v="COUVERCELLE PRISTILE"/>
  </r>
  <r>
    <x v="31"/>
    <s v="FOYER RURAL AINCOURT"/>
    <x v="1"/>
    <n v="3"/>
    <x v="0"/>
    <s v="OLIVIER  CHRISTINE"/>
  </r>
  <r>
    <x v="31"/>
    <s v="G.S.A. ERAGNY SUR OISE"/>
    <x v="0"/>
    <n v="175"/>
    <x v="0"/>
    <s v="MEUNIER DOROTHEE"/>
  </r>
  <r>
    <x v="31"/>
    <s v="GYM MENUCOURTOISE"/>
    <x v="0"/>
    <n v="142"/>
    <x v="0"/>
    <s v="MOCHEL BEATRICE"/>
  </r>
  <r>
    <x v="31"/>
    <s v="GYMNASTIQUE SPORTIVE AUVERSOISE"/>
    <x v="0"/>
    <n v="97"/>
    <x v="0"/>
    <s v="MERI SOPHIE"/>
  </r>
  <r>
    <x v="31"/>
    <s v="JOGGING CLUB BRUYERES"/>
    <x v="0"/>
    <n v="10"/>
    <x v="1"/>
    <s v="GOUSSOT FABRICE"/>
  </r>
  <r>
    <x v="31"/>
    <s v="LES ARCHERS DE SAINT PRIX"/>
    <x v="0"/>
    <n v="8"/>
    <x v="1"/>
    <s v="NOURRY JEAN"/>
  </r>
  <r>
    <x v="31"/>
    <s v="LES ENFANTS DE ST MARTIN DU TERTRE"/>
    <x v="0"/>
    <n v="22"/>
    <x v="1"/>
    <s v="ELBAHI KARIM"/>
  </r>
  <r>
    <x v="31"/>
    <s v="LES FEUX FOLLETS BERNES"/>
    <x v="0"/>
    <n v="15"/>
    <x v="1"/>
    <s v="ROHRBASSER CHRISTOPHE"/>
  </r>
  <r>
    <x v="31"/>
    <s v="LES SANGLIERS DU VEXIN"/>
    <x v="1"/>
    <n v="13"/>
    <x v="1"/>
    <s v="PANNIER PATRICE"/>
  </r>
  <r>
    <x v="31"/>
    <s v="MARELLE ET BASKETS"/>
    <x v="1"/>
    <n v="11"/>
    <x v="0"/>
    <s v="DEREMETZ AURELIE"/>
  </r>
  <r>
    <x v="31"/>
    <s v="MOINA ASSOCIATION JEUNESSE 95"/>
    <x v="0"/>
    <n v="3"/>
    <x v="1"/>
    <s v="RIGAULT OLIVIER"/>
  </r>
  <r>
    <x v="31"/>
    <s v="MONTMAGNY-SPORTS"/>
    <x v="0"/>
    <n v="40"/>
    <x v="1"/>
    <s v="BICQUELET JEAN LOUIS"/>
  </r>
  <r>
    <x v="31"/>
    <s v="OC JOUY LE MOUTIER  - section Gymnastique"/>
    <x v="0"/>
    <n v="95"/>
    <x v="1"/>
    <s v="BEILLON PHILIPPE"/>
  </r>
  <r>
    <x v="31"/>
    <s v="OLYMPIQUE CYCLISTE VAL D'OISE"/>
    <x v="0"/>
    <n v="2"/>
    <x v="1"/>
    <s v="FRANCOIS HERVE"/>
  </r>
  <r>
    <x v="31"/>
    <s v="OSHUKAI AVENIRS"/>
    <x v="0"/>
    <n v="3"/>
    <x v="1"/>
    <s v="FRANCINE ALPHONSE"/>
  </r>
  <r>
    <x v="31"/>
    <s v="PHONG TRAO VOVINAM VIET VO DAO"/>
    <x v="2"/>
    <n v="21"/>
    <x v="1"/>
    <s v="TRANG DUC VINH"/>
  </r>
  <r>
    <x v="31"/>
    <s v="RAID NATURE BUTRY"/>
    <x v="1"/>
    <n v="1"/>
    <x v="1"/>
    <s v="TRANG DUC VINH"/>
  </r>
  <r>
    <x v="31"/>
    <s v="RKC LE CLUB UFOLEP"/>
    <x v="1"/>
    <n v="15"/>
    <x v="1"/>
    <s v="VERGNE JEAN MARIE"/>
  </r>
  <r>
    <x v="31"/>
    <s v="ROLLER EAGLES  CERGY PONTOISE"/>
    <x v="0"/>
    <n v="13"/>
    <x v="1"/>
    <s v="ZULMEA JEAN CHARLES"/>
  </r>
  <r>
    <x v="31"/>
    <s v="SOCIETE PONTOISE DE GYM."/>
    <x v="0"/>
    <n v="242"/>
    <x v="1"/>
    <s v="RISPAL MICHEL"/>
  </r>
  <r>
    <x v="31"/>
    <s v="SPORT ET PARTAGE 95"/>
    <x v="0"/>
    <n v="14"/>
    <x v="1"/>
    <s v="ZULMEA JEAN CHARLES"/>
  </r>
  <r>
    <x v="31"/>
    <s v="SPORTS COCKTAIL ST PRIX"/>
    <x v="0"/>
    <n v="4"/>
    <x v="1"/>
    <s v="MASSE SERGE"/>
  </r>
  <r>
    <x v="31"/>
    <s v="UNION CYCLISTE FOSSES-MARLY"/>
    <x v="2"/>
    <n v="6"/>
    <x v="1"/>
    <s v="DULOT ALEXANDRE"/>
  </r>
  <r>
    <x v="31"/>
    <s v="UNION SPORTIVE  EZANVILLE ECOUEN CYCLISME"/>
    <x v="0"/>
    <n v="2"/>
    <x v="1"/>
    <s v="GRIMAL HERVE"/>
  </r>
  <r>
    <x v="31"/>
    <s v="US ENNERY JUDO"/>
    <x v="1"/>
    <n v="47"/>
    <x v="0"/>
    <s v="PITOIS MARIE AGNES"/>
  </r>
  <r>
    <x v="31"/>
    <s v="USMBM VTT"/>
    <x v="0"/>
    <n v="1"/>
    <x v="1"/>
    <s v="HENRIET CHRISTOPHE"/>
  </r>
  <r>
    <x v="32"/>
    <s v="ECOLE PRIMAIRE VAVASSEUR"/>
    <x v="0"/>
    <n v="205"/>
    <x v="2"/>
    <m/>
  </r>
  <r>
    <x v="32"/>
    <s v="ECOLE PRIMAIRE PUBLIQUE"/>
    <x v="1"/>
    <n v="102"/>
    <x v="2"/>
    <m/>
  </r>
  <r>
    <x v="32"/>
    <s v="ECOLE ELEM TRAIT UNION"/>
    <x v="0"/>
    <n v="32"/>
    <x v="2"/>
    <m/>
  </r>
  <r>
    <x v="32"/>
    <s v="ECOLE MATERNELLE CHASLE LE ROUX"/>
    <x v="0"/>
    <n v="45"/>
    <x v="2"/>
    <m/>
  </r>
  <r>
    <x v="32"/>
    <s v="AS DE LA MARETTE"/>
    <x v="1"/>
    <n v="56"/>
    <x v="2"/>
    <m/>
  </r>
  <r>
    <x v="32"/>
    <s v="A.S.C.E.P. RAOUL SALES"/>
    <x v="1"/>
    <n v="153"/>
    <x v="2"/>
    <m/>
  </r>
  <r>
    <x v="32"/>
    <s v="ECOLE MATERNELLE LES LINANDES"/>
    <x v="0"/>
    <n v="56"/>
    <x v="2"/>
    <m/>
  </r>
  <r>
    <x v="32"/>
    <s v="ASSC USEP LE POINT DU JOUR"/>
    <x v="0"/>
    <n v="178"/>
    <x v="2"/>
    <m/>
  </r>
  <r>
    <x v="32"/>
    <s v="ECOLE ELEMENTAIRE LES LINANDES"/>
    <x v="1"/>
    <n v="89"/>
    <x v="2"/>
    <m/>
  </r>
  <r>
    <x v="32"/>
    <s v="ASC BELLE EPINE"/>
    <x v="0"/>
    <n v="110"/>
    <x v="2"/>
    <m/>
  </r>
  <r>
    <x v="32"/>
    <s v="ECOLE LES ESSARTS"/>
    <x v="0"/>
    <n v="112"/>
    <x v="2"/>
    <m/>
  </r>
  <r>
    <x v="32"/>
    <s v="ECOLE LES PLANTS"/>
    <x v="0"/>
    <n v="75"/>
    <x v="2"/>
    <m/>
  </r>
  <r>
    <x v="32"/>
    <s v="ASC ECOLE LA CHANTERELLE"/>
    <x v="0"/>
    <n v="20"/>
    <x v="2"/>
    <m/>
  </r>
  <r>
    <x v="32"/>
    <s v="ECOLE ELEMENTAIRE LE STADE"/>
    <x v="0"/>
    <n v="63"/>
    <x v="2"/>
    <m/>
  </r>
  <r>
    <x v="32"/>
    <s v="A.S. USEP DE CHAMPAGNE SUR OISE"/>
    <x v="0"/>
    <n v="65"/>
    <x v="2"/>
    <m/>
  </r>
  <r>
    <x v="32"/>
    <s v="ASC USEP LES TOURNESOLS"/>
    <x v="1"/>
    <n v="142"/>
    <x v="2"/>
    <m/>
  </r>
  <r>
    <x v="32"/>
    <s v="ECOLE VAL D'YSIEUX"/>
    <x v="0"/>
    <n v="74"/>
    <x v="2"/>
    <m/>
  </r>
  <r>
    <x v="32"/>
    <s v="ECOLE PRIMAIRE  PUBLIQUE"/>
    <x v="1"/>
    <n v="36"/>
    <x v="2"/>
    <m/>
  </r>
  <r>
    <x v="32"/>
    <s v="ASC ECOLE DE LA FONTAINE"/>
    <x v="2"/>
    <n v="23"/>
    <x v="2"/>
    <m/>
  </r>
  <r>
    <x v="32"/>
    <s v="A FOND L'ECOLE"/>
    <x v="1"/>
    <n v="12"/>
    <x v="2"/>
    <m/>
  </r>
  <r>
    <x v="32"/>
    <s v="LES CROIZETTES"/>
    <x v="0"/>
    <n v="194"/>
    <x v="2"/>
    <m/>
  </r>
  <r>
    <x v="32"/>
    <s v="ECOLE PRIMAIRE P. SERRE"/>
    <x v="0"/>
    <n v="136"/>
    <x v="2"/>
    <m/>
  </r>
  <r>
    <x v="32"/>
    <s v="ECOLE PRIMAIRE P. LANGEVIN"/>
    <x v="2"/>
    <n v="157"/>
    <x v="2"/>
    <m/>
  </r>
  <r>
    <x v="32"/>
    <s v="ECOLE PRIMAIRE J. FERRY"/>
    <x v="2"/>
    <n v="159"/>
    <x v="2"/>
    <m/>
  </r>
  <r>
    <x v="32"/>
    <s v="ECOLE PRIMAIRE J. MOULIN"/>
    <x v="0"/>
    <n v="148"/>
    <x v="2"/>
    <m/>
  </r>
  <r>
    <x v="32"/>
    <s v="ECOLE PRIMAIRE G. VIE 1"/>
    <x v="2"/>
    <n v="225"/>
    <x v="2"/>
    <m/>
  </r>
  <r>
    <x v="32"/>
    <s v="ECOLE PRIMAIRE Y. DE GAULLE"/>
    <x v="2"/>
    <n v="136"/>
    <x v="2"/>
    <m/>
  </r>
  <r>
    <x v="32"/>
    <s v="ASS. LES PETITS LOUPS"/>
    <x v="2"/>
    <n v="52"/>
    <x v="2"/>
    <m/>
  </r>
  <r>
    <x v="32"/>
    <s v="LES HERISSONS"/>
    <x v="2"/>
    <n v="85"/>
    <x v="2"/>
    <m/>
  </r>
  <r>
    <x v="32"/>
    <s v="ASSC JACQUES PREVERT PRIMAIRE"/>
    <x v="2"/>
    <n v="12"/>
    <x v="2"/>
    <m/>
  </r>
  <r>
    <x v="32"/>
    <s v="ASSC ECOLE DE GRISY"/>
    <x v="1"/>
    <n v="34"/>
    <x v="2"/>
    <m/>
  </r>
  <r>
    <x v="32"/>
    <s v="USEP GLAISIERES"/>
    <x v="0"/>
    <n v="15"/>
    <x v="2"/>
    <m/>
  </r>
  <r>
    <x v="32"/>
    <s v="ASC Côte des carrières"/>
    <x v="0"/>
    <n v="96"/>
    <x v="2"/>
    <m/>
  </r>
  <r>
    <x v="32"/>
    <s v="ECOLE PRIMAIRE  LE VILLAGE"/>
    <x v="0"/>
    <n v="89"/>
    <x v="2"/>
    <m/>
  </r>
  <r>
    <x v="32"/>
    <s v="ECOLE PRIMAIRE  LES JOUANNES"/>
    <x v="0"/>
    <n v="136"/>
    <x v="2"/>
    <m/>
  </r>
  <r>
    <x v="32"/>
    <s v="ECOLE PRIMAIRE  VAUX LABOURS"/>
    <x v="0"/>
    <n v="114"/>
    <x v="2"/>
    <m/>
  </r>
  <r>
    <x v="32"/>
    <s v="ECOLE PRIM. ET MAT LE NOYER"/>
    <x v="0"/>
    <n v="199"/>
    <x v="2"/>
    <m/>
  </r>
  <r>
    <x v="32"/>
    <s v="ECOLE PRIMAIRE LES TREMBLAYS"/>
    <x v="0"/>
    <n v="63"/>
    <x v="2"/>
    <m/>
  </r>
  <r>
    <x v="32"/>
    <s v="ECOLE MATERNELLE LE VAST"/>
    <x v="0"/>
    <n v="54"/>
    <x v="2"/>
    <m/>
  </r>
  <r>
    <x v="32"/>
    <s v="ECOLE PRIMAIRE ANNE FRANK"/>
    <x v="1"/>
    <n v="86"/>
    <x v="2"/>
    <m/>
  </r>
  <r>
    <x v="32"/>
    <s v="EC. MATERNELLE PAUL ELUARD"/>
    <x v="2"/>
    <n v="67"/>
    <x v="2"/>
    <m/>
  </r>
  <r>
    <x v="32"/>
    <s v="ECOLE MATERNELLE SCHWEITZER"/>
    <x v="1"/>
    <n v="63"/>
    <x v="2"/>
    <m/>
  </r>
  <r>
    <x v="32"/>
    <s v="ASC PAUL CEZANNE"/>
    <x v="1"/>
    <n v="76"/>
    <x v="2"/>
    <m/>
  </r>
  <r>
    <x v="32"/>
    <s v="ASC USEP LA GARENNE"/>
    <x v="0"/>
    <n v="10"/>
    <x v="2"/>
    <m/>
  </r>
  <r>
    <x v="32"/>
    <s v="ASC DE L'ECOLE DES CORNOUILLERS"/>
    <x v="0"/>
    <n v="45"/>
    <x v="2"/>
    <m/>
  </r>
  <r>
    <x v="32"/>
    <s v="USEP LOUIS BOURGEOIS"/>
    <x v="0"/>
    <n v="11"/>
    <x v="2"/>
    <m/>
  </r>
  <r>
    <x v="32"/>
    <s v="ASC USEP ECOLE ELEM. P. NERUDA"/>
    <x v="0"/>
    <n v="56"/>
    <x v="2"/>
    <m/>
  </r>
  <r>
    <x v="32"/>
    <s v="A.S. ECOLE ELEMENTAIRE DU CENTRE"/>
    <x v="0"/>
    <n v="97"/>
    <x v="2"/>
    <m/>
  </r>
  <r>
    <x v="32"/>
    <s v="ASS MONMOUSSEAU"/>
    <x v="0"/>
    <n v="74"/>
    <x v="2"/>
    <m/>
  </r>
  <r>
    <x v="32"/>
    <s v="ECOLE PRIMAIRE DE VAUX"/>
    <x v="0"/>
    <n v="142"/>
    <x v="2"/>
    <m/>
  </r>
  <r>
    <x v="32"/>
    <s v="A.S.C. JEAN JAURES"/>
    <x v="0"/>
    <n v="108"/>
    <x v="2"/>
    <m/>
  </r>
  <r>
    <x v="32"/>
    <s v="ECOLE PRIMAIRE J.B. CLEMENT"/>
    <x v="1"/>
    <n v="10"/>
    <x v="2"/>
    <m/>
  </r>
  <r>
    <x v="32"/>
    <s v="ASS. SPORT ET CULT LES 4 VENTS"/>
    <x v="0"/>
    <n v="58"/>
    <x v="2"/>
    <m/>
  </r>
  <r>
    <x v="32"/>
    <s v="ECOLE PRIMAIRE ST EXUPERY"/>
    <x v="0"/>
    <n v="194"/>
    <x v="2"/>
    <m/>
  </r>
  <r>
    <x v="32"/>
    <s v="ECOLE PRIMAIRE PAUL ROTH"/>
    <x v="0"/>
    <n v="156"/>
    <x v="2"/>
    <m/>
  </r>
  <r>
    <x v="32"/>
    <s v="ECOLE LA METH"/>
    <x v="0"/>
    <n v="155"/>
    <x v="2"/>
    <m/>
  </r>
  <r>
    <x v="32"/>
    <s v="ECOLE PRIMAIRE IMMARMONT"/>
    <x v="0"/>
    <n v="23"/>
    <x v="2"/>
    <m/>
  </r>
  <r>
    <x v="32"/>
    <s v="ECOLE MATERNELLE CHARCOT"/>
    <x v="0"/>
    <n v="43"/>
    <x v="2"/>
    <m/>
  </r>
  <r>
    <x v="32"/>
    <s v="ECOLE PRIMAIRE LA RAVINIERE"/>
    <x v="0"/>
    <n v="133"/>
    <x v="2"/>
    <m/>
  </r>
  <r>
    <x v="32"/>
    <s v="ECOLE PRIMAIRE DU PERCHAY"/>
    <x v="1"/>
    <n v="25"/>
    <x v="2"/>
    <m/>
  </r>
  <r>
    <x v="32"/>
    <s v="ECOLE PRIMAIRE P. ELUARD 1"/>
    <x v="0"/>
    <n v="116"/>
    <x v="2"/>
    <m/>
  </r>
  <r>
    <x v="32"/>
    <s v="ECOLE PRIMAIRE JEAN JAURES"/>
    <x v="0"/>
    <n v="207"/>
    <x v="2"/>
    <m/>
  </r>
  <r>
    <x v="32"/>
    <s v="ECOLE PRIMAIRE P. ELUARD 2"/>
    <x v="0"/>
    <n v="158"/>
    <x v="2"/>
    <m/>
  </r>
  <r>
    <x v="32"/>
    <s v="ECOLE PRIMAIRE E. CARLES"/>
    <x v="0"/>
    <n v="224"/>
    <x v="2"/>
    <m/>
  </r>
  <r>
    <x v="32"/>
    <s v="ECOLE PRIMAIRE MARIE CURIE"/>
    <x v="0"/>
    <n v="99"/>
    <x v="2"/>
    <m/>
  </r>
  <r>
    <x v="32"/>
    <s v="ECOLE P. BROSSOLETTE"/>
    <x v="0"/>
    <n v="77"/>
    <x v="2"/>
    <m/>
  </r>
  <r>
    <x v="32"/>
    <s v="1, 2, 3 SOLEIL À ST CLAIR SUR EPTE"/>
    <x v="1"/>
    <n v="12"/>
    <x v="2"/>
    <m/>
  </r>
  <r>
    <x v="32"/>
    <s v="ECOLE ALBERT CAMUS"/>
    <x v="2"/>
    <n v="268"/>
    <x v="2"/>
    <m/>
  </r>
  <r>
    <x v="32"/>
    <s v="EVASION 2"/>
    <x v="0"/>
    <n v="169"/>
    <x v="2"/>
    <m/>
  </r>
  <r>
    <x v="32"/>
    <s v="ASS. SPORTIVE ECOLE VALLANGOUJARD"/>
    <x v="1"/>
    <n v="47"/>
    <x v="2"/>
    <m/>
  </r>
  <r>
    <x v="32"/>
    <s v="ECOLE PRIMAIRE DU BOULINGRIN"/>
    <x v="0"/>
    <n v="99"/>
    <x v="2"/>
    <m/>
  </r>
  <r>
    <x v="32"/>
    <s v="ECOLE PRIMAIRE HAUTS TOUPETS"/>
    <x v="0"/>
    <n v="95"/>
    <x v="2"/>
    <m/>
  </r>
  <r>
    <x v="32"/>
    <s v="ECOLE PRIMAIRE  LES SABLONS"/>
    <x v="0"/>
    <n v="172"/>
    <x v="2"/>
    <m/>
  </r>
  <r>
    <x v="32"/>
    <s v="ASSOCIATION LA SIAULE ECOLE PRIM"/>
    <x v="0"/>
    <n v="183"/>
    <x v="2"/>
    <m/>
  </r>
  <r>
    <x v="32"/>
    <s v="ECOLE MATERNELLE LES MOISSONS"/>
    <x v="0"/>
    <n v="45"/>
    <x v="2"/>
    <m/>
  </r>
  <r>
    <x v="32"/>
    <s v="ECOLE MATERNELLE ALLEE COUVERTE BVE"/>
    <x v="0"/>
    <n v="84"/>
    <x v="2"/>
    <m/>
  </r>
  <r>
    <x v="32"/>
    <s v="ASSC DE L'ECOLE MATER LES GROUES"/>
    <x v="0"/>
    <n v="69"/>
    <x v="2"/>
    <m/>
  </r>
  <r>
    <x v="32"/>
    <s v="ECOLE MATERNELLE EMILE ZOLA"/>
    <x v="2"/>
    <n v="86"/>
    <x v="2"/>
    <m/>
  </r>
  <r>
    <x v="33"/>
    <s v="GS VOLLEY DEPARTEMENTAL DU VAL D'OISE"/>
    <x v="0"/>
    <n v="1"/>
    <x v="1"/>
    <s v="M. LERAY ERIC"/>
  </r>
  <r>
    <x v="33"/>
    <s v="A.S. V.B. ENGHEIN-DEUIL"/>
    <x v="0"/>
    <n v="1"/>
    <x v="1"/>
    <s v="M. MOSSERI FREDERIC"/>
  </r>
  <r>
    <x v="33"/>
    <s v="AS VOLLEY BALL CERGY"/>
    <x v="0"/>
    <n v="2"/>
    <x v="1"/>
    <s v="M. BAGRI ARNAUD"/>
  </r>
  <r>
    <x v="33"/>
    <s v="I.A.F.V.O."/>
    <x v="0"/>
    <n v="34"/>
    <x v="1"/>
    <s v="M. FORVEILLE YANN"/>
  </r>
  <r>
    <x v="33"/>
    <s v="AS. VOLLEY OSNY PONTOISE"/>
    <x v="0"/>
    <n v="52"/>
    <x v="1"/>
    <s v="M. NOUCHI CHRISTOPHE"/>
  </r>
  <r>
    <x v="33"/>
    <s v="COLLEGE A. DE ST EXUPERY ERMONT"/>
    <x v="0"/>
    <n v="7"/>
    <x v="1"/>
    <s v="M. RICARD ERIC"/>
  </r>
  <r>
    <x v="33"/>
    <s v="AS VOLLEYEURS DU PLESSIS BOUCHARD"/>
    <x v="0"/>
    <n v="13"/>
    <x v="1"/>
    <s v="M. KNIS ALI"/>
  </r>
  <r>
    <x v="33"/>
    <s v="US MONTSOULT-BAILLET-MAFFLIERS"/>
    <x v="0"/>
    <n v="0"/>
    <x v="1"/>
    <s v="M. MARTINEZ JEAN-MARC"/>
  </r>
  <r>
    <x v="33"/>
    <s v="MONTMORENCY VOLLEY BALL"/>
    <x v="0"/>
    <n v="0"/>
    <x v="1"/>
    <s v="M. ARANTES DANIEL"/>
  </r>
  <r>
    <x v="33"/>
    <s v="IMPERIUM GARGES VOLLEY-BALL"/>
    <x v="2"/>
    <n v="0"/>
    <x v="1"/>
    <s v="M. BOISSEVAL NASSIM"/>
  </r>
  <r>
    <x v="33"/>
    <s v="CSM EAUBONNE"/>
    <x v="0"/>
    <n v="40"/>
    <x v="1"/>
    <s v="M. RAVELOARIJAONA ETIENNE"/>
  </r>
  <r>
    <x v="33"/>
    <s v="SOCIETE VB FRANCONVILLE"/>
    <x v="0"/>
    <n v="38"/>
    <x v="1"/>
    <s v="M. VOYRON MINH-MAN"/>
  </r>
  <r>
    <x v="33"/>
    <s v="AS VOLLEY-BALL TAVERNY SAINT-LEU"/>
    <x v="0"/>
    <n v="78"/>
    <x v="1"/>
    <s v="M. OTERO BERTRAND"/>
  </r>
  <r>
    <x v="33"/>
    <s v="AMICAL CS CORMEILLAIS"/>
    <x v="0"/>
    <n v="41"/>
    <x v="1"/>
    <s v="M. DONDEYNE FABIEN"/>
  </r>
  <r>
    <x v="33"/>
    <s v="ARGENTEUIL VOLLEY BALL 95"/>
    <x v="0"/>
    <n v="62"/>
    <x v="0"/>
    <s v="MME DEBOEVER SANDRA"/>
  </r>
  <r>
    <x v="33"/>
    <s v="AS DE ST OUEN L AUMONE"/>
    <x v="0"/>
    <n v="27"/>
    <x v="0"/>
    <s v="MME JUNON CORALIE"/>
  </r>
  <r>
    <x v="33"/>
    <s v="JEUNESSE SANNOIS ST-GRATIEN"/>
    <x v="0"/>
    <n v="38"/>
    <x v="1"/>
    <s v="M. RETUERTO THOMAS"/>
  </r>
  <r>
    <x v="33"/>
    <s v="V.B. CLUB ERMONT"/>
    <x v="0"/>
    <n v="251"/>
    <x v="1"/>
    <s v="M. RICARD ERIC"/>
  </r>
  <r>
    <x v="33"/>
    <s v="CLUB SPORTIF DE GONESSE"/>
    <x v="2"/>
    <n v="2"/>
    <x v="1"/>
    <s v="M. HUYNH JUSSERANT"/>
  </r>
  <r>
    <x v="33"/>
    <s v="MONTIGNY VOLLEY 95"/>
    <x v="0"/>
    <n v="67"/>
    <x v="0"/>
    <s v="MME CERVETTI BRIGITTE"/>
  </r>
  <r>
    <x v="33"/>
    <s v="ASSOCIATION SPORTIVE D'HERBLAY"/>
    <x v="0"/>
    <n v="53"/>
    <x v="1"/>
    <s v="M. SORIN PIERRE"/>
  </r>
  <r>
    <x v="34"/>
    <m/>
    <x v="3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4" cacheId="15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25:J29" firstHeaderRow="1" firstDataRow="1" firstDataCol="1"/>
  <pivotFields count="5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59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leau croisé dynamique13" cacheId="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366:J370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E000000}" name="Tableau croisé dynamique18" cacheId="14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69:J72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me de 14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B000000}" name="Tableau croisé dynamique5" cacheId="1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794:J797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me de 1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2000000}" name="Tableau croisé dynamique1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J1023:K1027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205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Tableau croisé dynamique2" cacheId="4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978:J983" firstHeaderRow="1" firstDataRow="1" firstDataCol="1"/>
  <pivotFields count="2">
    <pivotField axis="axisRow" showAll="0">
      <items count="5">
        <item x="0"/>
        <item x="1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135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Tableau croisé dynamique8" cacheId="5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643:J64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19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Tableau croisé dynamique10" cacheId="9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260:J264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303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A000000}" name="Tableau croisé dynamique6" cacheId="1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905:J909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1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C000000}" name="Tableau croisé dynamique17" cacheId="1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173:J178" firstHeaderRow="1" firstDataRow="1" firstDataCol="1"/>
  <pivotFields count="2">
    <pivotField axis="axisRow"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14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D000000}" name="Tableau croisé dynamique12" cacheId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470:J473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me de 416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9000000}" name="Tableau croisé dynamique16" cacheId="6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201:J206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115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Tableau croisé dynamique3" cacheId="8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819:J823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F000000}" name="Tableau croisé dynamique7" cacheId="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748:J751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me de 3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Tableau croisé dynamique9" cacheId="7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550:J555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25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Tableau croisé dynamique11" cacheId="12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I498:J502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6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0000000}" name="Tableau croisé dynamique1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chartFormat="2">
  <location ref="B26:C28" firstHeaderRow="1" firstDataRow="1" firstDataCol="1"/>
  <pivotFields count="6">
    <pivotField showAll="0">
      <items count="36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showAll="0"/>
    <pivotField axis="axisRow" showAll="0">
      <items count="5">
        <item x="0"/>
        <item h="1" x="2"/>
        <item h="1" x="1"/>
        <item h="1" sd="0" x="3"/>
        <item t="default"/>
      </items>
    </pivotField>
    <pivotField dataField="1" showAll="0"/>
    <pivotField showAll="0">
      <items count="4">
        <item x="0"/>
        <item x="1"/>
        <item h="1" x="2"/>
        <item t="default"/>
      </items>
    </pivotField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omme de Nbr de féminines " fld="3" baseField="2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1000000}" name="Tableau croisé dynamique14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5" indent="0" outline="1" outlineData="1" multipleFieldFilters="0" chartFormat="4">
  <location ref="B6:C14" firstHeaderRow="1" firstDataRow="1" firstDataCol="1"/>
  <pivotFields count="6">
    <pivotField multipleItemSelectionAllowed="1" showAll="0">
      <items count="36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showAll="0"/>
    <pivotField axis="axisRow" showAll="0">
      <items count="5">
        <item x="0"/>
        <item x="2"/>
        <item x="1"/>
        <item h="1" sd="0" x="3"/>
        <item t="default"/>
      </items>
    </pivotField>
    <pivotField showAll="0"/>
    <pivotField axis="axisRow" dataField="1" showAll="0">
      <items count="4">
        <item x="0"/>
        <item x="1"/>
        <item h="1" x="2"/>
        <item t="default"/>
      </items>
    </pivotField>
    <pivotField showAll="0"/>
  </pivotFields>
  <rowFields count="2">
    <field x="4"/>
    <field x="2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t="grand">
      <x/>
    </i>
  </rowItems>
  <colItems count="1">
    <i/>
  </colItems>
  <dataFields count="1">
    <dataField name="Nombre de Président.e" fld="4" subtotal="count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iscipline" xr10:uid="{00000000-0013-0000-FFFF-FFFF01000000}" sourceName="Discipline">
  <pivotTables>
    <pivotTable tabId="16" name="Tableau croisé dynamique14"/>
  </pivotTables>
  <data>
    <tabular pivotCacheId="1">
      <items count="35">
        <i x="0"/>
        <i x="1"/>
        <i x="2"/>
        <i x="3"/>
        <i x="4"/>
        <i x="5" s="1"/>
        <i x="6"/>
        <i x="7"/>
        <i x="8"/>
        <i x="9"/>
        <i x="11"/>
        <i x="12"/>
        <i x="13"/>
        <i x="14"/>
        <i x="15"/>
        <i x="16"/>
        <i x="17"/>
        <i x="18"/>
        <i x="19"/>
        <i x="21"/>
        <i x="23"/>
        <i x="24"/>
        <i x="25"/>
        <i x="26"/>
        <i x="28"/>
        <i x="29"/>
        <i x="30"/>
        <i x="31"/>
        <i x="33"/>
        <i x="10" nd="1"/>
        <i x="20" nd="1"/>
        <i x="22" nd="1"/>
        <i x="27" nd="1"/>
        <i x="32" nd="1"/>
        <i x="3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iscipline1" xr10:uid="{00000000-0013-0000-FFFF-FFFF02000000}" sourceName="Discipline">
  <pivotTables>
    <pivotTable tabId="16" name="Tableau croisé dynamique1"/>
  </pivotTables>
  <data>
    <tabular pivotCacheId="1">
      <items count="35">
        <i x="0"/>
        <i x="1"/>
        <i x="2"/>
        <i x="3"/>
        <i x="4"/>
        <i x="5"/>
        <i x="6" s="1"/>
        <i x="7"/>
        <i x="8"/>
        <i x="9"/>
        <i x="10"/>
        <i x="11"/>
        <i x="12"/>
        <i x="13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14" nd="1"/>
        <i x="3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cipline" xr10:uid="{00000000-0014-0000-FFFF-FFFF01000000}" cache="Segment_Discipline" caption="Discipline" rowHeight="241300"/>
  <slicer name="Discipline 1" xr10:uid="{00000000-0014-0000-FFFF-FFFF02000000}" cache="Segment_Discipline1" caption="Discipline" rowHeight="24130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2"/>
  <sheetViews>
    <sheetView zoomScaleNormal="100" workbookViewId="0">
      <selection sqref="A1:A1048576"/>
    </sheetView>
  </sheetViews>
  <sheetFormatPr baseColWidth="10" defaultRowHeight="15" x14ac:dyDescent="0.25"/>
  <cols>
    <col min="2" max="2" width="33.140625" customWidth="1"/>
    <col min="3" max="3" width="23.85546875" style="1" customWidth="1"/>
    <col min="4" max="4" width="24" style="1" customWidth="1"/>
    <col min="5" max="5" width="31.28515625" style="1" customWidth="1"/>
    <col min="6" max="6" width="16.5703125" style="1" customWidth="1"/>
    <col min="8" max="8" width="15.28515625" customWidth="1"/>
    <col min="9" max="9" width="14.28515625" customWidth="1"/>
    <col min="10" max="10" width="14.42578125" customWidth="1"/>
    <col min="11" max="11" width="13" customWidth="1"/>
  </cols>
  <sheetData>
    <row r="2" spans="2:6" ht="19.5" customHeight="1" x14ac:dyDescent="0.25">
      <c r="B2" s="270" t="s">
        <v>902</v>
      </c>
      <c r="C2" s="271"/>
      <c r="D2" s="271"/>
      <c r="E2" s="271"/>
      <c r="F2" s="272"/>
    </row>
    <row r="4" spans="2:6" s="24" customFormat="1" ht="22.5" customHeight="1" x14ac:dyDescent="0.25">
      <c r="B4" s="90" t="s">
        <v>559</v>
      </c>
      <c r="C4" s="93" t="s">
        <v>898</v>
      </c>
      <c r="D4" s="91" t="s">
        <v>560</v>
      </c>
      <c r="E4" s="93" t="s">
        <v>1293</v>
      </c>
      <c r="F4" s="92" t="s">
        <v>120</v>
      </c>
    </row>
    <row r="5" spans="2:6" x14ac:dyDescent="0.25">
      <c r="B5" s="88" t="s">
        <v>561</v>
      </c>
      <c r="C5" s="94">
        <v>38</v>
      </c>
      <c r="D5" s="1">
        <v>4878</v>
      </c>
      <c r="E5" s="94">
        <v>2266</v>
      </c>
      <c r="F5" s="89">
        <f>E5/D5</f>
        <v>0.46453464534645345</v>
      </c>
    </row>
    <row r="6" spans="2:6" x14ac:dyDescent="0.25">
      <c r="B6" s="88" t="s">
        <v>562</v>
      </c>
      <c r="C6" s="94">
        <v>6</v>
      </c>
      <c r="D6" s="1">
        <v>548</v>
      </c>
      <c r="E6" s="94">
        <v>235</v>
      </c>
      <c r="F6" s="89">
        <f>E6/D6</f>
        <v>0.42883211678832117</v>
      </c>
    </row>
    <row r="7" spans="2:6" x14ac:dyDescent="0.25">
      <c r="B7" s="88" t="s">
        <v>5</v>
      </c>
      <c r="C7" s="94">
        <v>27</v>
      </c>
      <c r="D7" s="100">
        <v>2470</v>
      </c>
      <c r="E7" s="94">
        <v>838</v>
      </c>
      <c r="F7" s="89">
        <f>E7/D7</f>
        <v>0.33927125506072875</v>
      </c>
    </row>
    <row r="8" spans="2:6" x14ac:dyDescent="0.25">
      <c r="B8" s="88" t="s">
        <v>897</v>
      </c>
      <c r="C8" s="94">
        <v>13</v>
      </c>
      <c r="D8" s="1">
        <v>443</v>
      </c>
      <c r="E8" s="94">
        <v>90</v>
      </c>
      <c r="F8" s="89">
        <f t="shared" ref="F8:F34" si="0">E8/D8</f>
        <v>0.20316027088036118</v>
      </c>
    </row>
    <row r="9" spans="2:6" x14ac:dyDescent="0.25">
      <c r="B9" s="88" t="s">
        <v>563</v>
      </c>
      <c r="C9" s="94">
        <v>41</v>
      </c>
      <c r="D9" s="100">
        <v>6719</v>
      </c>
      <c r="E9" s="101">
        <v>1325</v>
      </c>
      <c r="F9" s="89">
        <f t="shared" si="0"/>
        <v>0.19720196457806222</v>
      </c>
    </row>
    <row r="10" spans="2:6" x14ac:dyDescent="0.25">
      <c r="B10" s="88" t="s">
        <v>564</v>
      </c>
      <c r="C10" s="94">
        <v>16</v>
      </c>
      <c r="D10" s="131">
        <v>744</v>
      </c>
      <c r="E10" s="132">
        <v>226</v>
      </c>
      <c r="F10" s="89">
        <f t="shared" si="0"/>
        <v>0.30376344086021506</v>
      </c>
    </row>
    <row r="11" spans="2:6" x14ac:dyDescent="0.25">
      <c r="B11" s="88" t="s">
        <v>565</v>
      </c>
      <c r="C11" s="94">
        <v>24</v>
      </c>
      <c r="D11" s="1">
        <v>1050</v>
      </c>
      <c r="E11" s="94">
        <v>92</v>
      </c>
      <c r="F11" s="89">
        <f t="shared" si="0"/>
        <v>8.7619047619047624E-2</v>
      </c>
    </row>
    <row r="12" spans="2:6" x14ac:dyDescent="0.25">
      <c r="B12" s="88" t="s">
        <v>566</v>
      </c>
      <c r="C12" s="94">
        <v>83</v>
      </c>
      <c r="D12" s="100">
        <v>9232</v>
      </c>
      <c r="E12" s="101">
        <v>7837</v>
      </c>
      <c r="F12" s="89">
        <f t="shared" si="0"/>
        <v>0.84889514731369153</v>
      </c>
    </row>
    <row r="13" spans="2:6" x14ac:dyDescent="0.25">
      <c r="B13" s="88" t="s">
        <v>567</v>
      </c>
      <c r="C13" s="94">
        <v>15</v>
      </c>
      <c r="D13" s="1">
        <v>934</v>
      </c>
      <c r="E13" s="94">
        <v>258</v>
      </c>
      <c r="F13" s="89">
        <f t="shared" si="0"/>
        <v>0.27623126338329762</v>
      </c>
    </row>
    <row r="14" spans="2:6" x14ac:dyDescent="0.25">
      <c r="B14" s="88" t="s">
        <v>568</v>
      </c>
      <c r="C14" s="94">
        <v>111</v>
      </c>
      <c r="D14" s="100">
        <v>35202</v>
      </c>
      <c r="E14" s="101">
        <v>2262</v>
      </c>
      <c r="F14" s="89">
        <f t="shared" si="0"/>
        <v>6.42577126299642E-2</v>
      </c>
    </row>
    <row r="15" spans="2:6" x14ac:dyDescent="0.25">
      <c r="B15" s="88" t="s">
        <v>739</v>
      </c>
      <c r="C15" s="94">
        <v>31</v>
      </c>
      <c r="D15" s="100">
        <v>10633</v>
      </c>
      <c r="E15" s="101">
        <v>2638</v>
      </c>
      <c r="F15" s="89">
        <f>E15/D15</f>
        <v>0.24809555158468918</v>
      </c>
    </row>
    <row r="16" spans="2:6" x14ac:dyDescent="0.25">
      <c r="B16" s="88" t="s">
        <v>225</v>
      </c>
      <c r="C16" s="94">
        <v>28</v>
      </c>
      <c r="D16" s="100">
        <v>6516</v>
      </c>
      <c r="E16" s="101">
        <v>5562</v>
      </c>
      <c r="F16" s="89">
        <f t="shared" si="0"/>
        <v>0.85359116022099446</v>
      </c>
    </row>
    <row r="17" spans="2:10" x14ac:dyDescent="0.25">
      <c r="B17" s="88" t="s">
        <v>569</v>
      </c>
      <c r="C17" s="94"/>
      <c r="D17" s="131">
        <v>165</v>
      </c>
      <c r="E17" s="132">
        <v>60</v>
      </c>
      <c r="F17" s="89">
        <f t="shared" si="0"/>
        <v>0.36363636363636365</v>
      </c>
    </row>
    <row r="18" spans="2:10" x14ac:dyDescent="0.25">
      <c r="B18" s="88" t="s">
        <v>570</v>
      </c>
      <c r="C18" s="94">
        <v>29</v>
      </c>
      <c r="D18" s="100">
        <v>4112</v>
      </c>
      <c r="E18" s="101">
        <v>1039</v>
      </c>
      <c r="F18" s="89">
        <f t="shared" si="0"/>
        <v>0.25267509727626458</v>
      </c>
    </row>
    <row r="19" spans="2:10" x14ac:dyDescent="0.25">
      <c r="B19" s="88" t="s">
        <v>571</v>
      </c>
      <c r="C19" s="94">
        <v>5</v>
      </c>
      <c r="D19" s="1">
        <v>940</v>
      </c>
      <c r="E19" s="94">
        <v>116</v>
      </c>
      <c r="F19" s="89">
        <f t="shared" si="0"/>
        <v>0.12340425531914893</v>
      </c>
    </row>
    <row r="20" spans="2:10" x14ac:dyDescent="0.25">
      <c r="B20" s="88" t="s">
        <v>572</v>
      </c>
      <c r="C20" s="94">
        <v>89</v>
      </c>
      <c r="D20" s="100">
        <v>7341</v>
      </c>
      <c r="E20" s="101">
        <v>2177</v>
      </c>
      <c r="F20" s="89">
        <f t="shared" si="0"/>
        <v>0.29655360305135542</v>
      </c>
    </row>
    <row r="21" spans="2:10" x14ac:dyDescent="0.25">
      <c r="B21" s="88" t="s">
        <v>12</v>
      </c>
      <c r="C21" s="94">
        <v>108</v>
      </c>
      <c r="D21" s="100">
        <v>7708</v>
      </c>
      <c r="E21" s="101">
        <v>1792</v>
      </c>
      <c r="F21" s="89">
        <f t="shared" si="0"/>
        <v>0.23248572911261028</v>
      </c>
    </row>
    <row r="22" spans="2:10" x14ac:dyDescent="0.25">
      <c r="B22" s="88" t="s">
        <v>588</v>
      </c>
      <c r="C22" s="94">
        <v>10</v>
      </c>
      <c r="D22" s="100">
        <v>1045</v>
      </c>
      <c r="E22" s="94">
        <v>470</v>
      </c>
      <c r="F22" s="89">
        <f t="shared" si="0"/>
        <v>0.44976076555023925</v>
      </c>
    </row>
    <row r="23" spans="2:10" x14ac:dyDescent="0.25">
      <c r="B23" s="88" t="s">
        <v>573</v>
      </c>
      <c r="C23" s="94">
        <v>26</v>
      </c>
      <c r="D23" s="131">
        <v>9488</v>
      </c>
      <c r="E23" s="132">
        <v>5036</v>
      </c>
      <c r="F23" s="89">
        <f t="shared" si="0"/>
        <v>0.5307757166947723</v>
      </c>
      <c r="H23">
        <v>5093</v>
      </c>
      <c r="I23">
        <v>2704</v>
      </c>
      <c r="J23" s="260">
        <f>I23/H23</f>
        <v>0.53092479874337328</v>
      </c>
    </row>
    <row r="24" spans="2:10" x14ac:dyDescent="0.25">
      <c r="B24" s="88" t="s">
        <v>747</v>
      </c>
      <c r="C24" s="94">
        <v>12</v>
      </c>
      <c r="D24" s="131">
        <v>880</v>
      </c>
      <c r="E24" s="132">
        <v>421</v>
      </c>
      <c r="F24" s="89">
        <f t="shared" si="0"/>
        <v>0.47840909090909089</v>
      </c>
    </row>
    <row r="25" spans="2:10" x14ac:dyDescent="0.25">
      <c r="B25" s="88" t="s">
        <v>590</v>
      </c>
      <c r="C25" s="94">
        <v>10</v>
      </c>
      <c r="D25" s="100">
        <v>1392</v>
      </c>
      <c r="E25" s="94">
        <v>151</v>
      </c>
      <c r="F25" s="89">
        <f t="shared" si="0"/>
        <v>0.10847701149425287</v>
      </c>
    </row>
    <row r="26" spans="2:10" x14ac:dyDescent="0.25">
      <c r="B26" s="88" t="s">
        <v>574</v>
      </c>
      <c r="C26" s="94">
        <v>4</v>
      </c>
      <c r="D26" s="1">
        <v>891</v>
      </c>
      <c r="E26" s="94">
        <v>823</v>
      </c>
      <c r="F26" s="89">
        <f>E26/D26</f>
        <v>0.92368125701459036</v>
      </c>
    </row>
    <row r="27" spans="2:10" x14ac:dyDescent="0.25">
      <c r="B27" s="88" t="s">
        <v>750</v>
      </c>
      <c r="C27" s="94">
        <v>16</v>
      </c>
      <c r="D27" s="1">
        <v>543</v>
      </c>
      <c r="E27" s="94">
        <v>218</v>
      </c>
      <c r="F27" s="89">
        <f>E27/D27</f>
        <v>0.40147329650092078</v>
      </c>
    </row>
    <row r="28" spans="2:10" x14ac:dyDescent="0.25">
      <c r="B28" s="88" t="s">
        <v>17</v>
      </c>
      <c r="C28" s="94">
        <v>88</v>
      </c>
      <c r="D28" s="100">
        <v>19927</v>
      </c>
      <c r="E28" s="101">
        <v>5565</v>
      </c>
      <c r="F28" s="89">
        <f t="shared" si="0"/>
        <v>0.27926933306568974</v>
      </c>
    </row>
    <row r="29" spans="2:10" x14ac:dyDescent="0.25">
      <c r="B29" s="88" t="s">
        <v>575</v>
      </c>
      <c r="C29" s="94">
        <v>40</v>
      </c>
      <c r="D29" s="100">
        <v>2098</v>
      </c>
      <c r="E29" s="94">
        <v>228</v>
      </c>
      <c r="F29" s="89">
        <f t="shared" si="0"/>
        <v>0.10867492850333652</v>
      </c>
    </row>
    <row r="30" spans="2:10" x14ac:dyDescent="0.25">
      <c r="B30" s="88" t="s">
        <v>576</v>
      </c>
      <c r="C30" s="94">
        <v>16</v>
      </c>
      <c r="D30" s="131">
        <v>3387</v>
      </c>
      <c r="E30" s="132">
        <v>339</v>
      </c>
      <c r="F30" s="89">
        <f t="shared" si="0"/>
        <v>0.10008857395925598</v>
      </c>
    </row>
    <row r="31" spans="2:10" x14ac:dyDescent="0.25">
      <c r="B31" s="88" t="s">
        <v>577</v>
      </c>
      <c r="C31" s="94">
        <v>27</v>
      </c>
      <c r="D31" s="100">
        <v>1199</v>
      </c>
      <c r="E31" s="94">
        <v>372</v>
      </c>
      <c r="F31" s="89">
        <f t="shared" si="0"/>
        <v>0.31025854879065889</v>
      </c>
    </row>
    <row r="32" spans="2:10" x14ac:dyDescent="0.25">
      <c r="B32" s="88" t="s">
        <v>18</v>
      </c>
      <c r="C32" s="94">
        <v>11</v>
      </c>
      <c r="D32" s="100">
        <v>752</v>
      </c>
      <c r="E32" s="94">
        <v>139</v>
      </c>
      <c r="F32" s="89">
        <f t="shared" si="0"/>
        <v>0.1848404255319149</v>
      </c>
    </row>
    <row r="33" spans="2:10" x14ac:dyDescent="0.25">
      <c r="B33" s="88" t="s">
        <v>578</v>
      </c>
      <c r="C33" s="94">
        <v>7</v>
      </c>
      <c r="D33" s="131">
        <v>1664</v>
      </c>
      <c r="E33" s="132">
        <v>599</v>
      </c>
      <c r="F33" s="89">
        <f t="shared" si="0"/>
        <v>0.35997596153846156</v>
      </c>
    </row>
    <row r="34" spans="2:10" x14ac:dyDescent="0.25">
      <c r="B34" s="88" t="s">
        <v>579</v>
      </c>
      <c r="C34" s="94">
        <v>21</v>
      </c>
      <c r="D34" s="100">
        <v>1812</v>
      </c>
      <c r="E34" s="94">
        <v>801</v>
      </c>
      <c r="F34" s="89">
        <f t="shared" si="0"/>
        <v>0.44205298013245031</v>
      </c>
    </row>
    <row r="35" spans="2:10" s="5" customFormat="1" x14ac:dyDescent="0.25">
      <c r="B35" s="95" t="s">
        <v>580</v>
      </c>
      <c r="C35" s="96">
        <f>SUM(C5:C34)</f>
        <v>952</v>
      </c>
      <c r="D35" s="97">
        <f>SUM(D5:D34)</f>
        <v>144713</v>
      </c>
      <c r="E35" s="96">
        <f>SUM(E5:E34)</f>
        <v>43975</v>
      </c>
      <c r="F35" s="106">
        <f>E35/D35</f>
        <v>0.30387732961102321</v>
      </c>
    </row>
    <row r="36" spans="2:10" x14ac:dyDescent="0.25">
      <c r="B36" s="5"/>
    </row>
    <row r="37" spans="2:10" s="24" customFormat="1" ht="22.5" customHeight="1" x14ac:dyDescent="0.25">
      <c r="B37" s="90" t="s">
        <v>581</v>
      </c>
      <c r="C37" s="93" t="s">
        <v>898</v>
      </c>
      <c r="D37" s="91" t="s">
        <v>560</v>
      </c>
      <c r="E37" s="93" t="s">
        <v>1293</v>
      </c>
      <c r="F37" s="92" t="s">
        <v>120</v>
      </c>
      <c r="J37"/>
    </row>
    <row r="38" spans="2:10" x14ac:dyDescent="0.25">
      <c r="B38" s="88" t="s">
        <v>582</v>
      </c>
      <c r="C38" s="94">
        <v>15</v>
      </c>
      <c r="D38" s="1">
        <v>247</v>
      </c>
      <c r="E38" s="94">
        <v>63</v>
      </c>
      <c r="F38" s="89">
        <f>E38/D38</f>
        <v>0.25506072874493929</v>
      </c>
    </row>
    <row r="39" spans="2:10" x14ac:dyDescent="0.25">
      <c r="B39" s="88" t="s">
        <v>583</v>
      </c>
      <c r="C39" s="94">
        <v>6</v>
      </c>
      <c r="D39" s="131">
        <v>114</v>
      </c>
      <c r="E39" s="132">
        <v>18</v>
      </c>
      <c r="F39" s="89">
        <f t="shared" ref="F39:F47" si="1">E39/D39</f>
        <v>0.15789473684210525</v>
      </c>
    </row>
    <row r="40" spans="2:10" x14ac:dyDescent="0.25">
      <c r="B40" s="114" t="s">
        <v>584</v>
      </c>
      <c r="C40" s="94">
        <v>3</v>
      </c>
      <c r="D40" s="1">
        <v>46</v>
      </c>
      <c r="E40" s="94">
        <v>14</v>
      </c>
      <c r="F40" s="89">
        <f t="shared" si="1"/>
        <v>0.30434782608695654</v>
      </c>
    </row>
    <row r="41" spans="2:10" x14ac:dyDescent="0.25">
      <c r="B41" s="88" t="s">
        <v>585</v>
      </c>
      <c r="C41" s="94">
        <v>27</v>
      </c>
      <c r="D41" s="1">
        <v>1122</v>
      </c>
      <c r="E41" s="94">
        <v>221</v>
      </c>
      <c r="F41" s="89">
        <f t="shared" si="1"/>
        <v>0.19696969696969696</v>
      </c>
    </row>
    <row r="42" spans="2:10" x14ac:dyDescent="0.25">
      <c r="B42" s="88" t="s">
        <v>586</v>
      </c>
      <c r="C42" s="94">
        <v>23</v>
      </c>
      <c r="D42" s="127">
        <v>1675</v>
      </c>
      <c r="E42" s="128">
        <v>1471</v>
      </c>
      <c r="F42" s="89">
        <f t="shared" si="1"/>
        <v>0.87820895522388065</v>
      </c>
    </row>
    <row r="43" spans="2:10" x14ac:dyDescent="0.25">
      <c r="B43" s="88" t="s">
        <v>733</v>
      </c>
      <c r="C43" s="94">
        <v>15</v>
      </c>
      <c r="D43" s="131">
        <v>173</v>
      </c>
      <c r="E43" s="132">
        <v>19</v>
      </c>
      <c r="F43" s="89">
        <f t="shared" si="1"/>
        <v>0.10982658959537572</v>
      </c>
    </row>
    <row r="44" spans="2:10" x14ac:dyDescent="0.25">
      <c r="B44" s="88" t="s">
        <v>735</v>
      </c>
      <c r="C44" s="94"/>
      <c r="D44" s="131">
        <v>21</v>
      </c>
      <c r="E44" s="132">
        <v>5</v>
      </c>
      <c r="F44" s="89">
        <f t="shared" si="1"/>
        <v>0.23809523809523808</v>
      </c>
    </row>
    <row r="45" spans="2:10" x14ac:dyDescent="0.25">
      <c r="B45" s="88" t="s">
        <v>587</v>
      </c>
      <c r="C45" s="94">
        <v>4</v>
      </c>
      <c r="D45" s="1">
        <v>388</v>
      </c>
      <c r="E45" s="94">
        <v>144</v>
      </c>
      <c r="F45" s="89">
        <f t="shared" si="1"/>
        <v>0.37113402061855671</v>
      </c>
    </row>
    <row r="46" spans="2:10" x14ac:dyDescent="0.25">
      <c r="B46" s="88" t="s">
        <v>796</v>
      </c>
      <c r="C46" s="94">
        <v>55</v>
      </c>
      <c r="D46" s="100">
        <v>2605</v>
      </c>
      <c r="E46" s="94">
        <v>305</v>
      </c>
      <c r="F46" s="89">
        <f t="shared" si="1"/>
        <v>0.11708253358925144</v>
      </c>
    </row>
    <row r="47" spans="2:10" x14ac:dyDescent="0.25">
      <c r="B47" s="88" t="s">
        <v>589</v>
      </c>
      <c r="C47" s="94">
        <v>35</v>
      </c>
      <c r="D47" s="131">
        <v>1319</v>
      </c>
      <c r="E47" s="132">
        <v>398</v>
      </c>
      <c r="F47" s="89">
        <f t="shared" si="1"/>
        <v>0.30174374526156178</v>
      </c>
    </row>
    <row r="48" spans="2:10" x14ac:dyDescent="0.25">
      <c r="B48" s="88" t="s">
        <v>745</v>
      </c>
      <c r="C48" s="94">
        <v>39</v>
      </c>
      <c r="D48" s="1">
        <v>3537</v>
      </c>
      <c r="E48" s="94">
        <v>2339</v>
      </c>
      <c r="F48" s="89">
        <f>E48/D48</f>
        <v>0.66129488266892844</v>
      </c>
    </row>
    <row r="49" spans="2:10" x14ac:dyDescent="0.25">
      <c r="B49" s="88" t="s">
        <v>591</v>
      </c>
      <c r="C49" s="94">
        <v>3</v>
      </c>
      <c r="D49" s="1">
        <v>72</v>
      </c>
      <c r="E49" s="94">
        <v>30</v>
      </c>
      <c r="F49" s="89">
        <f t="shared" ref="F49:F51" si="2">E49/D49</f>
        <v>0.41666666666666669</v>
      </c>
    </row>
    <row r="50" spans="2:10" x14ac:dyDescent="0.25">
      <c r="B50" s="88" t="s">
        <v>15</v>
      </c>
      <c r="C50" s="94">
        <v>3</v>
      </c>
      <c r="D50" s="100">
        <v>2933</v>
      </c>
      <c r="E50" s="94">
        <v>880</v>
      </c>
      <c r="F50" s="89">
        <f t="shared" si="2"/>
        <v>0.30003409478349813</v>
      </c>
    </row>
    <row r="51" spans="2:10" s="5" customFormat="1" x14ac:dyDescent="0.25">
      <c r="B51" s="95" t="s">
        <v>580</v>
      </c>
      <c r="C51" s="96">
        <f>SUM(C38:C50)</f>
        <v>228</v>
      </c>
      <c r="D51" s="97">
        <f>SUM(D38:D50)</f>
        <v>14252</v>
      </c>
      <c r="E51" s="96">
        <f>SUM(E38:E50)</f>
        <v>5907</v>
      </c>
      <c r="F51" s="106">
        <f t="shared" si="2"/>
        <v>0.41446814482177941</v>
      </c>
      <c r="H51" s="124"/>
      <c r="J51"/>
    </row>
    <row r="52" spans="2:10" x14ac:dyDescent="0.25">
      <c r="B52" s="5"/>
      <c r="J52" s="5"/>
    </row>
    <row r="53" spans="2:10" s="24" customFormat="1" ht="22.5" customHeight="1" x14ac:dyDescent="0.25">
      <c r="B53" s="90" t="s">
        <v>896</v>
      </c>
      <c r="C53" s="93" t="s">
        <v>898</v>
      </c>
      <c r="D53" s="91" t="s">
        <v>560</v>
      </c>
      <c r="E53" s="93" t="s">
        <v>1293</v>
      </c>
      <c r="F53" s="92" t="s">
        <v>120</v>
      </c>
      <c r="J53"/>
    </row>
    <row r="54" spans="2:10" x14ac:dyDescent="0.25">
      <c r="B54" s="99" t="s">
        <v>592</v>
      </c>
      <c r="C54" s="94">
        <v>23</v>
      </c>
      <c r="D54" s="1">
        <v>2923</v>
      </c>
      <c r="E54" s="94">
        <v>2100</v>
      </c>
      <c r="F54" s="89">
        <f>E54/D54</f>
        <v>0.71843995894628809</v>
      </c>
      <c r="J54" s="24"/>
    </row>
    <row r="55" spans="2:10" x14ac:dyDescent="0.25">
      <c r="B55" s="88" t="s">
        <v>593</v>
      </c>
      <c r="C55" s="94">
        <v>72</v>
      </c>
      <c r="D55" s="100">
        <v>1367</v>
      </c>
      <c r="E55" s="94">
        <v>410</v>
      </c>
      <c r="F55" s="89">
        <f>E55/D55</f>
        <v>0.29992684711046086</v>
      </c>
    </row>
    <row r="56" spans="2:10" x14ac:dyDescent="0.25">
      <c r="B56" s="88" t="s">
        <v>594</v>
      </c>
      <c r="C56" s="94">
        <v>70</v>
      </c>
      <c r="D56" s="100">
        <v>5850</v>
      </c>
      <c r="E56" s="101">
        <v>2319</v>
      </c>
      <c r="F56" s="89">
        <f>E56/D56</f>
        <v>0.3964102564102564</v>
      </c>
    </row>
    <row r="57" spans="2:10" s="5" customFormat="1" x14ac:dyDescent="0.25">
      <c r="B57" s="95" t="s">
        <v>580</v>
      </c>
      <c r="C57" s="96">
        <f>SUM(C54:C56)</f>
        <v>165</v>
      </c>
      <c r="D57" s="97">
        <f>SUM(D54:D56)</f>
        <v>10140</v>
      </c>
      <c r="E57" s="96">
        <f>SUM(E54:E56)</f>
        <v>4829</v>
      </c>
      <c r="F57" s="106">
        <f t="shared" ref="F57" si="3">E57/D57</f>
        <v>0.47623274161735701</v>
      </c>
      <c r="H57" s="124"/>
      <c r="J57"/>
    </row>
    <row r="58" spans="2:10" x14ac:dyDescent="0.25">
      <c r="B58" s="5"/>
      <c r="J58" s="5"/>
    </row>
    <row r="59" spans="2:10" s="24" customFormat="1" ht="22.5" customHeight="1" x14ac:dyDescent="0.25">
      <c r="B59" s="90" t="s">
        <v>895</v>
      </c>
      <c r="C59" s="93" t="s">
        <v>898</v>
      </c>
      <c r="D59" s="91" t="s">
        <v>560</v>
      </c>
      <c r="E59" s="93" t="s">
        <v>1293</v>
      </c>
      <c r="F59" s="92" t="s">
        <v>120</v>
      </c>
      <c r="J59"/>
    </row>
    <row r="60" spans="2:10" x14ac:dyDescent="0.25">
      <c r="B60" s="88" t="s">
        <v>6</v>
      </c>
      <c r="C60" s="94">
        <v>63</v>
      </c>
      <c r="D60" s="1">
        <v>9877</v>
      </c>
      <c r="E60" s="94">
        <v>8906</v>
      </c>
      <c r="F60" s="89">
        <f>E60/D60</f>
        <v>0.90169079680064801</v>
      </c>
      <c r="J60" s="24"/>
    </row>
    <row r="61" spans="2:10" x14ac:dyDescent="0.25">
      <c r="B61" s="88" t="s">
        <v>595</v>
      </c>
      <c r="C61" s="94">
        <v>24</v>
      </c>
      <c r="D61" s="1">
        <v>315</v>
      </c>
      <c r="E61" s="94">
        <v>79</v>
      </c>
      <c r="F61" s="89">
        <f>E61/D61</f>
        <v>0.25079365079365079</v>
      </c>
    </row>
    <row r="62" spans="2:10" x14ac:dyDescent="0.25">
      <c r="B62" s="88" t="s">
        <v>597</v>
      </c>
      <c r="C62" s="94">
        <v>8</v>
      </c>
      <c r="D62" s="131">
        <v>2517</v>
      </c>
      <c r="E62" s="132">
        <v>1710</v>
      </c>
      <c r="F62" s="89">
        <f t="shared" ref="F62:F63" si="4">E62/D62</f>
        <v>0.67938021454112041</v>
      </c>
    </row>
    <row r="63" spans="2:10" x14ac:dyDescent="0.25">
      <c r="B63" s="88" t="s">
        <v>598</v>
      </c>
      <c r="C63" s="94">
        <v>8</v>
      </c>
      <c r="D63" s="131">
        <v>482</v>
      </c>
      <c r="E63" s="132">
        <v>165</v>
      </c>
      <c r="F63" s="89">
        <f t="shared" si="4"/>
        <v>0.34232365145228216</v>
      </c>
    </row>
    <row r="64" spans="2:10" s="5" customFormat="1" x14ac:dyDescent="0.25">
      <c r="B64" s="95" t="s">
        <v>580</v>
      </c>
      <c r="C64" s="96">
        <f>SUM(C60:C63)</f>
        <v>103</v>
      </c>
      <c r="D64" s="97">
        <f>SUM(D60:D63)</f>
        <v>13191</v>
      </c>
      <c r="E64" s="98">
        <f>SUM(E60:E63)</f>
        <v>10860</v>
      </c>
      <c r="F64" s="106">
        <f t="shared" ref="F64" si="5">E64/D64</f>
        <v>0.82328860586763708</v>
      </c>
      <c r="H64" s="124"/>
      <c r="J64"/>
    </row>
    <row r="65" spans="2:10" x14ac:dyDescent="0.25">
      <c r="B65" s="5"/>
      <c r="J65" s="5"/>
    </row>
    <row r="66" spans="2:10" s="24" customFormat="1" ht="22.5" customHeight="1" x14ac:dyDescent="0.25">
      <c r="B66" s="90" t="s">
        <v>894</v>
      </c>
      <c r="C66" s="93" t="s">
        <v>898</v>
      </c>
      <c r="D66" s="91" t="s">
        <v>560</v>
      </c>
      <c r="E66" s="93" t="s">
        <v>1293</v>
      </c>
      <c r="F66" s="92" t="s">
        <v>120</v>
      </c>
      <c r="J66"/>
    </row>
    <row r="67" spans="2:10" x14ac:dyDescent="0.25">
      <c r="B67" s="88" t="s">
        <v>599</v>
      </c>
      <c r="C67" s="94">
        <v>179</v>
      </c>
      <c r="D67" s="131">
        <v>11304</v>
      </c>
      <c r="E67" s="132">
        <v>4848</v>
      </c>
      <c r="F67" s="89">
        <f>E67/D67</f>
        <v>0.4288747346072187</v>
      </c>
      <c r="J67" s="24"/>
    </row>
    <row r="68" spans="2:10" x14ac:dyDescent="0.25">
      <c r="B68" s="88" t="s">
        <v>600</v>
      </c>
      <c r="C68" s="94">
        <v>66</v>
      </c>
      <c r="D68" s="1">
        <v>12884</v>
      </c>
      <c r="E68" s="94">
        <v>7594</v>
      </c>
      <c r="F68" s="89">
        <f>E68/D68</f>
        <v>0.58941322570630239</v>
      </c>
      <c r="H68" s="112"/>
    </row>
    <row r="69" spans="2:10" s="5" customFormat="1" x14ac:dyDescent="0.25">
      <c r="B69" s="95" t="s">
        <v>580</v>
      </c>
      <c r="C69" s="96">
        <f>SUM(C67:C68)</f>
        <v>245</v>
      </c>
      <c r="D69" s="97">
        <f>SUM(D67:D68)</f>
        <v>24188</v>
      </c>
      <c r="E69" s="96">
        <f>SUM(E67:E68)</f>
        <v>12442</v>
      </c>
      <c r="F69" s="106">
        <f t="shared" ref="F69" si="6">E69/D69</f>
        <v>0.51438729948734907</v>
      </c>
      <c r="H69" s="124"/>
      <c r="J69"/>
    </row>
    <row r="70" spans="2:10" x14ac:dyDescent="0.25">
      <c r="B70" s="5"/>
      <c r="J70" s="5"/>
    </row>
    <row r="71" spans="2:10" s="83" customFormat="1" ht="26.25" customHeight="1" x14ac:dyDescent="0.25">
      <c r="B71" s="103" t="s">
        <v>899</v>
      </c>
      <c r="C71" s="102">
        <f>SUM(C69,C64,C57,C51,C35)</f>
        <v>1693</v>
      </c>
      <c r="D71" s="103">
        <f>SUM(D69,D64,D57,D51,D35)</f>
        <v>206484</v>
      </c>
      <c r="E71" s="103">
        <f>SUM(E69,E64,E57,E51,E35)</f>
        <v>78013</v>
      </c>
      <c r="F71" s="111">
        <f t="shared" ref="F71" si="7">E71/D71</f>
        <v>0.37781619883380796</v>
      </c>
      <c r="H71" s="125"/>
      <c r="J71"/>
    </row>
    <row r="72" spans="2:10" x14ac:dyDescent="0.25">
      <c r="J72" s="83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1"/>
  <sheetViews>
    <sheetView workbookViewId="0">
      <selection sqref="A1:A1048576"/>
    </sheetView>
  </sheetViews>
  <sheetFormatPr baseColWidth="10" defaultRowHeight="15" x14ac:dyDescent="0.25"/>
  <cols>
    <col min="2" max="2" width="38.5703125" customWidth="1"/>
    <col min="3" max="3" width="21.85546875" customWidth="1"/>
    <col min="4" max="4" width="22.85546875" customWidth="1"/>
    <col min="5" max="5" width="17.85546875" customWidth="1"/>
  </cols>
  <sheetData>
    <row r="2" spans="2:5" ht="22.5" customHeight="1" x14ac:dyDescent="0.25">
      <c r="B2" s="273" t="s">
        <v>1295</v>
      </c>
      <c r="C2" s="274"/>
      <c r="D2" s="274"/>
      <c r="E2" s="275"/>
    </row>
    <row r="3" spans="2:5" x14ac:dyDescent="0.25">
      <c r="C3" s="1"/>
      <c r="D3" s="1"/>
      <c r="E3" s="1"/>
    </row>
    <row r="4" spans="2:5" x14ac:dyDescent="0.25">
      <c r="B4" s="90" t="s">
        <v>559</v>
      </c>
      <c r="C4" s="90" t="s">
        <v>1291</v>
      </c>
      <c r="D4" s="90" t="s">
        <v>1292</v>
      </c>
      <c r="E4" s="93" t="s">
        <v>120</v>
      </c>
    </row>
    <row r="5" spans="2:5" x14ac:dyDescent="0.25">
      <c r="B5" s="88" t="s">
        <v>561</v>
      </c>
      <c r="C5" s="94"/>
      <c r="D5" s="94"/>
      <c r="E5" s="89"/>
    </row>
    <row r="6" spans="2:5" x14ac:dyDescent="0.25">
      <c r="B6" s="88" t="s">
        <v>562</v>
      </c>
      <c r="C6" s="94">
        <v>30</v>
      </c>
      <c r="D6" s="94">
        <v>11</v>
      </c>
      <c r="E6" s="89">
        <f>D6/C6</f>
        <v>0.36666666666666664</v>
      </c>
    </row>
    <row r="7" spans="2:5" x14ac:dyDescent="0.25">
      <c r="B7" s="88" t="s">
        <v>5</v>
      </c>
      <c r="C7" s="101">
        <v>102</v>
      </c>
      <c r="D7" s="94">
        <v>52</v>
      </c>
      <c r="E7" s="89">
        <f t="shared" ref="E7:E31" si="0">D7/C7</f>
        <v>0.50980392156862742</v>
      </c>
    </row>
    <row r="8" spans="2:5" x14ac:dyDescent="0.25">
      <c r="B8" s="88" t="s">
        <v>897</v>
      </c>
      <c r="C8" s="94">
        <v>60</v>
      </c>
      <c r="D8" s="94">
        <v>21</v>
      </c>
      <c r="E8" s="89">
        <f t="shared" si="0"/>
        <v>0.35</v>
      </c>
    </row>
    <row r="9" spans="2:5" x14ac:dyDescent="0.25">
      <c r="B9" s="88" t="s">
        <v>563</v>
      </c>
      <c r="C9" s="101">
        <v>412</v>
      </c>
      <c r="D9" s="101">
        <v>200</v>
      </c>
      <c r="E9" s="89">
        <f t="shared" si="0"/>
        <v>0.4854368932038835</v>
      </c>
    </row>
    <row r="10" spans="2:5" x14ac:dyDescent="0.25">
      <c r="B10" s="88" t="s">
        <v>564</v>
      </c>
      <c r="C10" s="132"/>
      <c r="D10" s="132"/>
      <c r="E10" s="89"/>
    </row>
    <row r="11" spans="2:5" x14ac:dyDescent="0.25">
      <c r="B11" s="88" t="s">
        <v>565</v>
      </c>
      <c r="C11" s="94">
        <v>253</v>
      </c>
      <c r="D11" s="94">
        <v>40</v>
      </c>
      <c r="E11" s="89">
        <f t="shared" si="0"/>
        <v>0.15810276679841898</v>
      </c>
    </row>
    <row r="12" spans="2:5" x14ac:dyDescent="0.25">
      <c r="B12" s="88" t="s">
        <v>566</v>
      </c>
      <c r="C12" s="101">
        <v>190</v>
      </c>
      <c r="D12" s="101">
        <v>150</v>
      </c>
      <c r="E12" s="89">
        <f t="shared" si="0"/>
        <v>0.78947368421052633</v>
      </c>
    </row>
    <row r="13" spans="2:5" x14ac:dyDescent="0.25">
      <c r="B13" s="88" t="s">
        <v>567</v>
      </c>
      <c r="C13" s="94">
        <v>61</v>
      </c>
      <c r="D13" s="94">
        <v>24</v>
      </c>
      <c r="E13" s="89">
        <f t="shared" si="0"/>
        <v>0.39344262295081966</v>
      </c>
    </row>
    <row r="14" spans="2:5" x14ac:dyDescent="0.25">
      <c r="B14" s="88" t="s">
        <v>568</v>
      </c>
      <c r="C14" s="101">
        <v>1201</v>
      </c>
      <c r="D14" s="101">
        <v>366</v>
      </c>
      <c r="E14" s="89">
        <f t="shared" si="0"/>
        <v>0.30474604496253122</v>
      </c>
    </row>
    <row r="15" spans="2:5" x14ac:dyDescent="0.25">
      <c r="B15" s="88" t="s">
        <v>739</v>
      </c>
      <c r="C15" s="101"/>
      <c r="D15" s="101"/>
      <c r="E15" s="89"/>
    </row>
    <row r="16" spans="2:5" x14ac:dyDescent="0.25">
      <c r="B16" s="88" t="s">
        <v>225</v>
      </c>
      <c r="C16" s="101">
        <v>327</v>
      </c>
      <c r="D16" s="101">
        <v>256</v>
      </c>
      <c r="E16" s="89">
        <f t="shared" si="0"/>
        <v>0.78287461773700306</v>
      </c>
    </row>
    <row r="17" spans="2:5" x14ac:dyDescent="0.25">
      <c r="B17" s="88" t="s">
        <v>569</v>
      </c>
      <c r="C17" s="132"/>
      <c r="D17" s="132"/>
      <c r="E17" s="89"/>
    </row>
    <row r="18" spans="2:5" x14ac:dyDescent="0.25">
      <c r="B18" s="88" t="s">
        <v>570</v>
      </c>
      <c r="C18" s="101">
        <v>302</v>
      </c>
      <c r="D18" s="101">
        <v>136</v>
      </c>
      <c r="E18" s="89">
        <f t="shared" si="0"/>
        <v>0.45033112582781459</v>
      </c>
    </row>
    <row r="19" spans="2:5" x14ac:dyDescent="0.25">
      <c r="B19" s="88" t="s">
        <v>571</v>
      </c>
      <c r="C19" s="94">
        <v>102</v>
      </c>
      <c r="D19" s="94">
        <v>38</v>
      </c>
      <c r="E19" s="89">
        <f t="shared" si="0"/>
        <v>0.37254901960784315</v>
      </c>
    </row>
    <row r="20" spans="2:5" x14ac:dyDescent="0.25">
      <c r="B20" s="88" t="s">
        <v>572</v>
      </c>
      <c r="C20" s="101"/>
      <c r="D20" s="101"/>
      <c r="E20" s="89"/>
    </row>
    <row r="21" spans="2:5" x14ac:dyDescent="0.25">
      <c r="B21" s="88" t="s">
        <v>12</v>
      </c>
      <c r="C21" s="101"/>
      <c r="D21" s="101"/>
      <c r="E21" s="89"/>
    </row>
    <row r="22" spans="2:5" x14ac:dyDescent="0.25">
      <c r="B22" s="88" t="s">
        <v>588</v>
      </c>
      <c r="C22" s="101">
        <v>64</v>
      </c>
      <c r="D22" s="94">
        <v>37</v>
      </c>
      <c r="E22" s="89">
        <f t="shared" si="0"/>
        <v>0.578125</v>
      </c>
    </row>
    <row r="23" spans="2:5" x14ac:dyDescent="0.25">
      <c r="B23" s="88" t="s">
        <v>573</v>
      </c>
      <c r="C23" s="128">
        <v>178</v>
      </c>
      <c r="D23" s="128">
        <v>115</v>
      </c>
      <c r="E23" s="89">
        <f t="shared" si="0"/>
        <v>0.6460674157303371</v>
      </c>
    </row>
    <row r="24" spans="2:5" x14ac:dyDescent="0.25">
      <c r="B24" s="88" t="s">
        <v>747</v>
      </c>
      <c r="C24" s="132"/>
      <c r="D24" s="132"/>
      <c r="E24" s="89"/>
    </row>
    <row r="25" spans="2:5" x14ac:dyDescent="0.25">
      <c r="B25" s="88" t="s">
        <v>590</v>
      </c>
      <c r="C25" s="101">
        <v>289</v>
      </c>
      <c r="D25" s="94">
        <v>86</v>
      </c>
      <c r="E25" s="89">
        <f t="shared" si="0"/>
        <v>0.29757785467128028</v>
      </c>
    </row>
    <row r="26" spans="2:5" x14ac:dyDescent="0.25">
      <c r="B26" s="88" t="s">
        <v>574</v>
      </c>
      <c r="C26" s="94">
        <v>72</v>
      </c>
      <c r="D26" s="94">
        <v>64</v>
      </c>
      <c r="E26" s="89">
        <f t="shared" si="0"/>
        <v>0.88888888888888884</v>
      </c>
    </row>
    <row r="27" spans="2:5" x14ac:dyDescent="0.25">
      <c r="B27" s="88" t="s">
        <v>750</v>
      </c>
      <c r="C27" s="94">
        <v>50</v>
      </c>
      <c r="D27" s="94">
        <v>14</v>
      </c>
      <c r="E27" s="89">
        <f t="shared" si="0"/>
        <v>0.28000000000000003</v>
      </c>
    </row>
    <row r="28" spans="2:5" x14ac:dyDescent="0.25">
      <c r="B28" s="88" t="s">
        <v>17</v>
      </c>
      <c r="C28" s="101">
        <v>124</v>
      </c>
      <c r="D28" s="101">
        <v>18</v>
      </c>
      <c r="E28" s="89">
        <f t="shared" si="0"/>
        <v>0.14516129032258066</v>
      </c>
    </row>
    <row r="29" spans="2:5" x14ac:dyDescent="0.25">
      <c r="B29" s="88" t="s">
        <v>575</v>
      </c>
      <c r="C29" s="101">
        <v>83</v>
      </c>
      <c r="D29" s="94">
        <v>25</v>
      </c>
      <c r="E29" s="89">
        <f t="shared" si="0"/>
        <v>0.30120481927710846</v>
      </c>
    </row>
    <row r="30" spans="2:5" x14ac:dyDescent="0.25">
      <c r="B30" s="88" t="s">
        <v>576</v>
      </c>
      <c r="C30" s="132"/>
      <c r="D30" s="132"/>
      <c r="E30" s="89"/>
    </row>
    <row r="31" spans="2:5" x14ac:dyDescent="0.25">
      <c r="B31" s="88" t="s">
        <v>577</v>
      </c>
      <c r="C31" s="101">
        <v>30</v>
      </c>
      <c r="D31" s="94">
        <v>13</v>
      </c>
      <c r="E31" s="89">
        <f t="shared" si="0"/>
        <v>0.43333333333333335</v>
      </c>
    </row>
    <row r="32" spans="2:5" x14ac:dyDescent="0.25">
      <c r="B32" s="88" t="s">
        <v>18</v>
      </c>
      <c r="C32" s="101"/>
      <c r="D32" s="94"/>
      <c r="E32" s="89"/>
    </row>
    <row r="33" spans="2:5" x14ac:dyDescent="0.25">
      <c r="B33" s="88" t="s">
        <v>578</v>
      </c>
      <c r="C33" s="132"/>
      <c r="D33" s="132"/>
      <c r="E33" s="89"/>
    </row>
    <row r="34" spans="2:5" x14ac:dyDescent="0.25">
      <c r="B34" s="88" t="s">
        <v>579</v>
      </c>
      <c r="C34" s="101"/>
      <c r="D34" s="94"/>
      <c r="E34" s="89"/>
    </row>
    <row r="35" spans="2:5" x14ac:dyDescent="0.25">
      <c r="B35" s="95" t="s">
        <v>580</v>
      </c>
      <c r="C35" s="96">
        <f>SUM(C5:C34)</f>
        <v>3930</v>
      </c>
      <c r="D35" s="96">
        <f>SUM(D5:D34)</f>
        <v>1666</v>
      </c>
      <c r="E35" s="106">
        <f>D35/C35</f>
        <v>0.42391857506361325</v>
      </c>
    </row>
    <row r="36" spans="2:5" x14ac:dyDescent="0.25">
      <c r="B36" s="5"/>
      <c r="C36" s="1"/>
      <c r="D36" s="1"/>
      <c r="E36" s="1"/>
    </row>
    <row r="37" spans="2:5" x14ac:dyDescent="0.25">
      <c r="B37" s="90" t="s">
        <v>581</v>
      </c>
      <c r="C37" s="90" t="s">
        <v>1291</v>
      </c>
      <c r="D37" s="90" t="s">
        <v>1292</v>
      </c>
      <c r="E37" s="93" t="s">
        <v>120</v>
      </c>
    </row>
    <row r="38" spans="2:5" x14ac:dyDescent="0.25">
      <c r="B38" s="88" t="s">
        <v>582</v>
      </c>
      <c r="C38" s="94">
        <v>45</v>
      </c>
      <c r="D38" s="94">
        <v>10</v>
      </c>
      <c r="E38" s="89">
        <f t="shared" ref="E38" si="1">D38/C38</f>
        <v>0.22222222222222221</v>
      </c>
    </row>
    <row r="39" spans="2:5" x14ac:dyDescent="0.25">
      <c r="B39" s="88" t="s">
        <v>583</v>
      </c>
      <c r="C39" s="132"/>
      <c r="D39" s="132"/>
      <c r="E39" s="89"/>
    </row>
    <row r="40" spans="2:5" x14ac:dyDescent="0.25">
      <c r="B40" s="114" t="s">
        <v>584</v>
      </c>
      <c r="C40" s="94">
        <v>30</v>
      </c>
      <c r="D40" s="94">
        <v>10</v>
      </c>
      <c r="E40" s="89">
        <f t="shared" ref="E40" si="2">D40/C40</f>
        <v>0.33333333333333331</v>
      </c>
    </row>
    <row r="41" spans="2:5" x14ac:dyDescent="0.25">
      <c r="B41" s="88" t="s">
        <v>585</v>
      </c>
      <c r="C41" s="94"/>
      <c r="D41" s="94"/>
      <c r="E41" s="89"/>
    </row>
    <row r="42" spans="2:5" x14ac:dyDescent="0.25">
      <c r="B42" s="88" t="s">
        <v>586</v>
      </c>
      <c r="C42" s="128">
        <v>110</v>
      </c>
      <c r="D42" s="128">
        <v>80</v>
      </c>
      <c r="E42" s="89">
        <f t="shared" ref="E42" si="3">D42/C42</f>
        <v>0.72727272727272729</v>
      </c>
    </row>
    <row r="43" spans="2:5" x14ac:dyDescent="0.25">
      <c r="B43" s="88" t="s">
        <v>733</v>
      </c>
      <c r="C43" s="132"/>
      <c r="D43" s="132"/>
      <c r="E43" s="89"/>
    </row>
    <row r="44" spans="2:5" x14ac:dyDescent="0.25">
      <c r="B44" s="88" t="s">
        <v>735</v>
      </c>
      <c r="C44" s="132"/>
      <c r="D44" s="132"/>
      <c r="E44" s="89"/>
    </row>
    <row r="45" spans="2:5" x14ac:dyDescent="0.25">
      <c r="B45" s="88" t="s">
        <v>587</v>
      </c>
      <c r="C45" s="94"/>
      <c r="D45" s="94"/>
      <c r="E45" s="89"/>
    </row>
    <row r="46" spans="2:5" x14ac:dyDescent="0.25">
      <c r="B46" s="88" t="s">
        <v>796</v>
      </c>
      <c r="C46" s="101"/>
      <c r="D46" s="94"/>
      <c r="E46" s="89"/>
    </row>
    <row r="47" spans="2:5" x14ac:dyDescent="0.25">
      <c r="B47" s="88" t="s">
        <v>589</v>
      </c>
      <c r="C47" s="132"/>
      <c r="D47" s="132"/>
      <c r="E47" s="89"/>
    </row>
    <row r="48" spans="2:5" x14ac:dyDescent="0.25">
      <c r="B48" s="88" t="s">
        <v>745</v>
      </c>
      <c r="C48" s="94">
        <v>450</v>
      </c>
      <c r="D48" s="94">
        <v>219</v>
      </c>
      <c r="E48" s="89">
        <f t="shared" ref="E48:E50" si="4">D48/C48</f>
        <v>0.48666666666666669</v>
      </c>
    </row>
    <row r="49" spans="2:5" x14ac:dyDescent="0.25">
      <c r="B49" s="88" t="s">
        <v>591</v>
      </c>
      <c r="C49" s="94">
        <v>72</v>
      </c>
      <c r="D49" s="94">
        <v>30</v>
      </c>
      <c r="E49" s="89">
        <f t="shared" si="4"/>
        <v>0.41666666666666669</v>
      </c>
    </row>
    <row r="50" spans="2:5" x14ac:dyDescent="0.25">
      <c r="B50" s="88" t="s">
        <v>15</v>
      </c>
      <c r="C50" s="101">
        <v>59</v>
      </c>
      <c r="D50" s="94">
        <v>36</v>
      </c>
      <c r="E50" s="89">
        <f t="shared" si="4"/>
        <v>0.61016949152542377</v>
      </c>
    </row>
    <row r="51" spans="2:5" x14ac:dyDescent="0.25">
      <c r="B51" s="95" t="s">
        <v>580</v>
      </c>
      <c r="C51" s="96">
        <f>SUM(C38:C50)</f>
        <v>766</v>
      </c>
      <c r="D51" s="96">
        <f>SUM(D38:D50)</f>
        <v>385</v>
      </c>
      <c r="E51" s="106">
        <f t="shared" ref="E51" si="5">D51/C51</f>
        <v>0.50261096605744127</v>
      </c>
    </row>
    <row r="52" spans="2:5" x14ac:dyDescent="0.25">
      <c r="B52" s="5"/>
      <c r="C52" s="1"/>
      <c r="D52" s="1"/>
      <c r="E52" s="1"/>
    </row>
    <row r="53" spans="2:5" x14ac:dyDescent="0.25">
      <c r="B53" s="90" t="s">
        <v>896</v>
      </c>
      <c r="C53" s="90" t="s">
        <v>1291</v>
      </c>
      <c r="D53" s="90" t="s">
        <v>1292</v>
      </c>
      <c r="E53" s="93" t="s">
        <v>120</v>
      </c>
    </row>
    <row r="54" spans="2:5" x14ac:dyDescent="0.25">
      <c r="B54" s="99" t="s">
        <v>592</v>
      </c>
      <c r="C54" s="94">
        <v>320</v>
      </c>
      <c r="D54" s="94">
        <v>55</v>
      </c>
      <c r="E54" s="89">
        <f t="shared" ref="E54" si="6">D54/C54</f>
        <v>0.171875</v>
      </c>
    </row>
    <row r="55" spans="2:5" x14ac:dyDescent="0.25">
      <c r="B55" s="88" t="s">
        <v>593</v>
      </c>
      <c r="C55" s="101"/>
      <c r="D55" s="94"/>
      <c r="E55" s="89"/>
    </row>
    <row r="56" spans="2:5" x14ac:dyDescent="0.25">
      <c r="B56" s="88" t="s">
        <v>594</v>
      </c>
      <c r="C56" s="101"/>
      <c r="D56" s="101"/>
      <c r="E56" s="89"/>
    </row>
    <row r="57" spans="2:5" x14ac:dyDescent="0.25">
      <c r="B57" s="95" t="s">
        <v>580</v>
      </c>
      <c r="C57" s="96">
        <f>SUM(C54:C56)</f>
        <v>320</v>
      </c>
      <c r="D57" s="96">
        <f>SUM(D54:D56)</f>
        <v>55</v>
      </c>
      <c r="E57" s="106">
        <f t="shared" ref="E57" si="7">D57/C57</f>
        <v>0.171875</v>
      </c>
    </row>
    <row r="58" spans="2:5" x14ac:dyDescent="0.25">
      <c r="B58" s="5"/>
      <c r="C58" s="1"/>
      <c r="D58" s="1"/>
      <c r="E58" s="1"/>
    </row>
    <row r="59" spans="2:5" x14ac:dyDescent="0.25">
      <c r="B59" s="90" t="s">
        <v>895</v>
      </c>
      <c r="C59" s="90" t="s">
        <v>1291</v>
      </c>
      <c r="D59" s="90" t="s">
        <v>1292</v>
      </c>
      <c r="E59" s="93" t="s">
        <v>120</v>
      </c>
    </row>
    <row r="60" spans="2:5" x14ac:dyDescent="0.25">
      <c r="B60" s="88" t="s">
        <v>6</v>
      </c>
      <c r="C60" s="94">
        <v>289</v>
      </c>
      <c r="D60" s="94">
        <v>239</v>
      </c>
      <c r="E60" s="89">
        <f t="shared" ref="E60:E61" si="8">D60/C60</f>
        <v>0.82698961937716264</v>
      </c>
    </row>
    <row r="61" spans="2:5" x14ac:dyDescent="0.25">
      <c r="B61" s="88" t="s">
        <v>595</v>
      </c>
      <c r="C61" s="94">
        <v>20</v>
      </c>
      <c r="D61" s="94">
        <v>10</v>
      </c>
      <c r="E61" s="89">
        <f t="shared" si="8"/>
        <v>0.5</v>
      </c>
    </row>
    <row r="62" spans="2:5" x14ac:dyDescent="0.25">
      <c r="B62" s="88" t="s">
        <v>597</v>
      </c>
      <c r="C62" s="132"/>
      <c r="D62" s="132"/>
      <c r="E62" s="89"/>
    </row>
    <row r="63" spans="2:5" x14ac:dyDescent="0.25">
      <c r="B63" s="88" t="s">
        <v>598</v>
      </c>
      <c r="C63" s="132"/>
      <c r="D63" s="132"/>
      <c r="E63" s="89"/>
    </row>
    <row r="64" spans="2:5" x14ac:dyDescent="0.25">
      <c r="B64" s="95" t="s">
        <v>580</v>
      </c>
      <c r="C64" s="96">
        <f>SUM(C60:C63)</f>
        <v>309</v>
      </c>
      <c r="D64" s="98">
        <f>SUM(D60:D63)</f>
        <v>249</v>
      </c>
      <c r="E64" s="106">
        <f t="shared" ref="E64" si="9">D64/C64</f>
        <v>0.80582524271844658</v>
      </c>
    </row>
    <row r="65" spans="2:5" x14ac:dyDescent="0.25">
      <c r="B65" s="5"/>
      <c r="C65" s="1"/>
      <c r="D65" s="1"/>
      <c r="E65" s="1"/>
    </row>
    <row r="66" spans="2:5" x14ac:dyDescent="0.25">
      <c r="B66" s="90" t="s">
        <v>894</v>
      </c>
      <c r="C66" s="90" t="s">
        <v>1291</v>
      </c>
      <c r="D66" s="90" t="s">
        <v>1292</v>
      </c>
      <c r="E66" s="93" t="s">
        <v>120</v>
      </c>
    </row>
    <row r="67" spans="2:5" x14ac:dyDescent="0.25">
      <c r="B67" s="88" t="s">
        <v>599</v>
      </c>
      <c r="C67" s="212"/>
      <c r="D67" s="212"/>
      <c r="E67" s="214"/>
    </row>
    <row r="68" spans="2:5" x14ac:dyDescent="0.25">
      <c r="B68" s="88" t="s">
        <v>600</v>
      </c>
      <c r="C68" s="213">
        <v>807</v>
      </c>
      <c r="D68" s="213">
        <v>694</v>
      </c>
      <c r="E68" s="89">
        <f t="shared" ref="E68" si="10">D68/C68</f>
        <v>0.8599752168525403</v>
      </c>
    </row>
    <row r="69" spans="2:5" x14ac:dyDescent="0.25">
      <c r="B69" s="95" t="s">
        <v>580</v>
      </c>
      <c r="C69" s="96">
        <f>SUM(C67:C68)</f>
        <v>807</v>
      </c>
      <c r="D69" s="96">
        <f>SUM(D67:D68)</f>
        <v>694</v>
      </c>
      <c r="E69" s="106">
        <f t="shared" ref="E69" si="11">D69/C69</f>
        <v>0.8599752168525403</v>
      </c>
    </row>
    <row r="70" spans="2:5" x14ac:dyDescent="0.25">
      <c r="B70" s="5"/>
      <c r="C70" s="1"/>
      <c r="D70" s="1"/>
      <c r="E70" s="1"/>
    </row>
    <row r="71" spans="2:5" ht="15.75" x14ac:dyDescent="0.25">
      <c r="B71" s="211" t="s">
        <v>899</v>
      </c>
      <c r="C71" s="103">
        <f>SUM(C69,C64,C57,C51,C35)</f>
        <v>6132</v>
      </c>
      <c r="D71" s="103">
        <f>SUM(D69,D64,D57,D51,D35)</f>
        <v>3049</v>
      </c>
      <c r="E71" s="111">
        <f t="shared" ref="E71" si="12">D71/C71</f>
        <v>0.49722765818656228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71"/>
  <sheetViews>
    <sheetView zoomScaleNormal="100" workbookViewId="0">
      <selection sqref="A1:A1048576"/>
    </sheetView>
  </sheetViews>
  <sheetFormatPr baseColWidth="10" defaultRowHeight="15" x14ac:dyDescent="0.25"/>
  <cols>
    <col min="2" max="2" width="38.5703125" customWidth="1"/>
    <col min="3" max="3" width="21.85546875" customWidth="1"/>
    <col min="4" max="4" width="22.85546875" customWidth="1"/>
    <col min="5" max="5" width="17.85546875" customWidth="1"/>
  </cols>
  <sheetData>
    <row r="2" spans="2:5" ht="22.5" customHeight="1" x14ac:dyDescent="0.25">
      <c r="B2" s="276" t="s">
        <v>1296</v>
      </c>
      <c r="C2" s="277"/>
      <c r="D2" s="277"/>
      <c r="E2" s="278"/>
    </row>
    <row r="3" spans="2:5" x14ac:dyDescent="0.25">
      <c r="C3" s="1"/>
      <c r="D3" s="1"/>
      <c r="E3" s="1"/>
    </row>
    <row r="4" spans="2:5" x14ac:dyDescent="0.25">
      <c r="B4" s="90" t="s">
        <v>559</v>
      </c>
      <c r="C4" s="90" t="s">
        <v>1298</v>
      </c>
      <c r="D4" s="90" t="s">
        <v>1292</v>
      </c>
      <c r="E4" s="93" t="s">
        <v>120</v>
      </c>
    </row>
    <row r="5" spans="2:5" x14ac:dyDescent="0.25">
      <c r="B5" s="88" t="s">
        <v>561</v>
      </c>
      <c r="C5" s="94">
        <v>269</v>
      </c>
      <c r="D5" s="94">
        <v>101</v>
      </c>
      <c r="E5" s="89">
        <f>D5/C5</f>
        <v>0.37546468401486988</v>
      </c>
    </row>
    <row r="6" spans="2:5" x14ac:dyDescent="0.25">
      <c r="B6" s="88" t="s">
        <v>562</v>
      </c>
      <c r="C6" s="94">
        <v>78</v>
      </c>
      <c r="D6" s="94">
        <v>19</v>
      </c>
      <c r="E6" s="89">
        <f t="shared" ref="E6:E34" si="0">D6/C6</f>
        <v>0.24358974358974358</v>
      </c>
    </row>
    <row r="7" spans="2:5" x14ac:dyDescent="0.25">
      <c r="B7" s="88" t="s">
        <v>5</v>
      </c>
      <c r="C7" s="101">
        <v>38</v>
      </c>
      <c r="D7" s="94">
        <v>5</v>
      </c>
      <c r="E7" s="89">
        <f t="shared" si="0"/>
        <v>0.13157894736842105</v>
      </c>
    </row>
    <row r="8" spans="2:5" x14ac:dyDescent="0.25">
      <c r="B8" s="88" t="s">
        <v>897</v>
      </c>
      <c r="C8" s="94">
        <v>27</v>
      </c>
      <c r="D8" s="94">
        <v>5</v>
      </c>
      <c r="E8" s="89">
        <f t="shared" si="0"/>
        <v>0.18518518518518517</v>
      </c>
    </row>
    <row r="9" spans="2:5" x14ac:dyDescent="0.25">
      <c r="B9" s="88" t="s">
        <v>563</v>
      </c>
      <c r="C9" s="101">
        <v>284</v>
      </c>
      <c r="D9" s="101">
        <v>115</v>
      </c>
      <c r="E9" s="89">
        <f t="shared" si="0"/>
        <v>0.40492957746478875</v>
      </c>
    </row>
    <row r="10" spans="2:5" x14ac:dyDescent="0.25">
      <c r="B10" s="88" t="s">
        <v>564</v>
      </c>
      <c r="C10" s="132"/>
      <c r="D10" s="132"/>
      <c r="E10" s="89"/>
    </row>
    <row r="11" spans="2:5" x14ac:dyDescent="0.25">
      <c r="B11" s="88" t="s">
        <v>565</v>
      </c>
      <c r="C11" s="94">
        <v>67</v>
      </c>
      <c r="D11" s="94">
        <v>26</v>
      </c>
      <c r="E11" s="89">
        <f t="shared" si="0"/>
        <v>0.38805970149253732</v>
      </c>
    </row>
    <row r="12" spans="2:5" x14ac:dyDescent="0.25">
      <c r="B12" s="88" t="s">
        <v>566</v>
      </c>
      <c r="C12" s="101">
        <v>182</v>
      </c>
      <c r="D12" s="101">
        <v>138</v>
      </c>
      <c r="E12" s="89">
        <f t="shared" si="0"/>
        <v>0.75824175824175821</v>
      </c>
    </row>
    <row r="13" spans="2:5" x14ac:dyDescent="0.25">
      <c r="B13" s="88" t="s">
        <v>567</v>
      </c>
      <c r="C13" s="94">
        <v>23</v>
      </c>
      <c r="D13" s="94">
        <v>2</v>
      </c>
      <c r="E13" s="89">
        <f t="shared" si="0"/>
        <v>8.6956521739130432E-2</v>
      </c>
    </row>
    <row r="14" spans="2:5" x14ac:dyDescent="0.25">
      <c r="B14" s="88" t="s">
        <v>568</v>
      </c>
      <c r="C14" s="101">
        <v>362</v>
      </c>
      <c r="D14" s="101">
        <v>23</v>
      </c>
      <c r="E14" s="89">
        <f t="shared" si="0"/>
        <v>6.3535911602209949E-2</v>
      </c>
    </row>
    <row r="15" spans="2:5" x14ac:dyDescent="0.25">
      <c r="B15" s="88" t="s">
        <v>739</v>
      </c>
      <c r="C15" s="101">
        <v>27</v>
      </c>
      <c r="D15" s="101">
        <v>2</v>
      </c>
      <c r="E15" s="89">
        <f t="shared" si="0"/>
        <v>7.407407407407407E-2</v>
      </c>
    </row>
    <row r="16" spans="2:5" x14ac:dyDescent="0.25">
      <c r="B16" s="88" t="s">
        <v>225</v>
      </c>
      <c r="C16" s="101">
        <v>64</v>
      </c>
      <c r="D16" s="101">
        <v>49</v>
      </c>
      <c r="E16" s="89">
        <f t="shared" si="0"/>
        <v>0.765625</v>
      </c>
    </row>
    <row r="17" spans="2:5" x14ac:dyDescent="0.25">
      <c r="B17" s="88" t="s">
        <v>569</v>
      </c>
      <c r="C17" s="132"/>
      <c r="D17" s="132"/>
      <c r="E17" s="89"/>
    </row>
    <row r="18" spans="2:5" x14ac:dyDescent="0.25">
      <c r="B18" s="88" t="s">
        <v>570</v>
      </c>
      <c r="C18" s="101">
        <v>125</v>
      </c>
      <c r="D18" s="101">
        <v>48</v>
      </c>
      <c r="E18" s="89">
        <f t="shared" si="0"/>
        <v>0.38400000000000001</v>
      </c>
    </row>
    <row r="19" spans="2:5" x14ac:dyDescent="0.25">
      <c r="B19" s="88" t="s">
        <v>571</v>
      </c>
      <c r="C19" s="94">
        <v>12</v>
      </c>
      <c r="D19" s="94">
        <v>3</v>
      </c>
      <c r="E19" s="89">
        <f t="shared" si="0"/>
        <v>0.25</v>
      </c>
    </row>
    <row r="20" spans="2:5" x14ac:dyDescent="0.25">
      <c r="B20" s="88" t="s">
        <v>572</v>
      </c>
      <c r="C20" s="101">
        <v>164</v>
      </c>
      <c r="D20" s="101">
        <v>10</v>
      </c>
      <c r="E20" s="89">
        <f t="shared" si="0"/>
        <v>6.097560975609756E-2</v>
      </c>
    </row>
    <row r="21" spans="2:5" x14ac:dyDescent="0.25">
      <c r="B21" s="88" t="s">
        <v>12</v>
      </c>
      <c r="C21" s="101">
        <v>341</v>
      </c>
      <c r="D21" s="101">
        <v>102</v>
      </c>
      <c r="E21" s="89">
        <f t="shared" si="0"/>
        <v>0.29912023460410558</v>
      </c>
    </row>
    <row r="22" spans="2:5" x14ac:dyDescent="0.25">
      <c r="B22" s="88" t="s">
        <v>588</v>
      </c>
      <c r="C22" s="101">
        <v>26</v>
      </c>
      <c r="D22" s="94">
        <v>2</v>
      </c>
      <c r="E22" s="89">
        <f t="shared" si="0"/>
        <v>7.6923076923076927E-2</v>
      </c>
    </row>
    <row r="23" spans="2:5" x14ac:dyDescent="0.25">
      <c r="B23" s="88" t="s">
        <v>573</v>
      </c>
      <c r="C23" s="128">
        <v>112</v>
      </c>
      <c r="D23" s="128">
        <v>54</v>
      </c>
      <c r="E23" s="89">
        <f t="shared" si="0"/>
        <v>0.48214285714285715</v>
      </c>
    </row>
    <row r="24" spans="2:5" x14ac:dyDescent="0.25">
      <c r="B24" s="88" t="s">
        <v>747</v>
      </c>
      <c r="C24" s="132"/>
      <c r="D24" s="132"/>
      <c r="E24" s="89"/>
    </row>
    <row r="25" spans="2:5" x14ac:dyDescent="0.25">
      <c r="B25" s="88" t="s">
        <v>590</v>
      </c>
      <c r="C25" s="101">
        <v>109</v>
      </c>
      <c r="D25" s="94">
        <v>8</v>
      </c>
      <c r="E25" s="89">
        <f t="shared" si="0"/>
        <v>7.3394495412844041E-2</v>
      </c>
    </row>
    <row r="26" spans="2:5" x14ac:dyDescent="0.25">
      <c r="B26" s="88" t="s">
        <v>574</v>
      </c>
      <c r="C26" s="94">
        <v>55</v>
      </c>
      <c r="D26" s="94">
        <v>46</v>
      </c>
      <c r="E26" s="89">
        <f t="shared" si="0"/>
        <v>0.83636363636363631</v>
      </c>
    </row>
    <row r="27" spans="2:5" x14ac:dyDescent="0.25">
      <c r="B27" s="88" t="s">
        <v>750</v>
      </c>
      <c r="C27" s="94">
        <v>54</v>
      </c>
      <c r="D27" s="94">
        <v>4</v>
      </c>
      <c r="E27" s="89">
        <f t="shared" si="0"/>
        <v>7.407407407407407E-2</v>
      </c>
    </row>
    <row r="28" spans="2:5" x14ac:dyDescent="0.25">
      <c r="B28" s="88" t="s">
        <v>17</v>
      </c>
      <c r="C28" s="101">
        <v>268</v>
      </c>
      <c r="D28" s="101">
        <v>33</v>
      </c>
      <c r="E28" s="89">
        <f t="shared" si="0"/>
        <v>0.12313432835820895</v>
      </c>
    </row>
    <row r="29" spans="2:5" x14ac:dyDescent="0.25">
      <c r="B29" s="88" t="s">
        <v>575</v>
      </c>
      <c r="C29" s="101">
        <v>76</v>
      </c>
      <c r="D29" s="94">
        <v>2</v>
      </c>
      <c r="E29" s="89">
        <f t="shared" si="0"/>
        <v>2.6315789473684209E-2</v>
      </c>
    </row>
    <row r="30" spans="2:5" x14ac:dyDescent="0.25">
      <c r="B30" s="88" t="s">
        <v>576</v>
      </c>
      <c r="C30" s="132"/>
      <c r="D30" s="132"/>
      <c r="E30" s="89"/>
    </row>
    <row r="31" spans="2:5" x14ac:dyDescent="0.25">
      <c r="B31" s="88" t="s">
        <v>577</v>
      </c>
      <c r="C31" s="101">
        <v>56</v>
      </c>
      <c r="D31" s="94">
        <v>6</v>
      </c>
      <c r="E31" s="89">
        <f t="shared" si="0"/>
        <v>0.10714285714285714</v>
      </c>
    </row>
    <row r="32" spans="2:5" x14ac:dyDescent="0.25">
      <c r="B32" s="88" t="s">
        <v>18</v>
      </c>
      <c r="C32" s="101"/>
      <c r="D32" s="94"/>
      <c r="E32" s="89"/>
    </row>
    <row r="33" spans="2:5" x14ac:dyDescent="0.25">
      <c r="B33" s="88" t="s">
        <v>578</v>
      </c>
      <c r="C33" s="132"/>
      <c r="D33" s="132"/>
      <c r="E33" s="89"/>
    </row>
    <row r="34" spans="2:5" x14ac:dyDescent="0.25">
      <c r="B34" s="88" t="s">
        <v>579</v>
      </c>
      <c r="C34" s="101">
        <v>74</v>
      </c>
      <c r="D34" s="94">
        <v>18</v>
      </c>
      <c r="E34" s="89">
        <f t="shared" si="0"/>
        <v>0.24324324324324326</v>
      </c>
    </row>
    <row r="35" spans="2:5" x14ac:dyDescent="0.25">
      <c r="B35" s="95" t="s">
        <v>580</v>
      </c>
      <c r="C35" s="96">
        <f>SUM(C5:C34)</f>
        <v>2893</v>
      </c>
      <c r="D35" s="96">
        <f>SUM(D5:D34)</f>
        <v>821</v>
      </c>
      <c r="E35" s="106">
        <f>D35/C35</f>
        <v>0.28378845489111648</v>
      </c>
    </row>
    <row r="36" spans="2:5" x14ac:dyDescent="0.25">
      <c r="B36" s="5"/>
      <c r="C36" s="1"/>
      <c r="D36" s="1"/>
      <c r="E36" s="1"/>
    </row>
    <row r="37" spans="2:5" x14ac:dyDescent="0.25">
      <c r="B37" s="90" t="s">
        <v>581</v>
      </c>
      <c r="C37" s="90" t="s">
        <v>1298</v>
      </c>
      <c r="D37" s="90" t="s">
        <v>1292</v>
      </c>
      <c r="E37" s="93" t="s">
        <v>120</v>
      </c>
    </row>
    <row r="38" spans="2:5" x14ac:dyDescent="0.25">
      <c r="B38" s="88" t="s">
        <v>582</v>
      </c>
      <c r="C38" s="94">
        <v>25</v>
      </c>
      <c r="D38" s="94">
        <v>1</v>
      </c>
      <c r="E38" s="89">
        <f t="shared" ref="E38" si="1">D38/C38</f>
        <v>0.04</v>
      </c>
    </row>
    <row r="39" spans="2:5" x14ac:dyDescent="0.25">
      <c r="B39" s="88" t="s">
        <v>583</v>
      </c>
      <c r="C39" s="132"/>
      <c r="D39" s="132"/>
      <c r="E39" s="89"/>
    </row>
    <row r="40" spans="2:5" x14ac:dyDescent="0.25">
      <c r="B40" s="114" t="s">
        <v>584</v>
      </c>
      <c r="C40" s="94">
        <v>10</v>
      </c>
      <c r="D40" s="94">
        <v>0</v>
      </c>
      <c r="E40" s="89">
        <f t="shared" ref="E40:E42" si="2">D40/C40</f>
        <v>0</v>
      </c>
    </row>
    <row r="41" spans="2:5" x14ac:dyDescent="0.25">
      <c r="B41" s="88" t="s">
        <v>585</v>
      </c>
      <c r="C41" s="94">
        <v>92</v>
      </c>
      <c r="D41" s="94">
        <v>13</v>
      </c>
      <c r="E41" s="89">
        <f t="shared" si="2"/>
        <v>0.14130434782608695</v>
      </c>
    </row>
    <row r="42" spans="2:5" x14ac:dyDescent="0.25">
      <c r="B42" s="88" t="s">
        <v>586</v>
      </c>
      <c r="C42" s="128">
        <v>48</v>
      </c>
      <c r="D42" s="128">
        <v>32</v>
      </c>
      <c r="E42" s="89">
        <f t="shared" si="2"/>
        <v>0.66666666666666663</v>
      </c>
    </row>
    <row r="43" spans="2:5" x14ac:dyDescent="0.25">
      <c r="B43" s="88" t="s">
        <v>733</v>
      </c>
      <c r="C43" s="132"/>
      <c r="D43" s="132"/>
      <c r="E43" s="89"/>
    </row>
    <row r="44" spans="2:5" x14ac:dyDescent="0.25">
      <c r="B44" s="88" t="s">
        <v>735</v>
      </c>
      <c r="C44" s="132"/>
      <c r="D44" s="132"/>
      <c r="E44" s="89"/>
    </row>
    <row r="45" spans="2:5" x14ac:dyDescent="0.25">
      <c r="B45" s="88" t="s">
        <v>587</v>
      </c>
      <c r="C45" s="94">
        <v>23</v>
      </c>
      <c r="D45" s="94">
        <v>7</v>
      </c>
      <c r="E45" s="89">
        <f t="shared" ref="E45:E46" si="3">D45/C45</f>
        <v>0.30434782608695654</v>
      </c>
    </row>
    <row r="46" spans="2:5" x14ac:dyDescent="0.25">
      <c r="B46" s="88" t="s">
        <v>796</v>
      </c>
      <c r="C46" s="101">
        <v>29</v>
      </c>
      <c r="D46" s="94">
        <v>1</v>
      </c>
      <c r="E46" s="89">
        <f t="shared" si="3"/>
        <v>3.4482758620689655E-2</v>
      </c>
    </row>
    <row r="47" spans="2:5" x14ac:dyDescent="0.25">
      <c r="B47" s="88" t="s">
        <v>589</v>
      </c>
      <c r="C47" s="132"/>
      <c r="D47" s="132"/>
      <c r="E47" s="89"/>
    </row>
    <row r="48" spans="2:5" x14ac:dyDescent="0.25">
      <c r="B48" s="88" t="s">
        <v>745</v>
      </c>
      <c r="C48" s="94">
        <v>352</v>
      </c>
      <c r="D48" s="94">
        <v>158</v>
      </c>
      <c r="E48" s="89">
        <f t="shared" ref="E48:E50" si="4">D48/C48</f>
        <v>0.44886363636363635</v>
      </c>
    </row>
    <row r="49" spans="2:5" x14ac:dyDescent="0.25">
      <c r="B49" s="88" t="s">
        <v>591</v>
      </c>
      <c r="C49" s="94">
        <v>0</v>
      </c>
      <c r="D49" s="94">
        <v>0</v>
      </c>
      <c r="E49" s="89"/>
    </row>
    <row r="50" spans="2:5" x14ac:dyDescent="0.25">
      <c r="B50" s="88" t="s">
        <v>15</v>
      </c>
      <c r="C50" s="101">
        <v>13</v>
      </c>
      <c r="D50" s="94">
        <v>4</v>
      </c>
      <c r="E50" s="89">
        <f t="shared" si="4"/>
        <v>0.30769230769230771</v>
      </c>
    </row>
    <row r="51" spans="2:5" x14ac:dyDescent="0.25">
      <c r="B51" s="95" t="s">
        <v>580</v>
      </c>
      <c r="C51" s="96">
        <f>SUM(C38:C50)</f>
        <v>592</v>
      </c>
      <c r="D51" s="96">
        <f>SUM(D38:D50)</f>
        <v>216</v>
      </c>
      <c r="E51" s="106">
        <f t="shared" ref="E51" si="5">D51/C51</f>
        <v>0.36486486486486486</v>
      </c>
    </row>
    <row r="52" spans="2:5" x14ac:dyDescent="0.25">
      <c r="B52" s="5"/>
      <c r="C52" s="1"/>
      <c r="D52" s="1"/>
      <c r="E52" s="1"/>
    </row>
    <row r="53" spans="2:5" x14ac:dyDescent="0.25">
      <c r="B53" s="90" t="s">
        <v>896</v>
      </c>
      <c r="C53" s="90" t="s">
        <v>1298</v>
      </c>
      <c r="D53" s="90" t="s">
        <v>1292</v>
      </c>
      <c r="E53" s="93" t="s">
        <v>120</v>
      </c>
    </row>
    <row r="54" spans="2:5" x14ac:dyDescent="0.25">
      <c r="B54" s="99" t="s">
        <v>592</v>
      </c>
      <c r="C54" s="94">
        <v>140</v>
      </c>
      <c r="D54" s="94">
        <v>100</v>
      </c>
      <c r="E54" s="89">
        <f t="shared" ref="E54" si="6">D54/C54</f>
        <v>0.7142857142857143</v>
      </c>
    </row>
    <row r="55" spans="2:5" x14ac:dyDescent="0.25">
      <c r="B55" s="88" t="s">
        <v>593</v>
      </c>
      <c r="C55" s="101"/>
      <c r="D55" s="94"/>
      <c r="E55" s="89"/>
    </row>
    <row r="56" spans="2:5" x14ac:dyDescent="0.25">
      <c r="B56" s="88" t="s">
        <v>594</v>
      </c>
      <c r="C56" s="101"/>
      <c r="D56" s="101"/>
      <c r="E56" s="89"/>
    </row>
    <row r="57" spans="2:5" x14ac:dyDescent="0.25">
      <c r="B57" s="95" t="s">
        <v>580</v>
      </c>
      <c r="C57" s="96">
        <f>SUM(C54:C56)</f>
        <v>140</v>
      </c>
      <c r="D57" s="96">
        <f>SUM(D54:D56)</f>
        <v>100</v>
      </c>
      <c r="E57" s="106">
        <f t="shared" ref="E57" si="7">D57/C57</f>
        <v>0.7142857142857143</v>
      </c>
    </row>
    <row r="58" spans="2:5" x14ac:dyDescent="0.25">
      <c r="B58" s="5"/>
      <c r="C58" s="1"/>
      <c r="D58" s="1"/>
      <c r="E58" s="1"/>
    </row>
    <row r="59" spans="2:5" x14ac:dyDescent="0.25">
      <c r="B59" s="90" t="s">
        <v>895</v>
      </c>
      <c r="C59" s="90" t="s">
        <v>1298</v>
      </c>
      <c r="D59" s="90" t="s">
        <v>1292</v>
      </c>
      <c r="E59" s="93" t="s">
        <v>120</v>
      </c>
    </row>
    <row r="60" spans="2:5" x14ac:dyDescent="0.25">
      <c r="B60" s="88" t="s">
        <v>6</v>
      </c>
      <c r="C60" s="94">
        <v>264</v>
      </c>
      <c r="D60" s="94">
        <v>118</v>
      </c>
      <c r="E60" s="89">
        <f t="shared" ref="E60:E61" si="8">D60/C60</f>
        <v>0.44696969696969696</v>
      </c>
    </row>
    <row r="61" spans="2:5" x14ac:dyDescent="0.25">
      <c r="B61" s="88" t="s">
        <v>595</v>
      </c>
      <c r="C61" s="94">
        <v>28</v>
      </c>
      <c r="D61" s="94">
        <v>7</v>
      </c>
      <c r="E61" s="89">
        <f t="shared" si="8"/>
        <v>0.25</v>
      </c>
    </row>
    <row r="62" spans="2:5" x14ac:dyDescent="0.25">
      <c r="B62" s="88" t="s">
        <v>597</v>
      </c>
      <c r="C62" s="132"/>
      <c r="D62" s="132"/>
      <c r="E62" s="89"/>
    </row>
    <row r="63" spans="2:5" x14ac:dyDescent="0.25">
      <c r="B63" s="88" t="s">
        <v>598</v>
      </c>
      <c r="C63" s="132"/>
      <c r="D63" s="132"/>
      <c r="E63" s="89"/>
    </row>
    <row r="64" spans="2:5" x14ac:dyDescent="0.25">
      <c r="B64" s="95" t="s">
        <v>580</v>
      </c>
      <c r="C64" s="96">
        <f>SUM(C60:C63)</f>
        <v>292</v>
      </c>
      <c r="D64" s="98">
        <f>SUM(D60:D63)</f>
        <v>125</v>
      </c>
      <c r="E64" s="106">
        <f t="shared" ref="E64" si="9">D64/C64</f>
        <v>0.42808219178082191</v>
      </c>
    </row>
    <row r="65" spans="2:5" x14ac:dyDescent="0.25">
      <c r="B65" s="5"/>
      <c r="C65" s="1"/>
      <c r="D65" s="1"/>
      <c r="E65" s="1"/>
    </row>
    <row r="66" spans="2:5" x14ac:dyDescent="0.25">
      <c r="B66" s="90" t="s">
        <v>894</v>
      </c>
      <c r="C66" s="90" t="s">
        <v>1298</v>
      </c>
      <c r="D66" s="90" t="s">
        <v>1292</v>
      </c>
      <c r="E66" s="93" t="s">
        <v>120</v>
      </c>
    </row>
    <row r="67" spans="2:5" x14ac:dyDescent="0.25">
      <c r="B67" s="88" t="s">
        <v>599</v>
      </c>
      <c r="C67" s="212"/>
      <c r="D67" s="212"/>
      <c r="E67" s="214"/>
    </row>
    <row r="68" spans="2:5" x14ac:dyDescent="0.25">
      <c r="B68" s="88" t="s">
        <v>600</v>
      </c>
      <c r="C68" s="94">
        <v>1214</v>
      </c>
      <c r="D68" s="94">
        <v>694</v>
      </c>
      <c r="E68" s="89">
        <f t="shared" ref="E68" si="10">D68/C68</f>
        <v>0.57166392092257001</v>
      </c>
    </row>
    <row r="69" spans="2:5" x14ac:dyDescent="0.25">
      <c r="B69" s="95" t="s">
        <v>580</v>
      </c>
      <c r="C69" s="96">
        <f>SUM(C67:C68)</f>
        <v>1214</v>
      </c>
      <c r="D69" s="96">
        <f>SUM(D67:D68)</f>
        <v>694</v>
      </c>
      <c r="E69" s="106">
        <f t="shared" ref="E69" si="11">D69/C69</f>
        <v>0.57166392092257001</v>
      </c>
    </row>
    <row r="70" spans="2:5" x14ac:dyDescent="0.25">
      <c r="B70" s="5"/>
      <c r="C70" s="1"/>
      <c r="D70" s="1"/>
      <c r="E70" s="1"/>
    </row>
    <row r="71" spans="2:5" ht="15.75" x14ac:dyDescent="0.25">
      <c r="B71" s="211" t="s">
        <v>899</v>
      </c>
      <c r="C71" s="103">
        <f>SUM(C69,C64,C57,C51,C35)</f>
        <v>5131</v>
      </c>
      <c r="D71" s="103">
        <f>SUM(D69,D64,D57,D51,D35)</f>
        <v>1956</v>
      </c>
      <c r="E71" s="111">
        <f t="shared" ref="E71" si="12">D71/C71</f>
        <v>0.38121223932956538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71"/>
  <sheetViews>
    <sheetView workbookViewId="0">
      <selection sqref="A1:XFD1"/>
    </sheetView>
  </sheetViews>
  <sheetFormatPr baseColWidth="10" defaultRowHeight="15" x14ac:dyDescent="0.25"/>
  <cols>
    <col min="2" max="2" width="38.5703125" customWidth="1"/>
    <col min="3" max="3" width="21.85546875" customWidth="1"/>
    <col min="4" max="4" width="22.85546875" customWidth="1"/>
    <col min="5" max="5" width="17.85546875" customWidth="1"/>
  </cols>
  <sheetData>
    <row r="2" spans="2:5" ht="22.5" customHeight="1" x14ac:dyDescent="0.25">
      <c r="B2" s="279" t="s">
        <v>1297</v>
      </c>
      <c r="C2" s="280"/>
      <c r="D2" s="280"/>
      <c r="E2" s="281"/>
    </row>
    <row r="3" spans="2:5" x14ac:dyDescent="0.25">
      <c r="C3" s="1"/>
      <c r="D3" s="1"/>
      <c r="E3" s="1"/>
    </row>
    <row r="4" spans="2:5" x14ac:dyDescent="0.25">
      <c r="B4" s="90" t="s">
        <v>559</v>
      </c>
      <c r="C4" s="90" t="s">
        <v>1294</v>
      </c>
      <c r="D4" s="90" t="s">
        <v>1292</v>
      </c>
      <c r="E4" s="93" t="s">
        <v>120</v>
      </c>
    </row>
    <row r="5" spans="2:5" x14ac:dyDescent="0.25">
      <c r="B5" s="88" t="s">
        <v>561</v>
      </c>
      <c r="C5" s="94">
        <v>158</v>
      </c>
      <c r="D5" s="94">
        <v>84</v>
      </c>
      <c r="E5" s="89">
        <f>D5/C5</f>
        <v>0.53164556962025311</v>
      </c>
    </row>
    <row r="6" spans="2:5" x14ac:dyDescent="0.25">
      <c r="B6" s="88" t="s">
        <v>562</v>
      </c>
      <c r="C6" s="94">
        <v>11</v>
      </c>
      <c r="D6" s="94">
        <v>3</v>
      </c>
      <c r="E6" s="89">
        <f t="shared" ref="E6:E23" si="0">D6/C6</f>
        <v>0.27272727272727271</v>
      </c>
    </row>
    <row r="7" spans="2:5" x14ac:dyDescent="0.25">
      <c r="B7" s="88" t="s">
        <v>5</v>
      </c>
      <c r="C7" s="101">
        <v>43</v>
      </c>
      <c r="D7" s="94">
        <v>3</v>
      </c>
      <c r="E7" s="89">
        <f t="shared" si="0"/>
        <v>6.9767441860465115E-2</v>
      </c>
    </row>
    <row r="8" spans="2:5" x14ac:dyDescent="0.25">
      <c r="B8" s="88" t="s">
        <v>897</v>
      </c>
      <c r="C8" s="94">
        <v>50</v>
      </c>
      <c r="D8" s="94">
        <v>10</v>
      </c>
      <c r="E8" s="89">
        <f t="shared" si="0"/>
        <v>0.2</v>
      </c>
    </row>
    <row r="9" spans="2:5" x14ac:dyDescent="0.25">
      <c r="B9" s="88" t="s">
        <v>563</v>
      </c>
      <c r="C9" s="101">
        <v>135</v>
      </c>
      <c r="D9" s="101">
        <v>50</v>
      </c>
      <c r="E9" s="89">
        <f t="shared" si="0"/>
        <v>0.37037037037037035</v>
      </c>
    </row>
    <row r="10" spans="2:5" x14ac:dyDescent="0.25">
      <c r="B10" s="88" t="s">
        <v>564</v>
      </c>
      <c r="C10" s="132"/>
      <c r="D10" s="132"/>
      <c r="E10" s="89"/>
    </row>
    <row r="11" spans="2:5" x14ac:dyDescent="0.25">
      <c r="B11" s="88" t="s">
        <v>565</v>
      </c>
      <c r="C11" s="94">
        <v>50</v>
      </c>
      <c r="D11" s="94">
        <v>7</v>
      </c>
      <c r="E11" s="89">
        <f t="shared" si="0"/>
        <v>0.14000000000000001</v>
      </c>
    </row>
    <row r="12" spans="2:5" x14ac:dyDescent="0.25">
      <c r="B12" s="88" t="s">
        <v>566</v>
      </c>
      <c r="C12" s="101">
        <v>49</v>
      </c>
      <c r="D12" s="101">
        <v>20</v>
      </c>
      <c r="E12" s="89">
        <f t="shared" si="0"/>
        <v>0.40816326530612246</v>
      </c>
    </row>
    <row r="13" spans="2:5" x14ac:dyDescent="0.25">
      <c r="B13" s="88" t="s">
        <v>567</v>
      </c>
      <c r="C13" s="94">
        <v>48</v>
      </c>
      <c r="D13" s="94">
        <v>13</v>
      </c>
      <c r="E13" s="89">
        <f t="shared" si="0"/>
        <v>0.27083333333333331</v>
      </c>
    </row>
    <row r="14" spans="2:5" x14ac:dyDescent="0.25">
      <c r="B14" s="88" t="s">
        <v>568</v>
      </c>
      <c r="C14" s="101">
        <v>234</v>
      </c>
      <c r="D14" s="101">
        <v>16</v>
      </c>
      <c r="E14" s="89">
        <f t="shared" si="0"/>
        <v>6.8376068376068383E-2</v>
      </c>
    </row>
    <row r="15" spans="2:5" x14ac:dyDescent="0.25">
      <c r="B15" s="88" t="s">
        <v>739</v>
      </c>
      <c r="C15" s="101"/>
      <c r="D15" s="101"/>
      <c r="E15" s="89"/>
    </row>
    <row r="16" spans="2:5" x14ac:dyDescent="0.25">
      <c r="B16" s="88" t="s">
        <v>225</v>
      </c>
      <c r="C16" s="101">
        <v>267</v>
      </c>
      <c r="D16" s="101">
        <v>200</v>
      </c>
      <c r="E16" s="89">
        <f t="shared" si="0"/>
        <v>0.74906367041198507</v>
      </c>
    </row>
    <row r="17" spans="2:5" x14ac:dyDescent="0.25">
      <c r="B17" s="88" t="s">
        <v>569</v>
      </c>
      <c r="C17" s="132"/>
      <c r="D17" s="132"/>
      <c r="E17" s="89"/>
    </row>
    <row r="18" spans="2:5" x14ac:dyDescent="0.25">
      <c r="B18" s="88" t="s">
        <v>570</v>
      </c>
      <c r="C18" s="101">
        <v>125</v>
      </c>
      <c r="D18" s="101">
        <v>50</v>
      </c>
      <c r="E18" s="89">
        <f t="shared" si="0"/>
        <v>0.4</v>
      </c>
    </row>
    <row r="19" spans="2:5" x14ac:dyDescent="0.25">
      <c r="B19" s="88" t="s">
        <v>571</v>
      </c>
      <c r="C19" s="94">
        <v>8</v>
      </c>
      <c r="D19" s="94">
        <v>0</v>
      </c>
      <c r="E19" s="89">
        <f t="shared" si="0"/>
        <v>0</v>
      </c>
    </row>
    <row r="20" spans="2:5" x14ac:dyDescent="0.25">
      <c r="B20" s="88" t="s">
        <v>572</v>
      </c>
      <c r="C20" s="101">
        <v>67</v>
      </c>
      <c r="D20" s="101">
        <v>9</v>
      </c>
      <c r="E20" s="89">
        <f t="shared" si="0"/>
        <v>0.13432835820895522</v>
      </c>
    </row>
    <row r="21" spans="2:5" x14ac:dyDescent="0.25">
      <c r="B21" s="88" t="s">
        <v>12</v>
      </c>
      <c r="C21" s="101"/>
      <c r="D21" s="101"/>
      <c r="E21" s="89"/>
    </row>
    <row r="22" spans="2:5" x14ac:dyDescent="0.25">
      <c r="B22" s="88" t="s">
        <v>588</v>
      </c>
      <c r="C22" s="101">
        <v>50</v>
      </c>
      <c r="D22" s="94">
        <v>6</v>
      </c>
      <c r="E22" s="89">
        <f t="shared" si="0"/>
        <v>0.12</v>
      </c>
    </row>
    <row r="23" spans="2:5" x14ac:dyDescent="0.25">
      <c r="B23" s="88" t="s">
        <v>573</v>
      </c>
      <c r="C23" s="128">
        <v>80</v>
      </c>
      <c r="D23" s="128">
        <v>47</v>
      </c>
      <c r="E23" s="89">
        <f t="shared" si="0"/>
        <v>0.58750000000000002</v>
      </c>
    </row>
    <row r="24" spans="2:5" x14ac:dyDescent="0.25">
      <c r="B24" s="88" t="s">
        <v>747</v>
      </c>
      <c r="C24" s="132"/>
      <c r="D24" s="132"/>
      <c r="E24" s="89"/>
    </row>
    <row r="25" spans="2:5" x14ac:dyDescent="0.25">
      <c r="B25" s="88" t="s">
        <v>590</v>
      </c>
      <c r="C25" s="101">
        <v>34</v>
      </c>
      <c r="D25" s="94">
        <v>0</v>
      </c>
      <c r="E25" s="89">
        <f t="shared" ref="E25:E29" si="1">D25/C25</f>
        <v>0</v>
      </c>
    </row>
    <row r="26" spans="2:5" x14ac:dyDescent="0.25">
      <c r="B26" s="88" t="s">
        <v>574</v>
      </c>
      <c r="C26" s="94">
        <v>20</v>
      </c>
      <c r="D26" s="94">
        <v>14</v>
      </c>
      <c r="E26" s="89">
        <f t="shared" si="1"/>
        <v>0.7</v>
      </c>
    </row>
    <row r="27" spans="2:5" x14ac:dyDescent="0.25">
      <c r="B27" s="88" t="s">
        <v>750</v>
      </c>
      <c r="C27" s="94">
        <v>4</v>
      </c>
      <c r="D27" s="94">
        <v>1</v>
      </c>
      <c r="E27" s="89">
        <f t="shared" si="1"/>
        <v>0.25</v>
      </c>
    </row>
    <row r="28" spans="2:5" x14ac:dyDescent="0.25">
      <c r="B28" s="88" t="s">
        <v>17</v>
      </c>
      <c r="C28" s="101">
        <v>216</v>
      </c>
      <c r="D28" s="101">
        <v>78</v>
      </c>
      <c r="E28" s="89">
        <f t="shared" si="1"/>
        <v>0.3611111111111111</v>
      </c>
    </row>
    <row r="29" spans="2:5" x14ac:dyDescent="0.25">
      <c r="B29" s="88" t="s">
        <v>575</v>
      </c>
      <c r="C29" s="101">
        <v>41</v>
      </c>
      <c r="D29" s="94">
        <v>16</v>
      </c>
      <c r="E29" s="89">
        <f t="shared" si="1"/>
        <v>0.3902439024390244</v>
      </c>
    </row>
    <row r="30" spans="2:5" x14ac:dyDescent="0.25">
      <c r="B30" s="88" t="s">
        <v>576</v>
      </c>
      <c r="C30" s="132"/>
      <c r="D30" s="132"/>
      <c r="E30" s="89"/>
    </row>
    <row r="31" spans="2:5" x14ac:dyDescent="0.25">
      <c r="B31" s="88" t="s">
        <v>577</v>
      </c>
      <c r="C31" s="101">
        <v>25</v>
      </c>
      <c r="D31" s="94">
        <v>4</v>
      </c>
      <c r="E31" s="89">
        <f t="shared" ref="E31:E32" si="2">D31/C31</f>
        <v>0.16</v>
      </c>
    </row>
    <row r="32" spans="2:5" x14ac:dyDescent="0.25">
      <c r="B32" s="88" t="s">
        <v>18</v>
      </c>
      <c r="C32" s="101">
        <v>22</v>
      </c>
      <c r="D32" s="94">
        <v>4</v>
      </c>
      <c r="E32" s="89">
        <f t="shared" si="2"/>
        <v>0.18181818181818182</v>
      </c>
    </row>
    <row r="33" spans="2:5" x14ac:dyDescent="0.25">
      <c r="B33" s="88" t="s">
        <v>578</v>
      </c>
      <c r="C33" s="132"/>
      <c r="D33" s="132"/>
      <c r="E33" s="89"/>
    </row>
    <row r="34" spans="2:5" x14ac:dyDescent="0.25">
      <c r="B34" s="88" t="s">
        <v>579</v>
      </c>
      <c r="C34" s="101">
        <v>25</v>
      </c>
      <c r="D34" s="94">
        <v>6</v>
      </c>
      <c r="E34" s="89">
        <f t="shared" ref="E34" si="3">D34/C34</f>
        <v>0.24</v>
      </c>
    </row>
    <row r="35" spans="2:5" x14ac:dyDescent="0.25">
      <c r="B35" s="95" t="s">
        <v>580</v>
      </c>
      <c r="C35" s="96">
        <f>SUM(C5:C34)</f>
        <v>1762</v>
      </c>
      <c r="D35" s="96">
        <f>SUM(D5:D34)</f>
        <v>641</v>
      </c>
      <c r="E35" s="106">
        <f>D35/C35</f>
        <v>0.3637911464245176</v>
      </c>
    </row>
    <row r="36" spans="2:5" x14ac:dyDescent="0.25">
      <c r="B36" s="5"/>
      <c r="C36" s="1"/>
      <c r="D36" s="1"/>
      <c r="E36" s="1"/>
    </row>
    <row r="37" spans="2:5" x14ac:dyDescent="0.25">
      <c r="B37" s="90" t="s">
        <v>581</v>
      </c>
      <c r="C37" s="90" t="s">
        <v>1294</v>
      </c>
      <c r="D37" s="90" t="s">
        <v>1292</v>
      </c>
      <c r="E37" s="93" t="s">
        <v>120</v>
      </c>
    </row>
    <row r="38" spans="2:5" x14ac:dyDescent="0.25">
      <c r="B38" s="88" t="s">
        <v>582</v>
      </c>
      <c r="C38" s="94">
        <v>11</v>
      </c>
      <c r="D38" s="94">
        <v>0</v>
      </c>
      <c r="E38" s="89">
        <f t="shared" ref="E38" si="4">D38/C38</f>
        <v>0</v>
      </c>
    </row>
    <row r="39" spans="2:5" x14ac:dyDescent="0.25">
      <c r="B39" s="88" t="s">
        <v>583</v>
      </c>
      <c r="C39" s="132"/>
      <c r="D39" s="132"/>
      <c r="E39" s="89"/>
    </row>
    <row r="40" spans="2:5" x14ac:dyDescent="0.25">
      <c r="B40" s="114" t="s">
        <v>584</v>
      </c>
      <c r="C40" s="94">
        <v>3</v>
      </c>
      <c r="D40" s="94">
        <v>0</v>
      </c>
      <c r="E40" s="89">
        <f t="shared" ref="E40" si="5">D40/C40</f>
        <v>0</v>
      </c>
    </row>
    <row r="41" spans="2:5" x14ac:dyDescent="0.25">
      <c r="B41" s="88" t="s">
        <v>585</v>
      </c>
      <c r="C41" s="94">
        <v>0</v>
      </c>
      <c r="D41" s="94">
        <v>0</v>
      </c>
      <c r="E41" s="89"/>
    </row>
    <row r="42" spans="2:5" x14ac:dyDescent="0.25">
      <c r="B42" s="88" t="s">
        <v>586</v>
      </c>
      <c r="C42" s="128"/>
      <c r="D42" s="128"/>
      <c r="E42" s="89"/>
    </row>
    <row r="43" spans="2:5" x14ac:dyDescent="0.25">
      <c r="B43" s="88" t="s">
        <v>733</v>
      </c>
      <c r="C43" s="132"/>
      <c r="D43" s="132"/>
      <c r="E43" s="89"/>
    </row>
    <row r="44" spans="2:5" x14ac:dyDescent="0.25">
      <c r="B44" s="88" t="s">
        <v>735</v>
      </c>
      <c r="C44" s="132"/>
      <c r="D44" s="132"/>
      <c r="E44" s="89"/>
    </row>
    <row r="45" spans="2:5" x14ac:dyDescent="0.25">
      <c r="B45" s="88" t="s">
        <v>587</v>
      </c>
      <c r="C45" s="94">
        <v>17</v>
      </c>
      <c r="D45" s="94">
        <v>2</v>
      </c>
      <c r="E45" s="89">
        <f t="shared" ref="E45:E46" si="6">D45/C45</f>
        <v>0.11764705882352941</v>
      </c>
    </row>
    <row r="46" spans="2:5" x14ac:dyDescent="0.25">
      <c r="B46" s="88" t="s">
        <v>796</v>
      </c>
      <c r="C46" s="101">
        <v>6</v>
      </c>
      <c r="D46" s="94">
        <v>0</v>
      </c>
      <c r="E46" s="89">
        <f t="shared" si="6"/>
        <v>0</v>
      </c>
    </row>
    <row r="47" spans="2:5" x14ac:dyDescent="0.25">
      <c r="B47" s="88" t="s">
        <v>589</v>
      </c>
      <c r="C47" s="132"/>
      <c r="D47" s="132"/>
      <c r="E47" s="89"/>
    </row>
    <row r="48" spans="2:5" x14ac:dyDescent="0.25">
      <c r="B48" s="88" t="s">
        <v>745</v>
      </c>
      <c r="C48" s="94">
        <v>0</v>
      </c>
      <c r="D48" s="94">
        <v>0</v>
      </c>
      <c r="E48" s="89"/>
    </row>
    <row r="49" spans="2:5" x14ac:dyDescent="0.25">
      <c r="B49" s="88" t="s">
        <v>591</v>
      </c>
      <c r="C49" s="94">
        <v>0</v>
      </c>
      <c r="D49" s="94">
        <v>0</v>
      </c>
      <c r="E49" s="89"/>
    </row>
    <row r="50" spans="2:5" x14ac:dyDescent="0.25">
      <c r="B50" s="88" t="s">
        <v>15</v>
      </c>
      <c r="C50" s="101">
        <v>51</v>
      </c>
      <c r="D50" s="94">
        <v>22</v>
      </c>
      <c r="E50" s="89">
        <f t="shared" ref="E50" si="7">D50/C50</f>
        <v>0.43137254901960786</v>
      </c>
    </row>
    <row r="51" spans="2:5" x14ac:dyDescent="0.25">
      <c r="B51" s="95" t="s">
        <v>580</v>
      </c>
      <c r="C51" s="96">
        <f>SUM(C38:C50)</f>
        <v>88</v>
      </c>
      <c r="D51" s="96">
        <f>SUM(D38:D50)</f>
        <v>24</v>
      </c>
      <c r="E51" s="106">
        <f t="shared" ref="E51" si="8">D51/C51</f>
        <v>0.27272727272727271</v>
      </c>
    </row>
    <row r="52" spans="2:5" x14ac:dyDescent="0.25">
      <c r="B52" s="5"/>
      <c r="C52" s="1"/>
      <c r="D52" s="1"/>
      <c r="E52" s="1"/>
    </row>
    <row r="53" spans="2:5" x14ac:dyDescent="0.25">
      <c r="B53" s="90" t="s">
        <v>896</v>
      </c>
      <c r="C53" s="90" t="s">
        <v>1294</v>
      </c>
      <c r="D53" s="90" t="s">
        <v>1292</v>
      </c>
      <c r="E53" s="93" t="s">
        <v>120</v>
      </c>
    </row>
    <row r="54" spans="2:5" x14ac:dyDescent="0.25">
      <c r="B54" s="99" t="s">
        <v>592</v>
      </c>
      <c r="C54" s="94">
        <v>70</v>
      </c>
      <c r="D54" s="94">
        <v>50</v>
      </c>
      <c r="E54" s="89">
        <f t="shared" ref="E54" si="9">D54/C54</f>
        <v>0.7142857142857143</v>
      </c>
    </row>
    <row r="55" spans="2:5" x14ac:dyDescent="0.25">
      <c r="B55" s="88" t="s">
        <v>593</v>
      </c>
      <c r="C55" s="101">
        <v>0</v>
      </c>
      <c r="D55" s="94">
        <v>0</v>
      </c>
      <c r="E55" s="89"/>
    </row>
    <row r="56" spans="2:5" x14ac:dyDescent="0.25">
      <c r="B56" s="88" t="s">
        <v>594</v>
      </c>
      <c r="C56" s="101"/>
      <c r="D56" s="101"/>
      <c r="E56" s="89"/>
    </row>
    <row r="57" spans="2:5" x14ac:dyDescent="0.25">
      <c r="B57" s="95" t="s">
        <v>580</v>
      </c>
      <c r="C57" s="96">
        <f>SUM(C54:C56)</f>
        <v>70</v>
      </c>
      <c r="D57" s="96">
        <f>SUM(D54:D56)</f>
        <v>50</v>
      </c>
      <c r="E57" s="106">
        <f t="shared" ref="E57" si="10">D57/C57</f>
        <v>0.7142857142857143</v>
      </c>
    </row>
    <row r="58" spans="2:5" x14ac:dyDescent="0.25">
      <c r="B58" s="5"/>
      <c r="C58" s="1"/>
      <c r="D58" s="1"/>
      <c r="E58" s="1"/>
    </row>
    <row r="59" spans="2:5" x14ac:dyDescent="0.25">
      <c r="B59" s="90" t="s">
        <v>895</v>
      </c>
      <c r="C59" s="90" t="s">
        <v>1294</v>
      </c>
      <c r="D59" s="90" t="s">
        <v>1292</v>
      </c>
      <c r="E59" s="93" t="s">
        <v>120</v>
      </c>
    </row>
    <row r="60" spans="2:5" x14ac:dyDescent="0.25">
      <c r="B60" s="88" t="s">
        <v>6</v>
      </c>
      <c r="C60" s="94"/>
      <c r="D60" s="94"/>
      <c r="E60" s="89"/>
    </row>
    <row r="61" spans="2:5" x14ac:dyDescent="0.25">
      <c r="B61" s="88" t="s">
        <v>595</v>
      </c>
      <c r="C61" s="94">
        <v>0</v>
      </c>
      <c r="D61" s="94">
        <v>0</v>
      </c>
      <c r="E61" s="89"/>
    </row>
    <row r="62" spans="2:5" x14ac:dyDescent="0.25">
      <c r="B62" s="88" t="s">
        <v>597</v>
      </c>
      <c r="C62" s="132"/>
      <c r="D62" s="132"/>
      <c r="E62" s="89"/>
    </row>
    <row r="63" spans="2:5" x14ac:dyDescent="0.25">
      <c r="B63" s="88" t="s">
        <v>598</v>
      </c>
      <c r="C63" s="132"/>
      <c r="D63" s="132"/>
      <c r="E63" s="89"/>
    </row>
    <row r="64" spans="2:5" x14ac:dyDescent="0.25">
      <c r="B64" s="95" t="s">
        <v>580</v>
      </c>
      <c r="C64" s="96">
        <f>SUM(C60:C63)</f>
        <v>0</v>
      </c>
      <c r="D64" s="98">
        <f>SUM(D60:D63)</f>
        <v>0</v>
      </c>
      <c r="E64" s="106"/>
    </row>
    <row r="65" spans="2:5" x14ac:dyDescent="0.25">
      <c r="B65" s="5"/>
      <c r="C65" s="1"/>
      <c r="D65" s="1"/>
      <c r="E65" s="1"/>
    </row>
    <row r="66" spans="2:5" x14ac:dyDescent="0.25">
      <c r="B66" s="90" t="s">
        <v>894</v>
      </c>
      <c r="C66" s="90" t="s">
        <v>1294</v>
      </c>
      <c r="D66" s="90" t="s">
        <v>1292</v>
      </c>
      <c r="E66" s="93" t="s">
        <v>120</v>
      </c>
    </row>
    <row r="67" spans="2:5" x14ac:dyDescent="0.25">
      <c r="B67" s="88" t="s">
        <v>599</v>
      </c>
      <c r="C67" s="212"/>
      <c r="D67" s="212"/>
      <c r="E67" s="214"/>
    </row>
    <row r="68" spans="2:5" x14ac:dyDescent="0.25">
      <c r="B68" s="88" t="s">
        <v>600</v>
      </c>
      <c r="C68" s="213"/>
      <c r="D68" s="213"/>
      <c r="E68" s="214"/>
    </row>
    <row r="69" spans="2:5" x14ac:dyDescent="0.25">
      <c r="B69" s="95" t="s">
        <v>580</v>
      </c>
      <c r="C69" s="96">
        <f>SUM(C67:C68)</f>
        <v>0</v>
      </c>
      <c r="D69" s="96">
        <f>SUM(D67:D68)</f>
        <v>0</v>
      </c>
      <c r="E69" s="106"/>
    </row>
    <row r="70" spans="2:5" x14ac:dyDescent="0.25">
      <c r="B70" s="5"/>
      <c r="C70" s="1"/>
      <c r="D70" s="1"/>
      <c r="E70" s="1"/>
    </row>
    <row r="71" spans="2:5" ht="15.75" x14ac:dyDescent="0.25">
      <c r="B71" s="211" t="s">
        <v>899</v>
      </c>
      <c r="C71" s="103">
        <f>SUM(C69,C64,C57,C51,C35)</f>
        <v>1920</v>
      </c>
      <c r="D71" s="103">
        <f>SUM(D69,D64,D57,D51,D35)</f>
        <v>715</v>
      </c>
      <c r="E71" s="111">
        <f t="shared" ref="E71" si="11">D71/C71</f>
        <v>0.37239583333333331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71"/>
  <sheetViews>
    <sheetView zoomScaleNormal="100" workbookViewId="0">
      <selection sqref="A1:XFD1"/>
    </sheetView>
  </sheetViews>
  <sheetFormatPr baseColWidth="10" defaultRowHeight="15" x14ac:dyDescent="0.25"/>
  <cols>
    <col min="2" max="2" width="36.85546875" customWidth="1"/>
    <col min="3" max="3" width="24" style="1" customWidth="1"/>
    <col min="4" max="4" width="31.28515625" style="1" customWidth="1"/>
    <col min="5" max="5" width="16.5703125" style="1" customWidth="1"/>
  </cols>
  <sheetData>
    <row r="2" spans="2:5" ht="19.5" customHeight="1" x14ac:dyDescent="0.25">
      <c r="B2" s="282" t="s">
        <v>903</v>
      </c>
      <c r="C2" s="283"/>
      <c r="D2" s="283"/>
      <c r="E2" s="284"/>
    </row>
    <row r="4" spans="2:5" s="24" customFormat="1" ht="22.5" customHeight="1" x14ac:dyDescent="0.25">
      <c r="B4" s="90" t="s">
        <v>559</v>
      </c>
      <c r="C4" s="93" t="s">
        <v>901</v>
      </c>
      <c r="D4" s="91" t="s">
        <v>900</v>
      </c>
      <c r="E4" s="93" t="s">
        <v>120</v>
      </c>
    </row>
    <row r="5" spans="2:5" x14ac:dyDescent="0.25">
      <c r="B5" s="88" t="s">
        <v>561</v>
      </c>
      <c r="C5" s="94">
        <v>38</v>
      </c>
      <c r="D5" s="1">
        <v>9</v>
      </c>
      <c r="E5" s="105"/>
    </row>
    <row r="6" spans="2:5" x14ac:dyDescent="0.25">
      <c r="B6" s="88" t="s">
        <v>562</v>
      </c>
      <c r="C6" s="94">
        <v>6</v>
      </c>
      <c r="D6" s="1">
        <v>2</v>
      </c>
      <c r="E6" s="105">
        <f>D6/C6</f>
        <v>0.33333333333333331</v>
      </c>
    </row>
    <row r="7" spans="2:5" x14ac:dyDescent="0.25">
      <c r="B7" s="88" t="s">
        <v>5</v>
      </c>
      <c r="C7" s="94">
        <v>27</v>
      </c>
      <c r="D7" s="1">
        <v>5</v>
      </c>
      <c r="E7" s="105">
        <f>D7/C7</f>
        <v>0.18518518518518517</v>
      </c>
    </row>
    <row r="8" spans="2:5" x14ac:dyDescent="0.25">
      <c r="B8" s="88" t="s">
        <v>897</v>
      </c>
      <c r="C8" s="94">
        <v>13</v>
      </c>
      <c r="D8" s="1">
        <v>2</v>
      </c>
      <c r="E8" s="105">
        <f>D8/C8</f>
        <v>0.15384615384615385</v>
      </c>
    </row>
    <row r="9" spans="2:5" x14ac:dyDescent="0.25">
      <c r="B9" s="88" t="s">
        <v>563</v>
      </c>
      <c r="C9" s="94">
        <v>40</v>
      </c>
      <c r="D9" s="100">
        <v>16</v>
      </c>
      <c r="E9" s="105">
        <f>D9/C9</f>
        <v>0.4</v>
      </c>
    </row>
    <row r="10" spans="2:5" x14ac:dyDescent="0.25">
      <c r="B10" s="88" t="s">
        <v>564</v>
      </c>
      <c r="C10" s="94"/>
      <c r="E10" s="105"/>
    </row>
    <row r="11" spans="2:5" x14ac:dyDescent="0.25">
      <c r="B11" s="88" t="s">
        <v>565</v>
      </c>
      <c r="C11" s="94">
        <v>22</v>
      </c>
      <c r="D11" s="1">
        <v>4</v>
      </c>
      <c r="E11" s="105">
        <f>D11/C11</f>
        <v>0.18181818181818182</v>
      </c>
    </row>
    <row r="12" spans="2:5" x14ac:dyDescent="0.25">
      <c r="B12" s="88" t="s">
        <v>566</v>
      </c>
      <c r="C12" s="94"/>
      <c r="E12" s="105"/>
    </row>
    <row r="13" spans="2:5" x14ac:dyDescent="0.25">
      <c r="B13" s="88" t="s">
        <v>567</v>
      </c>
      <c r="C13" s="94">
        <v>18</v>
      </c>
      <c r="D13" s="1">
        <v>4</v>
      </c>
      <c r="E13" s="105">
        <f>D13/C13</f>
        <v>0.22222222222222221</v>
      </c>
    </row>
    <row r="14" spans="2:5" x14ac:dyDescent="0.25">
      <c r="B14" s="88" t="s">
        <v>568</v>
      </c>
      <c r="C14" s="94">
        <v>71</v>
      </c>
      <c r="D14" s="100">
        <v>4</v>
      </c>
      <c r="E14" s="105">
        <f>D14/C14</f>
        <v>5.6338028169014086E-2</v>
      </c>
    </row>
    <row r="15" spans="2:5" x14ac:dyDescent="0.25">
      <c r="B15" s="88" t="s">
        <v>739</v>
      </c>
      <c r="C15" s="94">
        <v>29</v>
      </c>
      <c r="D15" s="1">
        <v>2</v>
      </c>
      <c r="E15" s="105">
        <f>D15/C15</f>
        <v>6.8965517241379309E-2</v>
      </c>
    </row>
    <row r="16" spans="2:5" x14ac:dyDescent="0.25">
      <c r="B16" s="88" t="s">
        <v>225</v>
      </c>
      <c r="C16" s="94">
        <v>28</v>
      </c>
      <c r="D16" s="100">
        <v>19</v>
      </c>
      <c r="E16" s="105">
        <f>D16/C16</f>
        <v>0.6785714285714286</v>
      </c>
    </row>
    <row r="17" spans="2:5" x14ac:dyDescent="0.25">
      <c r="B17" s="88" t="s">
        <v>569</v>
      </c>
      <c r="C17" s="94"/>
      <c r="E17" s="105"/>
    </row>
    <row r="18" spans="2:5" x14ac:dyDescent="0.25">
      <c r="B18" s="88" t="s">
        <v>570</v>
      </c>
      <c r="C18" s="94">
        <v>29</v>
      </c>
      <c r="D18" s="100">
        <v>8</v>
      </c>
      <c r="E18" s="105">
        <f>D18/C18</f>
        <v>0.27586206896551724</v>
      </c>
    </row>
    <row r="19" spans="2:5" x14ac:dyDescent="0.25">
      <c r="B19" s="88" t="s">
        <v>571</v>
      </c>
      <c r="C19" s="94">
        <v>5</v>
      </c>
      <c r="D19" s="1">
        <v>2</v>
      </c>
      <c r="E19" s="105">
        <f>D19/C19</f>
        <v>0.4</v>
      </c>
    </row>
    <row r="20" spans="2:5" x14ac:dyDescent="0.25">
      <c r="B20" s="88" t="s">
        <v>572</v>
      </c>
      <c r="C20" s="94">
        <v>92</v>
      </c>
      <c r="D20" s="1">
        <v>23</v>
      </c>
      <c r="E20" s="105">
        <f>D20/C20</f>
        <v>0.25</v>
      </c>
    </row>
    <row r="21" spans="2:5" x14ac:dyDescent="0.25">
      <c r="B21" s="88" t="s">
        <v>12</v>
      </c>
      <c r="C21" s="94"/>
      <c r="D21" s="100"/>
      <c r="E21" s="105"/>
    </row>
    <row r="22" spans="2:5" x14ac:dyDescent="0.25">
      <c r="B22" s="88" t="s">
        <v>588</v>
      </c>
      <c r="C22" s="94">
        <v>10</v>
      </c>
      <c r="D22" s="1">
        <v>0</v>
      </c>
      <c r="E22" s="105">
        <f>D22/C22</f>
        <v>0</v>
      </c>
    </row>
    <row r="23" spans="2:5" x14ac:dyDescent="0.25">
      <c r="B23" s="88" t="s">
        <v>573</v>
      </c>
      <c r="C23" s="94"/>
      <c r="E23" s="105"/>
    </row>
    <row r="24" spans="2:5" x14ac:dyDescent="0.25">
      <c r="B24" s="88" t="s">
        <v>747</v>
      </c>
      <c r="C24" s="94"/>
      <c r="E24" s="105"/>
    </row>
    <row r="25" spans="2:5" x14ac:dyDescent="0.25">
      <c r="B25" s="88" t="s">
        <v>590</v>
      </c>
      <c r="C25" s="94">
        <v>12</v>
      </c>
      <c r="D25" s="1">
        <v>1</v>
      </c>
      <c r="E25" s="105">
        <f>D25/C25</f>
        <v>8.3333333333333329E-2</v>
      </c>
    </row>
    <row r="26" spans="2:5" x14ac:dyDescent="0.25">
      <c r="B26" s="88" t="s">
        <v>574</v>
      </c>
      <c r="C26" s="94">
        <v>4</v>
      </c>
      <c r="D26" s="1">
        <v>4</v>
      </c>
      <c r="E26" s="105">
        <f>D26/C26</f>
        <v>1</v>
      </c>
    </row>
    <row r="27" spans="2:5" x14ac:dyDescent="0.25">
      <c r="B27" s="88" t="s">
        <v>750</v>
      </c>
      <c r="C27" s="94"/>
      <c r="E27" s="105"/>
    </row>
    <row r="28" spans="2:5" x14ac:dyDescent="0.25">
      <c r="B28" s="88" t="s">
        <v>17</v>
      </c>
      <c r="C28" s="94"/>
      <c r="D28" s="100"/>
      <c r="E28" s="105"/>
    </row>
    <row r="29" spans="2:5" x14ac:dyDescent="0.25">
      <c r="B29" s="88" t="s">
        <v>575</v>
      </c>
      <c r="C29" s="94">
        <v>34</v>
      </c>
      <c r="D29" s="1">
        <v>7</v>
      </c>
      <c r="E29" s="105">
        <f>D29/C29</f>
        <v>0.20588235294117646</v>
      </c>
    </row>
    <row r="30" spans="2:5" x14ac:dyDescent="0.25">
      <c r="B30" s="88" t="s">
        <v>576</v>
      </c>
      <c r="C30" s="94"/>
      <c r="E30" s="105"/>
    </row>
    <row r="31" spans="2:5" x14ac:dyDescent="0.25">
      <c r="B31" s="88" t="s">
        <v>577</v>
      </c>
      <c r="C31" s="94">
        <v>27</v>
      </c>
      <c r="D31" s="1">
        <v>3</v>
      </c>
      <c r="E31" s="105">
        <f>D31/C31</f>
        <v>0.1111111111111111</v>
      </c>
    </row>
    <row r="32" spans="2:5" x14ac:dyDescent="0.25">
      <c r="B32" s="88" t="s">
        <v>18</v>
      </c>
      <c r="C32" s="94">
        <v>11</v>
      </c>
      <c r="D32" s="1">
        <v>3</v>
      </c>
      <c r="E32" s="105">
        <f>D32/C32</f>
        <v>0.27272727272727271</v>
      </c>
    </row>
    <row r="33" spans="2:5" x14ac:dyDescent="0.25">
      <c r="B33" s="88" t="s">
        <v>578</v>
      </c>
      <c r="C33" s="94"/>
      <c r="E33" s="105"/>
    </row>
    <row r="34" spans="2:5" x14ac:dyDescent="0.25">
      <c r="B34" s="88" t="s">
        <v>579</v>
      </c>
      <c r="C34" s="94">
        <v>21</v>
      </c>
      <c r="D34" s="1">
        <v>3</v>
      </c>
      <c r="E34" s="105">
        <f>D34/C34</f>
        <v>0.14285714285714285</v>
      </c>
    </row>
    <row r="35" spans="2:5" x14ac:dyDescent="0.25">
      <c r="B35" s="95" t="s">
        <v>580</v>
      </c>
      <c r="C35" s="96">
        <f>SUM(C5:C34)</f>
        <v>537</v>
      </c>
      <c r="D35" s="97">
        <f>SUM(D5:D34)</f>
        <v>121</v>
      </c>
      <c r="E35" s="106">
        <f>D35/C35</f>
        <v>0.22532588454376165</v>
      </c>
    </row>
    <row r="36" spans="2:5" x14ac:dyDescent="0.25">
      <c r="B36" s="5"/>
    </row>
    <row r="37" spans="2:5" s="24" customFormat="1" ht="22.5" customHeight="1" x14ac:dyDescent="0.25">
      <c r="B37" s="90" t="s">
        <v>581</v>
      </c>
      <c r="C37" s="93" t="s">
        <v>901</v>
      </c>
      <c r="D37" s="91" t="s">
        <v>900</v>
      </c>
      <c r="E37" s="93" t="s">
        <v>120</v>
      </c>
    </row>
    <row r="38" spans="2:5" x14ac:dyDescent="0.25">
      <c r="B38" s="88" t="s">
        <v>582</v>
      </c>
      <c r="C38" s="94">
        <v>15</v>
      </c>
      <c r="D38" s="1">
        <v>3</v>
      </c>
      <c r="E38" s="105">
        <f>D38/C38</f>
        <v>0.2</v>
      </c>
    </row>
    <row r="39" spans="2:5" x14ac:dyDescent="0.25">
      <c r="B39" s="88" t="s">
        <v>583</v>
      </c>
      <c r="C39" s="94"/>
      <c r="E39" s="105"/>
    </row>
    <row r="40" spans="2:5" x14ac:dyDescent="0.25">
      <c r="B40" s="88" t="s">
        <v>584</v>
      </c>
      <c r="C40" s="94">
        <v>3</v>
      </c>
      <c r="D40" s="1">
        <v>0</v>
      </c>
      <c r="E40" s="105"/>
    </row>
    <row r="41" spans="2:5" x14ac:dyDescent="0.25">
      <c r="B41" s="88" t="s">
        <v>585</v>
      </c>
      <c r="C41" s="94">
        <v>27</v>
      </c>
      <c r="D41" s="1">
        <v>3</v>
      </c>
      <c r="E41" s="105">
        <f>D41/C41</f>
        <v>0.1111111111111111</v>
      </c>
    </row>
    <row r="42" spans="2:5" x14ac:dyDescent="0.25">
      <c r="B42" s="88" t="s">
        <v>586</v>
      </c>
      <c r="C42" s="94"/>
      <c r="E42" s="105"/>
    </row>
    <row r="43" spans="2:5" x14ac:dyDescent="0.25">
      <c r="B43" s="88" t="s">
        <v>733</v>
      </c>
      <c r="C43" s="94"/>
      <c r="E43" s="105"/>
    </row>
    <row r="44" spans="2:5" x14ac:dyDescent="0.25">
      <c r="B44" s="88" t="s">
        <v>735</v>
      </c>
      <c r="C44" s="94"/>
      <c r="E44" s="105"/>
    </row>
    <row r="45" spans="2:5" x14ac:dyDescent="0.25">
      <c r="B45" s="88" t="s">
        <v>587</v>
      </c>
      <c r="C45" s="94">
        <v>4</v>
      </c>
      <c r="D45" s="1">
        <v>1</v>
      </c>
      <c r="E45" s="105">
        <f>D45/C45</f>
        <v>0.25</v>
      </c>
    </row>
    <row r="46" spans="2:5" x14ac:dyDescent="0.25">
      <c r="B46" s="88" t="s">
        <v>796</v>
      </c>
      <c r="C46" s="94"/>
      <c r="E46" s="105"/>
    </row>
    <row r="47" spans="2:5" x14ac:dyDescent="0.25">
      <c r="B47" s="88" t="s">
        <v>589</v>
      </c>
      <c r="C47" s="94"/>
      <c r="E47" s="105"/>
    </row>
    <row r="48" spans="2:5" x14ac:dyDescent="0.25">
      <c r="B48" s="88" t="s">
        <v>745</v>
      </c>
      <c r="C48" s="94"/>
      <c r="E48" s="105"/>
    </row>
    <row r="49" spans="2:5" x14ac:dyDescent="0.25">
      <c r="B49" s="88" t="s">
        <v>591</v>
      </c>
      <c r="C49" s="94">
        <v>3</v>
      </c>
      <c r="D49" s="1">
        <v>0</v>
      </c>
      <c r="E49" s="105">
        <f>D49/C49</f>
        <v>0</v>
      </c>
    </row>
    <row r="50" spans="2:5" x14ac:dyDescent="0.25">
      <c r="B50" s="88" t="s">
        <v>15</v>
      </c>
      <c r="C50" s="94">
        <v>3</v>
      </c>
      <c r="D50" s="1">
        <v>1</v>
      </c>
      <c r="E50" s="105">
        <f>D50/C50</f>
        <v>0.33333333333333331</v>
      </c>
    </row>
    <row r="51" spans="2:5" x14ac:dyDescent="0.25">
      <c r="B51" s="95" t="s">
        <v>580</v>
      </c>
      <c r="C51" s="96">
        <f>SUM(C38:C50)</f>
        <v>55</v>
      </c>
      <c r="D51" s="97">
        <f>SUM(D38:D50)</f>
        <v>8</v>
      </c>
      <c r="E51" s="106">
        <f>D51/C51</f>
        <v>0.14545454545454545</v>
      </c>
    </row>
    <row r="52" spans="2:5" x14ac:dyDescent="0.25">
      <c r="B52" s="5"/>
    </row>
    <row r="53" spans="2:5" s="24" customFormat="1" ht="22.5" customHeight="1" x14ac:dyDescent="0.25">
      <c r="B53" s="90" t="s">
        <v>896</v>
      </c>
      <c r="C53" s="93" t="s">
        <v>901</v>
      </c>
      <c r="D53" s="91" t="s">
        <v>900</v>
      </c>
      <c r="E53" s="93" t="s">
        <v>120</v>
      </c>
    </row>
    <row r="54" spans="2:5" x14ac:dyDescent="0.25">
      <c r="B54" s="99" t="s">
        <v>592</v>
      </c>
      <c r="C54" s="94"/>
      <c r="E54" s="105"/>
    </row>
    <row r="55" spans="2:5" x14ac:dyDescent="0.25">
      <c r="B55" s="88" t="s">
        <v>593</v>
      </c>
      <c r="C55" s="94"/>
      <c r="E55" s="105"/>
    </row>
    <row r="56" spans="2:5" x14ac:dyDescent="0.25">
      <c r="B56" s="88" t="s">
        <v>594</v>
      </c>
      <c r="C56" s="94">
        <v>52</v>
      </c>
      <c r="D56" s="100">
        <v>17</v>
      </c>
      <c r="E56" s="105">
        <f>D56/C56</f>
        <v>0.32692307692307693</v>
      </c>
    </row>
    <row r="57" spans="2:5" x14ac:dyDescent="0.25">
      <c r="B57" s="95" t="s">
        <v>580</v>
      </c>
      <c r="C57" s="96">
        <f>SUM(C54:C56)</f>
        <v>52</v>
      </c>
      <c r="D57" s="97">
        <f>SUM(D54:D56)</f>
        <v>17</v>
      </c>
      <c r="E57" s="107">
        <f>D57/C57</f>
        <v>0.32692307692307693</v>
      </c>
    </row>
    <row r="58" spans="2:5" x14ac:dyDescent="0.25">
      <c r="B58" s="5"/>
    </row>
    <row r="59" spans="2:5" s="24" customFormat="1" ht="22.5" customHeight="1" x14ac:dyDescent="0.25">
      <c r="B59" s="90" t="s">
        <v>895</v>
      </c>
      <c r="C59" s="93" t="s">
        <v>901</v>
      </c>
      <c r="D59" s="93" t="s">
        <v>900</v>
      </c>
      <c r="E59" s="92" t="s">
        <v>120</v>
      </c>
    </row>
    <row r="60" spans="2:5" x14ac:dyDescent="0.25">
      <c r="B60" s="88" t="s">
        <v>6</v>
      </c>
      <c r="C60" s="94">
        <v>62</v>
      </c>
      <c r="D60" s="94">
        <v>44</v>
      </c>
      <c r="E60" s="89">
        <f>D60/C60</f>
        <v>0.70967741935483875</v>
      </c>
    </row>
    <row r="61" spans="2:5" x14ac:dyDescent="0.25">
      <c r="B61" s="88" t="s">
        <v>595</v>
      </c>
      <c r="C61" s="94">
        <v>18</v>
      </c>
      <c r="D61" s="94">
        <v>3</v>
      </c>
      <c r="E61" s="89">
        <f>D61/C61</f>
        <v>0.16666666666666666</v>
      </c>
    </row>
    <row r="62" spans="2:5" x14ac:dyDescent="0.25">
      <c r="B62" s="88" t="s">
        <v>597</v>
      </c>
      <c r="C62" s="94"/>
      <c r="D62" s="94"/>
      <c r="E62" s="89"/>
    </row>
    <row r="63" spans="2:5" x14ac:dyDescent="0.25">
      <c r="B63" s="88" t="s">
        <v>598</v>
      </c>
      <c r="C63" s="94"/>
      <c r="D63" s="94"/>
      <c r="E63" s="89"/>
    </row>
    <row r="64" spans="2:5" x14ac:dyDescent="0.25">
      <c r="B64" s="95" t="s">
        <v>580</v>
      </c>
      <c r="C64" s="96">
        <f>SUM(C60:C63)</f>
        <v>80</v>
      </c>
      <c r="D64" s="98">
        <f>SUM(D60:D63)</f>
        <v>47</v>
      </c>
      <c r="E64" s="110">
        <f>D64/C64</f>
        <v>0.58750000000000002</v>
      </c>
    </row>
    <row r="65" spans="2:5" x14ac:dyDescent="0.25">
      <c r="B65" s="104"/>
      <c r="C65" s="108"/>
      <c r="D65" s="108"/>
      <c r="E65" s="109"/>
    </row>
    <row r="66" spans="2:5" s="24" customFormat="1" ht="22.5" customHeight="1" x14ac:dyDescent="0.25">
      <c r="B66" s="90" t="s">
        <v>894</v>
      </c>
      <c r="C66" s="93" t="s">
        <v>901</v>
      </c>
      <c r="D66" s="91" t="s">
        <v>900</v>
      </c>
      <c r="E66" s="93" t="s">
        <v>120</v>
      </c>
    </row>
    <row r="67" spans="2:5" x14ac:dyDescent="0.25">
      <c r="B67" s="88" t="s">
        <v>599</v>
      </c>
      <c r="C67" s="94"/>
      <c r="E67" s="105"/>
    </row>
    <row r="68" spans="2:5" x14ac:dyDescent="0.25">
      <c r="B68" s="88" t="s">
        <v>600</v>
      </c>
      <c r="C68" s="94"/>
      <c r="E68" s="105"/>
    </row>
    <row r="69" spans="2:5" x14ac:dyDescent="0.25">
      <c r="B69" s="95" t="s">
        <v>580</v>
      </c>
      <c r="C69" s="96">
        <f>SUM(C67:C68)</f>
        <v>0</v>
      </c>
      <c r="D69" s="97">
        <f>SUM(D67:D68)</f>
        <v>0</v>
      </c>
      <c r="E69" s="96"/>
    </row>
    <row r="70" spans="2:5" x14ac:dyDescent="0.25">
      <c r="B70" s="5"/>
    </row>
    <row r="71" spans="2:5" s="83" customFormat="1" ht="26.25" customHeight="1" x14ac:dyDescent="0.25">
      <c r="B71" s="103" t="s">
        <v>899</v>
      </c>
      <c r="C71" s="102">
        <f>SUM(C69,C64,C57,C51,C35)</f>
        <v>724</v>
      </c>
      <c r="D71" s="103">
        <f>SUM(D69,D64,D57,D51,D35)</f>
        <v>193</v>
      </c>
      <c r="E71" s="111">
        <f>D71/C71</f>
        <v>0.26657458563535913</v>
      </c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74"/>
  <sheetViews>
    <sheetView topLeftCell="A51" zoomScaleNormal="100" workbookViewId="0">
      <selection activeCell="C70" sqref="C70"/>
    </sheetView>
  </sheetViews>
  <sheetFormatPr baseColWidth="10" defaultRowHeight="15" x14ac:dyDescent="0.25"/>
  <cols>
    <col min="2" max="2" width="36.85546875" customWidth="1"/>
    <col min="3" max="3" width="28.28515625" style="1" customWidth="1"/>
    <col min="4" max="4" width="27.28515625" style="1" customWidth="1"/>
  </cols>
  <sheetData>
    <row r="2" spans="2:4" ht="19.5" customHeight="1" x14ac:dyDescent="0.25">
      <c r="B2" s="282" t="s">
        <v>1049</v>
      </c>
      <c r="C2" s="283"/>
      <c r="D2" s="284"/>
    </row>
    <row r="4" spans="2:4" x14ac:dyDescent="0.25">
      <c r="B4" s="90" t="s">
        <v>559</v>
      </c>
      <c r="C4" s="93" t="s">
        <v>1051</v>
      </c>
      <c r="D4" s="93" t="s">
        <v>1050</v>
      </c>
    </row>
    <row r="5" spans="2:4" x14ac:dyDescent="0.25">
      <c r="B5" s="88" t="s">
        <v>561</v>
      </c>
      <c r="C5" s="94"/>
      <c r="D5" s="105" t="s">
        <v>1300</v>
      </c>
    </row>
    <row r="6" spans="2:4" x14ac:dyDescent="0.25">
      <c r="B6" s="88" t="s">
        <v>562</v>
      </c>
      <c r="C6" s="94" t="s">
        <v>1300</v>
      </c>
      <c r="D6" s="105"/>
    </row>
    <row r="7" spans="2:4" x14ac:dyDescent="0.25">
      <c r="B7" s="88" t="s">
        <v>5</v>
      </c>
      <c r="C7" s="94" t="s">
        <v>1300</v>
      </c>
      <c r="D7" s="105"/>
    </row>
    <row r="8" spans="2:4" x14ac:dyDescent="0.25">
      <c r="B8" s="88" t="s">
        <v>897</v>
      </c>
      <c r="C8" s="94" t="s">
        <v>1300</v>
      </c>
      <c r="D8" s="105"/>
    </row>
    <row r="9" spans="2:4" x14ac:dyDescent="0.25">
      <c r="B9" s="88" t="s">
        <v>563</v>
      </c>
      <c r="C9" s="94" t="s">
        <v>1300</v>
      </c>
      <c r="D9" s="105"/>
    </row>
    <row r="10" spans="2:4" x14ac:dyDescent="0.25">
      <c r="B10" s="88" t="s">
        <v>564</v>
      </c>
      <c r="C10" s="94" t="s">
        <v>1300</v>
      </c>
      <c r="D10" s="105"/>
    </row>
    <row r="11" spans="2:4" x14ac:dyDescent="0.25">
      <c r="B11" s="88" t="s">
        <v>1094</v>
      </c>
      <c r="C11" s="94" t="s">
        <v>1300</v>
      </c>
      <c r="D11" s="105"/>
    </row>
    <row r="12" spans="2:4" x14ac:dyDescent="0.25">
      <c r="B12" s="88" t="s">
        <v>565</v>
      </c>
      <c r="C12" s="94" t="s">
        <v>1300</v>
      </c>
      <c r="D12" s="105"/>
    </row>
    <row r="13" spans="2:4" x14ac:dyDescent="0.25">
      <c r="B13" s="88" t="s">
        <v>566</v>
      </c>
      <c r="C13" s="94" t="s">
        <v>1300</v>
      </c>
      <c r="D13" s="105"/>
    </row>
    <row r="14" spans="2:4" x14ac:dyDescent="0.25">
      <c r="B14" s="88" t="s">
        <v>567</v>
      </c>
      <c r="C14" s="94"/>
      <c r="D14" s="105" t="s">
        <v>1300</v>
      </c>
    </row>
    <row r="15" spans="2:4" x14ac:dyDescent="0.25">
      <c r="B15" s="88" t="s">
        <v>568</v>
      </c>
      <c r="C15" s="94" t="s">
        <v>1300</v>
      </c>
      <c r="D15" s="105"/>
    </row>
    <row r="16" spans="2:4" x14ac:dyDescent="0.25">
      <c r="B16" s="88" t="s">
        <v>739</v>
      </c>
      <c r="C16" s="94" t="s">
        <v>1300</v>
      </c>
      <c r="D16" s="105"/>
    </row>
    <row r="17" spans="2:4" x14ac:dyDescent="0.25">
      <c r="B17" s="88" t="s">
        <v>225</v>
      </c>
      <c r="C17" s="94"/>
      <c r="D17" s="105" t="s">
        <v>1300</v>
      </c>
    </row>
    <row r="18" spans="2:4" x14ac:dyDescent="0.25">
      <c r="B18" s="88" t="s">
        <v>569</v>
      </c>
      <c r="C18" s="94"/>
      <c r="D18" s="105" t="s">
        <v>1300</v>
      </c>
    </row>
    <row r="19" spans="2:4" x14ac:dyDescent="0.25">
      <c r="B19" s="88" t="s">
        <v>570</v>
      </c>
      <c r="C19" s="94" t="s">
        <v>1300</v>
      </c>
      <c r="D19" s="105"/>
    </row>
    <row r="20" spans="2:4" x14ac:dyDescent="0.25">
      <c r="B20" s="88" t="s">
        <v>571</v>
      </c>
      <c r="C20" s="94" t="s">
        <v>1300</v>
      </c>
      <c r="D20" s="105"/>
    </row>
    <row r="21" spans="2:4" x14ac:dyDescent="0.25">
      <c r="B21" s="88" t="s">
        <v>572</v>
      </c>
      <c r="C21" s="94" t="s">
        <v>1300</v>
      </c>
      <c r="D21" s="105"/>
    </row>
    <row r="22" spans="2:4" x14ac:dyDescent="0.25">
      <c r="B22" s="88" t="s">
        <v>12</v>
      </c>
      <c r="C22" s="94" t="s">
        <v>1300</v>
      </c>
      <c r="D22" s="105"/>
    </row>
    <row r="23" spans="2:4" x14ac:dyDescent="0.25">
      <c r="B23" s="88" t="s">
        <v>588</v>
      </c>
      <c r="C23" s="94"/>
      <c r="D23" s="105" t="s">
        <v>1300</v>
      </c>
    </row>
    <row r="24" spans="2:4" x14ac:dyDescent="0.25">
      <c r="B24" s="88" t="s">
        <v>573</v>
      </c>
      <c r="C24" s="94" t="s">
        <v>1300</v>
      </c>
      <c r="D24" s="105"/>
    </row>
    <row r="25" spans="2:4" x14ac:dyDescent="0.25">
      <c r="B25" s="88" t="s">
        <v>747</v>
      </c>
      <c r="C25" s="94" t="s">
        <v>1300</v>
      </c>
      <c r="D25" s="105"/>
    </row>
    <row r="26" spans="2:4" x14ac:dyDescent="0.25">
      <c r="B26" s="88" t="s">
        <v>590</v>
      </c>
      <c r="C26" s="94" t="s">
        <v>1300</v>
      </c>
      <c r="D26" s="105"/>
    </row>
    <row r="27" spans="2:4" x14ac:dyDescent="0.25">
      <c r="B27" s="88" t="s">
        <v>574</v>
      </c>
      <c r="C27" s="94"/>
      <c r="D27" s="105" t="s">
        <v>1300</v>
      </c>
    </row>
    <row r="28" spans="2:4" x14ac:dyDescent="0.25">
      <c r="B28" s="88" t="s">
        <v>750</v>
      </c>
      <c r="C28" s="94" t="s">
        <v>1300</v>
      </c>
      <c r="D28" s="105"/>
    </row>
    <row r="29" spans="2:4" x14ac:dyDescent="0.25">
      <c r="B29" s="88" t="s">
        <v>17</v>
      </c>
      <c r="C29" s="94"/>
      <c r="D29" s="105" t="s">
        <v>1300</v>
      </c>
    </row>
    <row r="30" spans="2:4" x14ac:dyDescent="0.25">
      <c r="B30" s="88" t="s">
        <v>575</v>
      </c>
      <c r="C30" s="94" t="s">
        <v>1300</v>
      </c>
      <c r="D30" s="105"/>
    </row>
    <row r="31" spans="2:4" x14ac:dyDescent="0.25">
      <c r="B31" s="88" t="s">
        <v>576</v>
      </c>
      <c r="C31" s="94" t="s">
        <v>1300</v>
      </c>
      <c r="D31" s="105"/>
    </row>
    <row r="32" spans="2:4" x14ac:dyDescent="0.25">
      <c r="B32" s="88" t="s">
        <v>577</v>
      </c>
      <c r="C32" s="94" t="s">
        <v>1300</v>
      </c>
      <c r="D32" s="105"/>
    </row>
    <row r="33" spans="2:4" x14ac:dyDescent="0.25">
      <c r="B33" s="88" t="s">
        <v>18</v>
      </c>
      <c r="C33" s="94" t="s">
        <v>1300</v>
      </c>
      <c r="D33" s="105"/>
    </row>
    <row r="34" spans="2:4" x14ac:dyDescent="0.25">
      <c r="B34" s="88" t="s">
        <v>578</v>
      </c>
      <c r="C34" s="94" t="s">
        <v>1300</v>
      </c>
      <c r="D34" s="105"/>
    </row>
    <row r="35" spans="2:4" x14ac:dyDescent="0.25">
      <c r="B35" s="88" t="s">
        <v>579</v>
      </c>
      <c r="C35" s="94" t="s">
        <v>1300</v>
      </c>
      <c r="D35" s="105"/>
    </row>
    <row r="36" spans="2:4" x14ac:dyDescent="0.25">
      <c r="B36" s="95" t="s">
        <v>580</v>
      </c>
      <c r="C36" s="96">
        <v>24</v>
      </c>
      <c r="D36" s="120">
        <v>7</v>
      </c>
    </row>
    <row r="37" spans="2:4" x14ac:dyDescent="0.25">
      <c r="B37" s="5"/>
    </row>
    <row r="38" spans="2:4" x14ac:dyDescent="0.25">
      <c r="B38" s="90" t="s">
        <v>581</v>
      </c>
      <c r="C38" s="93" t="s">
        <v>1051</v>
      </c>
      <c r="D38" s="93" t="s">
        <v>1050</v>
      </c>
    </row>
    <row r="39" spans="2:4" x14ac:dyDescent="0.25">
      <c r="B39" s="88" t="s">
        <v>582</v>
      </c>
      <c r="C39" s="94"/>
      <c r="D39" s="105" t="s">
        <v>1300</v>
      </c>
    </row>
    <row r="40" spans="2:4" x14ac:dyDescent="0.25">
      <c r="B40" s="88" t="s">
        <v>583</v>
      </c>
      <c r="C40" s="94" t="s">
        <v>1300</v>
      </c>
      <c r="D40" s="105"/>
    </row>
    <row r="41" spans="2:4" x14ac:dyDescent="0.25">
      <c r="B41" s="88" t="s">
        <v>584</v>
      </c>
      <c r="C41" s="94" t="s">
        <v>1300</v>
      </c>
      <c r="D41" s="105"/>
    </row>
    <row r="42" spans="2:4" x14ac:dyDescent="0.25">
      <c r="B42" s="88" t="s">
        <v>585</v>
      </c>
      <c r="C42" s="94" t="s">
        <v>1300</v>
      </c>
      <c r="D42" s="105"/>
    </row>
    <row r="43" spans="2:4" x14ac:dyDescent="0.25">
      <c r="B43" s="88" t="s">
        <v>586</v>
      </c>
      <c r="C43" s="94"/>
      <c r="D43" s="105" t="s">
        <v>1300</v>
      </c>
    </row>
    <row r="44" spans="2:4" x14ac:dyDescent="0.25">
      <c r="B44" s="88" t="s">
        <v>733</v>
      </c>
      <c r="C44" s="94" t="s">
        <v>1300</v>
      </c>
      <c r="D44" s="105"/>
    </row>
    <row r="45" spans="2:4" x14ac:dyDescent="0.25">
      <c r="B45" s="88" t="s">
        <v>735</v>
      </c>
      <c r="C45" s="94"/>
      <c r="D45" s="105" t="s">
        <v>1300</v>
      </c>
    </row>
    <row r="46" spans="2:4" x14ac:dyDescent="0.25">
      <c r="B46" s="88" t="s">
        <v>587</v>
      </c>
      <c r="C46" s="94" t="s">
        <v>1300</v>
      </c>
      <c r="D46" s="105"/>
    </row>
    <row r="47" spans="2:4" x14ac:dyDescent="0.25">
      <c r="B47" s="88" t="s">
        <v>796</v>
      </c>
      <c r="C47" s="94" t="s">
        <v>1300</v>
      </c>
      <c r="D47" s="105"/>
    </row>
    <row r="48" spans="2:4" x14ac:dyDescent="0.25">
      <c r="B48" s="88" t="s">
        <v>589</v>
      </c>
      <c r="C48" s="94" t="s">
        <v>1300</v>
      </c>
      <c r="D48" s="105"/>
    </row>
    <row r="49" spans="2:4" x14ac:dyDescent="0.25">
      <c r="B49" s="88" t="s">
        <v>745</v>
      </c>
      <c r="C49" s="94" t="s">
        <v>1300</v>
      </c>
      <c r="D49" s="105"/>
    </row>
    <row r="50" spans="2:4" x14ac:dyDescent="0.25">
      <c r="B50" s="88" t="s">
        <v>591</v>
      </c>
      <c r="C50" s="94" t="s">
        <v>1300</v>
      </c>
      <c r="D50" s="105"/>
    </row>
    <row r="51" spans="2:4" x14ac:dyDescent="0.25">
      <c r="B51" s="88" t="s">
        <v>15</v>
      </c>
      <c r="C51" s="94" t="s">
        <v>1300</v>
      </c>
      <c r="D51" s="105"/>
    </row>
    <row r="52" spans="2:4" x14ac:dyDescent="0.25">
      <c r="B52" s="95" t="s">
        <v>580</v>
      </c>
      <c r="C52" s="96">
        <v>10</v>
      </c>
      <c r="D52" s="120">
        <v>3</v>
      </c>
    </row>
    <row r="53" spans="2:4" x14ac:dyDescent="0.25">
      <c r="B53" s="5"/>
    </row>
    <row r="54" spans="2:4" x14ac:dyDescent="0.25">
      <c r="B54" s="90" t="s">
        <v>896</v>
      </c>
      <c r="C54" s="93" t="s">
        <v>1051</v>
      </c>
      <c r="D54" s="93" t="s">
        <v>1050</v>
      </c>
    </row>
    <row r="55" spans="2:4" x14ac:dyDescent="0.25">
      <c r="B55" s="99" t="s">
        <v>592</v>
      </c>
      <c r="C55" s="94" t="s">
        <v>1300</v>
      </c>
      <c r="D55" s="105"/>
    </row>
    <row r="56" spans="2:4" x14ac:dyDescent="0.25">
      <c r="B56" s="88" t="s">
        <v>593</v>
      </c>
      <c r="C56" s="94" t="s">
        <v>1300</v>
      </c>
      <c r="D56" s="105"/>
    </row>
    <row r="57" spans="2:4" x14ac:dyDescent="0.25">
      <c r="B57" s="88" t="s">
        <v>594</v>
      </c>
      <c r="C57" s="94" t="s">
        <v>1300</v>
      </c>
      <c r="D57" s="105"/>
    </row>
    <row r="58" spans="2:4" x14ac:dyDescent="0.25">
      <c r="B58" s="95" t="s">
        <v>580</v>
      </c>
      <c r="C58" s="96">
        <v>3</v>
      </c>
      <c r="D58" s="96">
        <v>0</v>
      </c>
    </row>
    <row r="59" spans="2:4" x14ac:dyDescent="0.25">
      <c r="B59" s="5"/>
    </row>
    <row r="60" spans="2:4" x14ac:dyDescent="0.25">
      <c r="B60" s="90" t="s">
        <v>895</v>
      </c>
      <c r="C60" s="93" t="s">
        <v>1051</v>
      </c>
      <c r="D60" s="93" t="s">
        <v>1050</v>
      </c>
    </row>
    <row r="61" spans="2:4" x14ac:dyDescent="0.25">
      <c r="B61" s="88" t="s">
        <v>6</v>
      </c>
      <c r="C61" s="94" t="s">
        <v>1300</v>
      </c>
      <c r="D61" s="89"/>
    </row>
    <row r="62" spans="2:4" x14ac:dyDescent="0.25">
      <c r="B62" s="88" t="s">
        <v>595</v>
      </c>
      <c r="C62" s="94" t="s">
        <v>1300</v>
      </c>
      <c r="D62" s="89"/>
    </row>
    <row r="63" spans="2:4" x14ac:dyDescent="0.25">
      <c r="B63" s="88" t="s">
        <v>596</v>
      </c>
      <c r="C63" s="94" t="s">
        <v>1300</v>
      </c>
      <c r="D63" s="89"/>
    </row>
    <row r="64" spans="2:4" x14ac:dyDescent="0.25">
      <c r="B64" s="88" t="s">
        <v>597</v>
      </c>
      <c r="C64" s="94"/>
      <c r="D64" s="89" t="s">
        <v>1300</v>
      </c>
    </row>
    <row r="65" spans="2:4" x14ac:dyDescent="0.25">
      <c r="B65" s="88" t="s">
        <v>598</v>
      </c>
      <c r="C65" s="94" t="s">
        <v>1300</v>
      </c>
      <c r="D65" s="89"/>
    </row>
    <row r="66" spans="2:4" x14ac:dyDescent="0.25">
      <c r="B66" s="95" t="s">
        <v>580</v>
      </c>
      <c r="C66" s="96">
        <v>4</v>
      </c>
      <c r="D66" s="121">
        <v>1</v>
      </c>
    </row>
    <row r="67" spans="2:4" x14ac:dyDescent="0.25">
      <c r="B67" s="104"/>
      <c r="C67" s="108"/>
      <c r="D67" s="109"/>
    </row>
    <row r="68" spans="2:4" x14ac:dyDescent="0.25">
      <c r="B68" s="90" t="s">
        <v>894</v>
      </c>
      <c r="C68" s="93" t="s">
        <v>1051</v>
      </c>
      <c r="D68" s="93" t="s">
        <v>1050</v>
      </c>
    </row>
    <row r="69" spans="2:4" x14ac:dyDescent="0.25">
      <c r="B69" s="88" t="s">
        <v>599</v>
      </c>
      <c r="C69" s="94" t="s">
        <v>1300</v>
      </c>
      <c r="D69" s="105"/>
    </row>
    <row r="70" spans="2:4" x14ac:dyDescent="0.25">
      <c r="B70" s="88" t="s">
        <v>600</v>
      </c>
      <c r="C70" s="94" t="s">
        <v>1300</v>
      </c>
      <c r="D70" s="105"/>
    </row>
    <row r="71" spans="2:4" x14ac:dyDescent="0.25">
      <c r="B71" s="95" t="s">
        <v>580</v>
      </c>
      <c r="C71" s="96">
        <v>2</v>
      </c>
      <c r="D71" s="96">
        <v>0</v>
      </c>
    </row>
    <row r="72" spans="2:4" x14ac:dyDescent="0.25">
      <c r="B72" s="5"/>
    </row>
    <row r="73" spans="2:4" ht="15.75" x14ac:dyDescent="0.25">
      <c r="B73" s="103" t="s">
        <v>899</v>
      </c>
      <c r="C73" s="102">
        <f>SUM(C71,C66,C58,C52,C36)</f>
        <v>43</v>
      </c>
      <c r="D73" s="122">
        <f>SUM(D71,D66,D58,D52,D36)</f>
        <v>11</v>
      </c>
    </row>
    <row r="74" spans="2:4" ht="15.75" x14ac:dyDescent="0.25">
      <c r="B74" s="103" t="s">
        <v>1095</v>
      </c>
      <c r="C74" s="1">
        <f>C73+D73</f>
        <v>54</v>
      </c>
      <c r="D74" s="123">
        <f>D73/C74</f>
        <v>0.20370370370370369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73"/>
  <sheetViews>
    <sheetView workbookViewId="0">
      <selection activeCell="F33" sqref="F33"/>
    </sheetView>
  </sheetViews>
  <sheetFormatPr baseColWidth="10" defaultRowHeight="15" x14ac:dyDescent="0.25"/>
  <cols>
    <col min="2" max="2" width="36.85546875" customWidth="1"/>
    <col min="3" max="3" width="29.42578125" style="1" customWidth="1"/>
    <col min="4" max="4" width="32.42578125" style="1" customWidth="1"/>
  </cols>
  <sheetData>
    <row r="2" spans="2:4" ht="19.5" customHeight="1" x14ac:dyDescent="0.25">
      <c r="B2" s="282" t="s">
        <v>1049</v>
      </c>
      <c r="C2" s="283"/>
      <c r="D2" s="284"/>
    </row>
    <row r="4" spans="2:4" x14ac:dyDescent="0.25">
      <c r="B4" s="90" t="s">
        <v>559</v>
      </c>
      <c r="C4" s="93" t="s">
        <v>1051</v>
      </c>
      <c r="D4" s="93" t="s">
        <v>1050</v>
      </c>
    </row>
    <row r="5" spans="2:4" x14ac:dyDescent="0.25">
      <c r="B5" s="88" t="s">
        <v>561</v>
      </c>
      <c r="C5" s="94" t="s">
        <v>1300</v>
      </c>
      <c r="D5" s="105"/>
    </row>
    <row r="6" spans="2:4" x14ac:dyDescent="0.25">
      <c r="B6" s="88" t="s">
        <v>562</v>
      </c>
      <c r="C6" s="94" t="s">
        <v>1300</v>
      </c>
      <c r="D6" s="105"/>
    </row>
    <row r="7" spans="2:4" x14ac:dyDescent="0.25">
      <c r="B7" s="88" t="s">
        <v>5</v>
      </c>
      <c r="C7" s="94" t="s">
        <v>1300</v>
      </c>
      <c r="D7" s="105"/>
    </row>
    <row r="8" spans="2:4" x14ac:dyDescent="0.25">
      <c r="B8" s="88" t="s">
        <v>897</v>
      </c>
      <c r="C8" s="94" t="s">
        <v>1300</v>
      </c>
      <c r="D8" s="105"/>
    </row>
    <row r="9" spans="2:4" x14ac:dyDescent="0.25">
      <c r="B9" s="88" t="s">
        <v>563</v>
      </c>
      <c r="C9" s="94" t="s">
        <v>1300</v>
      </c>
      <c r="D9" s="105"/>
    </row>
    <row r="10" spans="2:4" x14ac:dyDescent="0.25">
      <c r="B10" s="88" t="s">
        <v>564</v>
      </c>
      <c r="C10" s="94" t="s">
        <v>1300</v>
      </c>
      <c r="D10" s="105"/>
    </row>
    <row r="11" spans="2:4" x14ac:dyDescent="0.25">
      <c r="B11" s="88" t="s">
        <v>565</v>
      </c>
      <c r="C11" s="94" t="s">
        <v>1300</v>
      </c>
      <c r="D11" s="105"/>
    </row>
    <row r="12" spans="2:4" x14ac:dyDescent="0.25">
      <c r="B12" s="88" t="s">
        <v>566</v>
      </c>
      <c r="C12" s="94" t="s">
        <v>1300</v>
      </c>
      <c r="D12" s="105"/>
    </row>
    <row r="13" spans="2:4" x14ac:dyDescent="0.25">
      <c r="B13" s="88" t="s">
        <v>567</v>
      </c>
      <c r="C13" s="94" t="s">
        <v>1300</v>
      </c>
      <c r="D13" s="105"/>
    </row>
    <row r="14" spans="2:4" x14ac:dyDescent="0.25">
      <c r="B14" s="88" t="s">
        <v>568</v>
      </c>
      <c r="C14" s="94" t="s">
        <v>1300</v>
      </c>
      <c r="D14" s="105"/>
    </row>
    <row r="15" spans="2:4" x14ac:dyDescent="0.25">
      <c r="B15" s="88" t="s">
        <v>739</v>
      </c>
      <c r="C15" s="94" t="s">
        <v>1300</v>
      </c>
      <c r="D15" s="105"/>
    </row>
    <row r="16" spans="2:4" x14ac:dyDescent="0.25">
      <c r="B16" s="88" t="s">
        <v>225</v>
      </c>
      <c r="C16" s="94" t="s">
        <v>1300</v>
      </c>
      <c r="D16" s="105"/>
    </row>
    <row r="17" spans="2:4" x14ac:dyDescent="0.25">
      <c r="B17" s="88" t="s">
        <v>569</v>
      </c>
      <c r="C17" s="94" t="s">
        <v>1300</v>
      </c>
      <c r="D17" s="105"/>
    </row>
    <row r="18" spans="2:4" x14ac:dyDescent="0.25">
      <c r="B18" s="88" t="s">
        <v>570</v>
      </c>
      <c r="C18" s="94" t="s">
        <v>1300</v>
      </c>
      <c r="D18" s="105"/>
    </row>
    <row r="19" spans="2:4" x14ac:dyDescent="0.25">
      <c r="B19" s="88" t="s">
        <v>571</v>
      </c>
      <c r="C19" s="94" t="s">
        <v>1300</v>
      </c>
      <c r="D19" s="105"/>
    </row>
    <row r="20" spans="2:4" x14ac:dyDescent="0.25">
      <c r="B20" s="88" t="s">
        <v>572</v>
      </c>
      <c r="C20" s="94" t="s">
        <v>1300</v>
      </c>
      <c r="D20" s="105"/>
    </row>
    <row r="21" spans="2:4" x14ac:dyDescent="0.25">
      <c r="B21" s="88" t="s">
        <v>12</v>
      </c>
      <c r="C21" s="94" t="s">
        <v>1300</v>
      </c>
      <c r="D21" s="105"/>
    </row>
    <row r="22" spans="2:4" x14ac:dyDescent="0.25">
      <c r="B22" s="88" t="s">
        <v>588</v>
      </c>
      <c r="C22" s="94" t="s">
        <v>1300</v>
      </c>
      <c r="D22" s="105"/>
    </row>
    <row r="23" spans="2:4" x14ac:dyDescent="0.25">
      <c r="B23" s="88" t="s">
        <v>573</v>
      </c>
      <c r="C23" s="94" t="s">
        <v>1300</v>
      </c>
      <c r="D23" s="105"/>
    </row>
    <row r="24" spans="2:4" x14ac:dyDescent="0.25">
      <c r="B24" s="88" t="s">
        <v>747</v>
      </c>
      <c r="C24" s="94" t="s">
        <v>1300</v>
      </c>
      <c r="D24" s="105"/>
    </row>
    <row r="25" spans="2:4" x14ac:dyDescent="0.25">
      <c r="B25" s="88" t="s">
        <v>590</v>
      </c>
      <c r="C25" s="94" t="s">
        <v>1300</v>
      </c>
      <c r="D25" s="105"/>
    </row>
    <row r="26" spans="2:4" x14ac:dyDescent="0.25">
      <c r="B26" s="88" t="s">
        <v>574</v>
      </c>
      <c r="C26" s="94"/>
      <c r="D26" s="105" t="s">
        <v>1300</v>
      </c>
    </row>
    <row r="27" spans="2:4" x14ac:dyDescent="0.25">
      <c r="B27" s="88" t="s">
        <v>750</v>
      </c>
      <c r="C27" s="94" t="s">
        <v>1300</v>
      </c>
      <c r="D27" s="105"/>
    </row>
    <row r="28" spans="2:4" x14ac:dyDescent="0.25">
      <c r="B28" s="88" t="s">
        <v>17</v>
      </c>
      <c r="C28" s="94" t="s">
        <v>1300</v>
      </c>
      <c r="D28" s="105"/>
    </row>
    <row r="29" spans="2:4" x14ac:dyDescent="0.25">
      <c r="B29" s="88" t="s">
        <v>575</v>
      </c>
      <c r="C29" s="94" t="s">
        <v>1300</v>
      </c>
      <c r="D29" s="105"/>
    </row>
    <row r="30" spans="2:4" x14ac:dyDescent="0.25">
      <c r="B30" s="88" t="s">
        <v>576</v>
      </c>
      <c r="C30" s="94" t="s">
        <v>1300</v>
      </c>
      <c r="D30" s="105"/>
    </row>
    <row r="31" spans="2:4" x14ac:dyDescent="0.25">
      <c r="B31" s="88" t="s">
        <v>577</v>
      </c>
      <c r="C31" s="94" t="s">
        <v>1300</v>
      </c>
      <c r="D31" s="105"/>
    </row>
    <row r="32" spans="2:4" x14ac:dyDescent="0.25">
      <c r="B32" s="88" t="s">
        <v>18</v>
      </c>
      <c r="C32" s="94" t="s">
        <v>1300</v>
      </c>
      <c r="D32" s="105"/>
    </row>
    <row r="33" spans="2:4" x14ac:dyDescent="0.25">
      <c r="B33" s="88" t="s">
        <v>578</v>
      </c>
      <c r="C33" s="94" t="s">
        <v>1300</v>
      </c>
      <c r="D33" s="105"/>
    </row>
    <row r="34" spans="2:4" x14ac:dyDescent="0.25">
      <c r="B34" s="88" t="s">
        <v>579</v>
      </c>
      <c r="C34" s="94" t="s">
        <v>1300</v>
      </c>
      <c r="D34" s="105"/>
    </row>
    <row r="35" spans="2:4" x14ac:dyDescent="0.25">
      <c r="B35" s="95" t="s">
        <v>580</v>
      </c>
      <c r="C35" s="96">
        <v>29</v>
      </c>
      <c r="D35" s="120">
        <v>1</v>
      </c>
    </row>
    <row r="36" spans="2:4" x14ac:dyDescent="0.25">
      <c r="B36" s="5"/>
    </row>
    <row r="37" spans="2:4" x14ac:dyDescent="0.25">
      <c r="B37" s="90" t="s">
        <v>581</v>
      </c>
      <c r="C37" s="93" t="s">
        <v>1051</v>
      </c>
      <c r="D37" s="93" t="s">
        <v>1050</v>
      </c>
    </row>
    <row r="38" spans="2:4" x14ac:dyDescent="0.25">
      <c r="B38" s="88" t="s">
        <v>582</v>
      </c>
      <c r="C38" s="94" t="s">
        <v>1300</v>
      </c>
      <c r="D38" s="105"/>
    </row>
    <row r="39" spans="2:4" x14ac:dyDescent="0.25">
      <c r="B39" s="88" t="s">
        <v>583</v>
      </c>
      <c r="C39" s="94" t="s">
        <v>1300</v>
      </c>
      <c r="D39" s="105"/>
    </row>
    <row r="40" spans="2:4" x14ac:dyDescent="0.25">
      <c r="B40" s="88" t="s">
        <v>584</v>
      </c>
      <c r="C40" s="94" t="s">
        <v>1300</v>
      </c>
      <c r="D40" s="105"/>
    </row>
    <row r="41" spans="2:4" x14ac:dyDescent="0.25">
      <c r="B41" s="88" t="s">
        <v>585</v>
      </c>
      <c r="C41" s="94"/>
      <c r="D41" s="105" t="s">
        <v>1300</v>
      </c>
    </row>
    <row r="42" spans="2:4" x14ac:dyDescent="0.25">
      <c r="B42" s="88" t="s">
        <v>586</v>
      </c>
      <c r="C42" s="94" t="s">
        <v>1300</v>
      </c>
      <c r="D42" s="105"/>
    </row>
    <row r="43" spans="2:4" x14ac:dyDescent="0.25">
      <c r="B43" s="88" t="s">
        <v>733</v>
      </c>
      <c r="C43" s="94" t="s">
        <v>1300</v>
      </c>
      <c r="D43" s="105"/>
    </row>
    <row r="44" spans="2:4" x14ac:dyDescent="0.25">
      <c r="B44" s="88" t="s">
        <v>735</v>
      </c>
      <c r="C44" s="94" t="s">
        <v>1300</v>
      </c>
      <c r="D44" s="105"/>
    </row>
    <row r="45" spans="2:4" x14ac:dyDescent="0.25">
      <c r="B45" s="88" t="s">
        <v>587</v>
      </c>
      <c r="C45" s="94"/>
      <c r="D45" s="105" t="s">
        <v>1300</v>
      </c>
    </row>
    <row r="46" spans="2:4" x14ac:dyDescent="0.25">
      <c r="B46" s="88" t="s">
        <v>796</v>
      </c>
      <c r="C46" s="94" t="s">
        <v>1300</v>
      </c>
      <c r="D46" s="105"/>
    </row>
    <row r="47" spans="2:4" x14ac:dyDescent="0.25">
      <c r="B47" s="88" t="s">
        <v>589</v>
      </c>
      <c r="C47" s="94" t="s">
        <v>1300</v>
      </c>
      <c r="D47" s="105"/>
    </row>
    <row r="48" spans="2:4" x14ac:dyDescent="0.25">
      <c r="B48" s="88" t="s">
        <v>745</v>
      </c>
      <c r="C48" s="94"/>
      <c r="D48" s="105" t="s">
        <v>1300</v>
      </c>
    </row>
    <row r="49" spans="2:4" x14ac:dyDescent="0.25">
      <c r="B49" s="88" t="s">
        <v>591</v>
      </c>
      <c r="C49" s="94" t="s">
        <v>1300</v>
      </c>
      <c r="D49" s="105"/>
    </row>
    <row r="50" spans="2:4" x14ac:dyDescent="0.25">
      <c r="B50" s="88" t="s">
        <v>15</v>
      </c>
      <c r="C50" s="94" t="s">
        <v>1300</v>
      </c>
      <c r="D50" s="105"/>
    </row>
    <row r="51" spans="2:4" x14ac:dyDescent="0.25">
      <c r="B51" s="95" t="s">
        <v>580</v>
      </c>
      <c r="C51" s="96">
        <v>10</v>
      </c>
      <c r="D51" s="120">
        <v>3</v>
      </c>
    </row>
    <row r="52" spans="2:4" x14ac:dyDescent="0.25">
      <c r="B52" s="5"/>
    </row>
    <row r="53" spans="2:4" x14ac:dyDescent="0.25">
      <c r="B53" s="90" t="s">
        <v>896</v>
      </c>
      <c r="C53" s="93" t="s">
        <v>1051</v>
      </c>
      <c r="D53" s="93" t="s">
        <v>1050</v>
      </c>
    </row>
    <row r="54" spans="2:4" x14ac:dyDescent="0.25">
      <c r="B54" s="99" t="s">
        <v>592</v>
      </c>
      <c r="C54" s="94" t="s">
        <v>1300</v>
      </c>
      <c r="D54" s="105"/>
    </row>
    <row r="55" spans="2:4" x14ac:dyDescent="0.25">
      <c r="B55" s="88" t="s">
        <v>593</v>
      </c>
      <c r="C55" s="94" t="s">
        <v>1300</v>
      </c>
      <c r="D55" s="105" t="s">
        <v>1300</v>
      </c>
    </row>
    <row r="56" spans="2:4" x14ac:dyDescent="0.25">
      <c r="B56" s="88" t="s">
        <v>594</v>
      </c>
      <c r="C56" s="94" t="s">
        <v>1300</v>
      </c>
      <c r="D56" s="105"/>
    </row>
    <row r="57" spans="2:4" x14ac:dyDescent="0.25">
      <c r="B57" s="95" t="s">
        <v>580</v>
      </c>
      <c r="C57" s="96">
        <v>3</v>
      </c>
      <c r="D57" s="96">
        <v>1</v>
      </c>
    </row>
    <row r="58" spans="2:4" x14ac:dyDescent="0.25">
      <c r="B58" s="5"/>
    </row>
    <row r="59" spans="2:4" x14ac:dyDescent="0.25">
      <c r="B59" s="90" t="s">
        <v>895</v>
      </c>
      <c r="C59" s="93" t="s">
        <v>1051</v>
      </c>
      <c r="D59" s="93" t="s">
        <v>1050</v>
      </c>
    </row>
    <row r="60" spans="2:4" x14ac:dyDescent="0.25">
      <c r="B60" s="88" t="s">
        <v>6</v>
      </c>
      <c r="C60" s="94"/>
      <c r="D60" s="89" t="s">
        <v>1300</v>
      </c>
    </row>
    <row r="61" spans="2:4" x14ac:dyDescent="0.25">
      <c r="B61" s="88" t="s">
        <v>595</v>
      </c>
      <c r="C61" s="94"/>
      <c r="D61" s="89" t="s">
        <v>1300</v>
      </c>
    </row>
    <row r="62" spans="2:4" x14ac:dyDescent="0.25">
      <c r="B62" s="88" t="s">
        <v>596</v>
      </c>
      <c r="C62" s="94" t="s">
        <v>1300</v>
      </c>
      <c r="D62" s="89"/>
    </row>
    <row r="63" spans="2:4" x14ac:dyDescent="0.25">
      <c r="B63" s="88" t="s">
        <v>597</v>
      </c>
      <c r="C63" s="94"/>
      <c r="D63" s="89" t="s">
        <v>1300</v>
      </c>
    </row>
    <row r="64" spans="2:4" x14ac:dyDescent="0.25">
      <c r="B64" s="88" t="s">
        <v>598</v>
      </c>
      <c r="C64" s="94" t="s">
        <v>1300</v>
      </c>
      <c r="D64" s="89"/>
    </row>
    <row r="65" spans="2:4" x14ac:dyDescent="0.25">
      <c r="B65" s="95" t="s">
        <v>580</v>
      </c>
      <c r="C65" s="96">
        <v>2</v>
      </c>
      <c r="D65" s="121">
        <v>3</v>
      </c>
    </row>
    <row r="66" spans="2:4" x14ac:dyDescent="0.25">
      <c r="B66" s="104"/>
      <c r="C66" s="108"/>
      <c r="D66" s="109"/>
    </row>
    <row r="67" spans="2:4" x14ac:dyDescent="0.25">
      <c r="B67" s="90" t="s">
        <v>894</v>
      </c>
      <c r="C67" s="93" t="s">
        <v>1051</v>
      </c>
      <c r="D67" s="93" t="s">
        <v>1050</v>
      </c>
    </row>
    <row r="68" spans="2:4" x14ac:dyDescent="0.25">
      <c r="B68" s="88" t="s">
        <v>599</v>
      </c>
      <c r="C68" s="94" t="s">
        <v>1300</v>
      </c>
      <c r="D68" s="105"/>
    </row>
    <row r="69" spans="2:4" x14ac:dyDescent="0.25">
      <c r="B69" s="88" t="s">
        <v>600</v>
      </c>
      <c r="C69" s="94"/>
      <c r="D69" s="105" t="s">
        <v>1300</v>
      </c>
    </row>
    <row r="70" spans="2:4" x14ac:dyDescent="0.25">
      <c r="B70" s="95" t="s">
        <v>580</v>
      </c>
      <c r="C70" s="96">
        <v>1</v>
      </c>
      <c r="D70" s="96">
        <v>1</v>
      </c>
    </row>
    <row r="71" spans="2:4" x14ac:dyDescent="0.25">
      <c r="B71" s="5"/>
    </row>
    <row r="72" spans="2:4" ht="15.75" x14ac:dyDescent="0.25">
      <c r="B72" s="103" t="s">
        <v>899</v>
      </c>
      <c r="C72" s="102">
        <f>SUM(C70,C65,C57,C51,C35)</f>
        <v>45</v>
      </c>
      <c r="D72" s="122">
        <f>SUM(D70,D65,D57,D51,D35)</f>
        <v>9</v>
      </c>
    </row>
    <row r="73" spans="2:4" ht="15.75" x14ac:dyDescent="0.25">
      <c r="B73" s="103" t="s">
        <v>1095</v>
      </c>
      <c r="C73" s="1">
        <f>C72+D72</f>
        <v>54</v>
      </c>
      <c r="D73" s="123">
        <f>D72/C73</f>
        <v>0.16666666666666666</v>
      </c>
    </row>
  </sheetData>
  <mergeCells count="1"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64"/>
  <sheetViews>
    <sheetView topLeftCell="A35" zoomScale="85" zoomScaleNormal="85" workbookViewId="0">
      <pane xSplit="2" topLeftCell="C1" activePane="topRight" state="frozen"/>
      <selection pane="topRight" sqref="A1:XFD1"/>
    </sheetView>
  </sheetViews>
  <sheetFormatPr baseColWidth="10" defaultColWidth="11.42578125" defaultRowHeight="15" x14ac:dyDescent="0.25"/>
  <cols>
    <col min="2" max="2" width="35.140625" customWidth="1"/>
    <col min="3" max="3" width="16.5703125" customWidth="1"/>
    <col min="4" max="4" width="28.85546875" customWidth="1"/>
    <col min="5" max="5" width="27.140625" customWidth="1"/>
    <col min="6" max="6" width="26.140625" customWidth="1"/>
    <col min="7" max="7" width="23.42578125" customWidth="1"/>
    <col min="8" max="8" width="30.85546875" customWidth="1"/>
    <col min="9" max="9" width="24.7109375" customWidth="1"/>
    <col min="10" max="11" width="19.7109375" customWidth="1"/>
    <col min="12" max="12" width="17.140625" customWidth="1"/>
  </cols>
  <sheetData>
    <row r="2" spans="2:12" s="24" customFormat="1" ht="23.25" customHeight="1" x14ac:dyDescent="0.25">
      <c r="B2" s="286" t="s">
        <v>625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</row>
    <row r="3" spans="2:12" ht="15.75" thickBot="1" x14ac:dyDescent="0.3"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</row>
    <row r="4" spans="2:12" ht="25.5" customHeight="1" thickBot="1" x14ac:dyDescent="0.3">
      <c r="B4" s="84" t="s">
        <v>0</v>
      </c>
      <c r="C4" s="84" t="s">
        <v>1</v>
      </c>
      <c r="D4" s="216" t="s">
        <v>724</v>
      </c>
      <c r="E4" s="87" t="s">
        <v>725</v>
      </c>
      <c r="F4" s="216" t="s">
        <v>757</v>
      </c>
      <c r="G4" s="85" t="s">
        <v>2</v>
      </c>
      <c r="H4" s="86" t="s">
        <v>794</v>
      </c>
      <c r="I4" s="215" t="s">
        <v>3</v>
      </c>
      <c r="J4" s="216" t="s">
        <v>1299</v>
      </c>
      <c r="K4" s="246" t="s">
        <v>4</v>
      </c>
      <c r="L4" s="259" t="s">
        <v>23</v>
      </c>
    </row>
    <row r="5" spans="2:12" x14ac:dyDescent="0.25">
      <c r="B5" s="30" t="s">
        <v>726</v>
      </c>
      <c r="C5" s="232">
        <v>15</v>
      </c>
      <c r="D5" s="8">
        <v>247</v>
      </c>
      <c r="E5" s="26">
        <v>63</v>
      </c>
      <c r="F5" s="223">
        <v>45</v>
      </c>
      <c r="G5" s="14">
        <v>10</v>
      </c>
      <c r="H5" s="219">
        <v>25</v>
      </c>
      <c r="I5" s="229">
        <v>1</v>
      </c>
      <c r="J5" s="257">
        <v>12</v>
      </c>
      <c r="K5" s="245">
        <v>0</v>
      </c>
      <c r="L5" s="258">
        <v>0</v>
      </c>
    </row>
    <row r="6" spans="2:12" x14ac:dyDescent="0.25">
      <c r="B6" s="30" t="s">
        <v>561</v>
      </c>
      <c r="C6" s="232">
        <v>38</v>
      </c>
      <c r="D6" s="11">
        <v>4878</v>
      </c>
      <c r="E6" s="26">
        <v>2266</v>
      </c>
      <c r="F6" s="223"/>
      <c r="G6" s="14"/>
      <c r="H6" s="220">
        <v>269</v>
      </c>
      <c r="I6" s="230">
        <v>101</v>
      </c>
      <c r="J6" s="247">
        <v>158</v>
      </c>
      <c r="K6" s="242">
        <v>84</v>
      </c>
      <c r="L6" s="248">
        <v>0.53</v>
      </c>
    </row>
    <row r="7" spans="2:12" x14ac:dyDescent="0.25">
      <c r="B7" s="30" t="s">
        <v>562</v>
      </c>
      <c r="C7" s="233">
        <v>6</v>
      </c>
      <c r="D7" s="126">
        <v>548</v>
      </c>
      <c r="E7" s="26">
        <v>235</v>
      </c>
      <c r="F7" s="223">
        <v>30</v>
      </c>
      <c r="G7" s="14">
        <v>11</v>
      </c>
      <c r="H7" s="220">
        <v>78</v>
      </c>
      <c r="I7" s="230">
        <v>19</v>
      </c>
      <c r="J7" s="247">
        <v>11</v>
      </c>
      <c r="K7" s="242">
        <v>3</v>
      </c>
      <c r="L7" s="248">
        <v>0.27</v>
      </c>
    </row>
    <row r="8" spans="2:12" x14ac:dyDescent="0.25">
      <c r="B8" s="16" t="s">
        <v>5</v>
      </c>
      <c r="C8" s="232">
        <v>27</v>
      </c>
      <c r="D8" s="11">
        <v>2470</v>
      </c>
      <c r="E8" s="26">
        <v>838</v>
      </c>
      <c r="F8" s="223">
        <v>102</v>
      </c>
      <c r="G8" s="14">
        <v>52</v>
      </c>
      <c r="H8" s="220">
        <v>38</v>
      </c>
      <c r="I8" s="230">
        <v>5</v>
      </c>
      <c r="J8" s="247">
        <v>43</v>
      </c>
      <c r="K8" s="242">
        <v>3</v>
      </c>
      <c r="L8" s="248">
        <v>7.0000000000000007E-2</v>
      </c>
    </row>
    <row r="9" spans="2:12" x14ac:dyDescent="0.25">
      <c r="B9" s="30" t="s">
        <v>727</v>
      </c>
      <c r="C9" s="232">
        <v>13</v>
      </c>
      <c r="D9" s="8">
        <v>443</v>
      </c>
      <c r="E9" s="26">
        <v>90</v>
      </c>
      <c r="F9" s="223">
        <v>60</v>
      </c>
      <c r="G9" s="14">
        <v>21</v>
      </c>
      <c r="H9" s="220">
        <v>27</v>
      </c>
      <c r="I9" s="230">
        <v>5</v>
      </c>
      <c r="J9" s="247">
        <v>50</v>
      </c>
      <c r="K9" s="242">
        <v>10</v>
      </c>
      <c r="L9" s="248">
        <v>0.2</v>
      </c>
    </row>
    <row r="10" spans="2:12" x14ac:dyDescent="0.25">
      <c r="B10" s="17" t="s">
        <v>626</v>
      </c>
      <c r="C10" s="234">
        <v>41</v>
      </c>
      <c r="D10" s="10">
        <v>6719</v>
      </c>
      <c r="E10" s="217">
        <v>1325</v>
      </c>
      <c r="F10" s="224">
        <v>412</v>
      </c>
      <c r="G10" s="13">
        <v>200</v>
      </c>
      <c r="H10" s="220">
        <v>284</v>
      </c>
      <c r="I10" s="230">
        <v>115</v>
      </c>
      <c r="J10" s="247">
        <v>135</v>
      </c>
      <c r="K10" s="242">
        <v>50</v>
      </c>
      <c r="L10" s="248">
        <v>0.37</v>
      </c>
    </row>
    <row r="11" spans="2:12" x14ac:dyDescent="0.25">
      <c r="B11" s="18" t="s">
        <v>728</v>
      </c>
      <c r="C11" s="234">
        <v>6</v>
      </c>
      <c r="D11" s="4">
        <v>324</v>
      </c>
      <c r="E11" s="27"/>
      <c r="F11" s="224" t="s">
        <v>13</v>
      </c>
      <c r="G11" s="13" t="s">
        <v>13</v>
      </c>
      <c r="H11" s="220" t="s">
        <v>13</v>
      </c>
      <c r="I11" s="230" t="s">
        <v>13</v>
      </c>
      <c r="J11" s="249" t="s">
        <v>13</v>
      </c>
      <c r="K11" s="244" t="s">
        <v>13</v>
      </c>
      <c r="L11" s="250" t="s">
        <v>13</v>
      </c>
    </row>
    <row r="12" spans="2:12" x14ac:dyDescent="0.25">
      <c r="B12" s="18" t="s">
        <v>729</v>
      </c>
      <c r="C12" s="234">
        <v>16</v>
      </c>
      <c r="D12" s="4">
        <v>717</v>
      </c>
      <c r="E12" s="27"/>
      <c r="F12" s="224" t="s">
        <v>13</v>
      </c>
      <c r="G12" s="13" t="s">
        <v>13</v>
      </c>
      <c r="H12" s="220" t="s">
        <v>13</v>
      </c>
      <c r="I12" s="230" t="s">
        <v>13</v>
      </c>
      <c r="J12" s="249" t="s">
        <v>13</v>
      </c>
      <c r="K12" s="244" t="s">
        <v>13</v>
      </c>
      <c r="L12" s="250" t="s">
        <v>13</v>
      </c>
    </row>
    <row r="13" spans="2:12" s="116" customFormat="1" x14ac:dyDescent="0.25">
      <c r="B13" s="38" t="s">
        <v>730</v>
      </c>
      <c r="C13" s="235">
        <v>3</v>
      </c>
      <c r="D13" s="118">
        <v>46</v>
      </c>
      <c r="E13" s="119">
        <v>14</v>
      </c>
      <c r="F13" s="225">
        <v>30</v>
      </c>
      <c r="G13" s="117">
        <v>10</v>
      </c>
      <c r="H13" s="221">
        <v>10</v>
      </c>
      <c r="I13" s="231">
        <v>0</v>
      </c>
      <c r="J13" s="251">
        <v>3</v>
      </c>
      <c r="K13" s="243">
        <v>0</v>
      </c>
      <c r="L13" s="252">
        <v>0</v>
      </c>
    </row>
    <row r="14" spans="2:12" x14ac:dyDescent="0.25">
      <c r="B14" s="17" t="s">
        <v>601</v>
      </c>
      <c r="C14" s="234">
        <v>24</v>
      </c>
      <c r="D14" s="10">
        <v>1050</v>
      </c>
      <c r="E14" s="27">
        <v>92</v>
      </c>
      <c r="F14" s="224">
        <v>253</v>
      </c>
      <c r="G14" s="13">
        <v>40</v>
      </c>
      <c r="H14" s="220">
        <v>67</v>
      </c>
      <c r="I14" s="230">
        <v>26</v>
      </c>
      <c r="J14" s="247">
        <v>50</v>
      </c>
      <c r="K14" s="242">
        <v>7</v>
      </c>
      <c r="L14" s="248">
        <v>0.14000000000000001</v>
      </c>
    </row>
    <row r="15" spans="2:12" x14ac:dyDescent="0.25">
      <c r="B15" s="38" t="s">
        <v>731</v>
      </c>
      <c r="C15" s="234">
        <v>27</v>
      </c>
      <c r="D15" s="10">
        <v>1122</v>
      </c>
      <c r="E15" s="27">
        <v>221</v>
      </c>
      <c r="F15" s="224">
        <v>1122</v>
      </c>
      <c r="G15" s="13">
        <v>221</v>
      </c>
      <c r="H15" s="220">
        <v>92</v>
      </c>
      <c r="I15" s="230">
        <v>13</v>
      </c>
      <c r="J15" s="247">
        <v>0</v>
      </c>
      <c r="K15" s="242">
        <v>0</v>
      </c>
      <c r="L15" s="248">
        <v>0</v>
      </c>
    </row>
    <row r="16" spans="2:12" x14ac:dyDescent="0.25">
      <c r="B16" s="38" t="s">
        <v>732</v>
      </c>
      <c r="C16" s="234">
        <v>23</v>
      </c>
      <c r="D16" s="4">
        <v>1675</v>
      </c>
      <c r="E16" s="27">
        <v>1471</v>
      </c>
      <c r="F16" s="224">
        <v>110</v>
      </c>
      <c r="G16" s="13">
        <v>80</v>
      </c>
      <c r="H16" s="220">
        <v>48</v>
      </c>
      <c r="I16" s="230">
        <v>32</v>
      </c>
      <c r="J16" s="249" t="s">
        <v>13</v>
      </c>
      <c r="K16" s="244" t="s">
        <v>13</v>
      </c>
      <c r="L16" s="250" t="s">
        <v>13</v>
      </c>
    </row>
    <row r="17" spans="2:12" x14ac:dyDescent="0.25">
      <c r="B17" s="18" t="s">
        <v>733</v>
      </c>
      <c r="C17" s="234">
        <v>15</v>
      </c>
      <c r="D17" s="4">
        <v>745</v>
      </c>
      <c r="E17" s="27"/>
      <c r="F17" s="224" t="s">
        <v>13</v>
      </c>
      <c r="G17" s="13" t="s">
        <v>13</v>
      </c>
      <c r="H17" s="220" t="s">
        <v>13</v>
      </c>
      <c r="I17" s="230" t="s">
        <v>13</v>
      </c>
      <c r="J17" s="249" t="s">
        <v>13</v>
      </c>
      <c r="K17" s="244" t="s">
        <v>13</v>
      </c>
      <c r="L17" s="250" t="s">
        <v>13</v>
      </c>
    </row>
    <row r="18" spans="2:12" x14ac:dyDescent="0.25">
      <c r="B18" s="19" t="s">
        <v>6</v>
      </c>
      <c r="C18" s="236">
        <v>63</v>
      </c>
      <c r="D18" s="9">
        <v>9877</v>
      </c>
      <c r="E18" s="218">
        <v>8906</v>
      </c>
      <c r="F18" s="226">
        <v>289</v>
      </c>
      <c r="G18" s="15">
        <v>239</v>
      </c>
      <c r="H18" s="222">
        <v>264</v>
      </c>
      <c r="I18" s="177">
        <v>118</v>
      </c>
      <c r="J18" s="249" t="s">
        <v>13</v>
      </c>
      <c r="K18" s="244" t="s">
        <v>13</v>
      </c>
      <c r="L18" s="250" t="s">
        <v>13</v>
      </c>
    </row>
    <row r="19" spans="2:12" x14ac:dyDescent="0.25">
      <c r="B19" s="25" t="s">
        <v>734</v>
      </c>
      <c r="C19" s="236">
        <v>83</v>
      </c>
      <c r="D19" s="9">
        <v>9232</v>
      </c>
      <c r="E19" s="28">
        <v>7837</v>
      </c>
      <c r="F19" s="226">
        <v>190</v>
      </c>
      <c r="G19" s="15">
        <v>150</v>
      </c>
      <c r="H19" s="222">
        <v>182</v>
      </c>
      <c r="I19" s="177">
        <v>138</v>
      </c>
      <c r="J19" s="249">
        <v>49</v>
      </c>
      <c r="K19" s="244">
        <v>20</v>
      </c>
      <c r="L19" s="253">
        <v>0.41</v>
      </c>
    </row>
    <row r="20" spans="2:12" x14ac:dyDescent="0.25">
      <c r="B20" s="19" t="s">
        <v>7</v>
      </c>
      <c r="C20" s="236">
        <v>15</v>
      </c>
      <c r="D20" s="2">
        <v>934</v>
      </c>
      <c r="E20" s="28">
        <v>258</v>
      </c>
      <c r="F20" s="226">
        <v>61</v>
      </c>
      <c r="G20" s="15">
        <v>24</v>
      </c>
      <c r="H20" s="222">
        <v>23</v>
      </c>
      <c r="I20" s="177">
        <v>2</v>
      </c>
      <c r="J20" s="249">
        <v>48</v>
      </c>
      <c r="K20" s="244">
        <v>13</v>
      </c>
      <c r="L20" s="253">
        <v>0.27</v>
      </c>
    </row>
    <row r="21" spans="2:12" x14ac:dyDescent="0.25">
      <c r="B21" s="20" t="s">
        <v>735</v>
      </c>
      <c r="C21" s="236"/>
      <c r="D21" s="2"/>
      <c r="E21" s="28"/>
      <c r="F21" s="226" t="s">
        <v>13</v>
      </c>
      <c r="G21" s="15" t="s">
        <v>13</v>
      </c>
      <c r="H21" s="222" t="s">
        <v>13</v>
      </c>
      <c r="I21" s="177" t="s">
        <v>13</v>
      </c>
      <c r="J21" s="249" t="s">
        <v>13</v>
      </c>
      <c r="K21" s="244" t="s">
        <v>13</v>
      </c>
      <c r="L21" s="250" t="s">
        <v>13</v>
      </c>
    </row>
    <row r="22" spans="2:12" x14ac:dyDescent="0.25">
      <c r="B22" s="19" t="s">
        <v>8</v>
      </c>
      <c r="C22" s="236" t="s">
        <v>9</v>
      </c>
      <c r="D22" s="9">
        <v>35202</v>
      </c>
      <c r="E22" s="218">
        <v>2262</v>
      </c>
      <c r="F22" s="226">
        <v>1201</v>
      </c>
      <c r="G22" s="15">
        <v>366</v>
      </c>
      <c r="H22" s="222">
        <v>362</v>
      </c>
      <c r="I22" s="177">
        <v>23</v>
      </c>
      <c r="J22" s="249">
        <v>234</v>
      </c>
      <c r="K22" s="244">
        <v>16</v>
      </c>
      <c r="L22" s="253">
        <v>7.0000000000000007E-2</v>
      </c>
    </row>
    <row r="23" spans="2:12" x14ac:dyDescent="0.25">
      <c r="B23" s="19" t="s">
        <v>736</v>
      </c>
      <c r="C23" s="236">
        <v>4</v>
      </c>
      <c r="D23" s="2">
        <v>388</v>
      </c>
      <c r="E23" s="28">
        <v>144</v>
      </c>
      <c r="F23" s="226" t="s">
        <v>13</v>
      </c>
      <c r="G23" s="15" t="s">
        <v>13</v>
      </c>
      <c r="H23" s="222">
        <v>23</v>
      </c>
      <c r="I23" s="177">
        <v>7</v>
      </c>
      <c r="J23" s="249">
        <v>17</v>
      </c>
      <c r="K23" s="244">
        <v>2</v>
      </c>
      <c r="L23" s="253">
        <v>0.12</v>
      </c>
    </row>
    <row r="24" spans="2:12" x14ac:dyDescent="0.25">
      <c r="B24" s="25" t="s">
        <v>737</v>
      </c>
      <c r="C24" s="236">
        <v>23</v>
      </c>
      <c r="D24" s="2">
        <v>2923</v>
      </c>
      <c r="E24" s="28">
        <v>2100</v>
      </c>
      <c r="F24" s="226">
        <v>320</v>
      </c>
      <c r="G24" s="15">
        <v>55</v>
      </c>
      <c r="H24" s="222">
        <v>140</v>
      </c>
      <c r="I24" s="177">
        <v>100</v>
      </c>
      <c r="J24" s="249">
        <v>70</v>
      </c>
      <c r="K24" s="244">
        <v>50</v>
      </c>
      <c r="L24" s="253">
        <v>0.71</v>
      </c>
    </row>
    <row r="25" spans="2:12" x14ac:dyDescent="0.25">
      <c r="B25" s="25" t="s">
        <v>738</v>
      </c>
      <c r="C25" s="236">
        <v>72</v>
      </c>
      <c r="D25" s="9">
        <v>1367</v>
      </c>
      <c r="E25" s="28">
        <v>410</v>
      </c>
      <c r="F25" s="226" t="s">
        <v>13</v>
      </c>
      <c r="G25" s="15" t="s">
        <v>13</v>
      </c>
      <c r="H25" s="222" t="s">
        <v>13</v>
      </c>
      <c r="I25" s="177" t="s">
        <v>13</v>
      </c>
      <c r="J25" s="249">
        <v>0</v>
      </c>
      <c r="K25" s="244">
        <v>0</v>
      </c>
      <c r="L25" s="253">
        <v>0</v>
      </c>
    </row>
    <row r="26" spans="2:12" x14ac:dyDescent="0.25">
      <c r="B26" s="25" t="s">
        <v>739</v>
      </c>
      <c r="C26" s="236">
        <v>29</v>
      </c>
      <c r="D26" s="9">
        <v>10633</v>
      </c>
      <c r="E26" s="218">
        <v>2638</v>
      </c>
      <c r="F26" s="226" t="s">
        <v>13</v>
      </c>
      <c r="G26" s="15" t="s">
        <v>13</v>
      </c>
      <c r="H26" s="222">
        <v>27</v>
      </c>
      <c r="I26" s="177">
        <v>2</v>
      </c>
      <c r="J26" s="249" t="s">
        <v>13</v>
      </c>
      <c r="K26" s="244" t="s">
        <v>13</v>
      </c>
      <c r="L26" s="250" t="s">
        <v>13</v>
      </c>
    </row>
    <row r="27" spans="2:12" x14ac:dyDescent="0.25">
      <c r="B27" s="19" t="s">
        <v>10</v>
      </c>
      <c r="C27" s="236">
        <v>28</v>
      </c>
      <c r="D27" s="9">
        <v>6516</v>
      </c>
      <c r="E27" s="218">
        <v>5562</v>
      </c>
      <c r="F27" s="226">
        <v>327</v>
      </c>
      <c r="G27" s="15">
        <v>256</v>
      </c>
      <c r="H27" s="222">
        <v>64</v>
      </c>
      <c r="I27" s="177">
        <v>49</v>
      </c>
      <c r="J27" s="249">
        <v>267</v>
      </c>
      <c r="K27" s="244">
        <v>200</v>
      </c>
      <c r="L27" s="253">
        <v>0.75</v>
      </c>
    </row>
    <row r="28" spans="2:12" x14ac:dyDescent="0.25">
      <c r="B28" s="20" t="s">
        <v>569</v>
      </c>
      <c r="C28" s="236"/>
      <c r="D28" s="9"/>
      <c r="E28" s="218"/>
      <c r="F28" s="226"/>
      <c r="G28" s="15"/>
      <c r="H28" s="222" t="s">
        <v>13</v>
      </c>
      <c r="I28" s="177" t="s">
        <v>13</v>
      </c>
      <c r="J28" s="249" t="s">
        <v>13</v>
      </c>
      <c r="K28" s="244" t="s">
        <v>13</v>
      </c>
      <c r="L28" s="250" t="s">
        <v>13</v>
      </c>
    </row>
    <row r="29" spans="2:12" x14ac:dyDescent="0.25">
      <c r="B29" s="19" t="s">
        <v>11</v>
      </c>
      <c r="C29" s="236">
        <v>29</v>
      </c>
      <c r="D29" s="9">
        <v>4112</v>
      </c>
      <c r="E29" s="218">
        <v>1039</v>
      </c>
      <c r="F29" s="226">
        <v>302</v>
      </c>
      <c r="G29" s="15">
        <v>136</v>
      </c>
      <c r="H29" s="222">
        <v>125</v>
      </c>
      <c r="I29" s="177">
        <v>48</v>
      </c>
      <c r="J29" s="249">
        <v>125</v>
      </c>
      <c r="K29" s="244">
        <v>50</v>
      </c>
      <c r="L29" s="253">
        <v>0.4</v>
      </c>
    </row>
    <row r="30" spans="2:12" x14ac:dyDescent="0.25">
      <c r="B30" s="25" t="s">
        <v>740</v>
      </c>
      <c r="C30" s="236">
        <v>24</v>
      </c>
      <c r="D30" s="2">
        <v>315</v>
      </c>
      <c r="E30" s="28">
        <v>79</v>
      </c>
      <c r="F30" s="226">
        <v>20</v>
      </c>
      <c r="G30" s="15">
        <v>10</v>
      </c>
      <c r="H30" s="222">
        <v>28</v>
      </c>
      <c r="I30" s="177">
        <v>7</v>
      </c>
      <c r="J30" s="249">
        <v>0</v>
      </c>
      <c r="K30" s="244">
        <v>0</v>
      </c>
      <c r="L30" s="253">
        <v>0</v>
      </c>
    </row>
    <row r="31" spans="2:12" x14ac:dyDescent="0.25">
      <c r="B31" s="19" t="s">
        <v>664</v>
      </c>
      <c r="C31" s="236">
        <v>5</v>
      </c>
      <c r="D31" s="2">
        <v>940</v>
      </c>
      <c r="E31" s="28">
        <v>116</v>
      </c>
      <c r="F31" s="226">
        <v>102</v>
      </c>
      <c r="G31" s="15">
        <v>38</v>
      </c>
      <c r="H31" s="222">
        <v>12</v>
      </c>
      <c r="I31" s="177">
        <v>3</v>
      </c>
      <c r="J31" s="249">
        <v>8</v>
      </c>
      <c r="K31" s="244">
        <v>0</v>
      </c>
      <c r="L31" s="253">
        <v>0</v>
      </c>
    </row>
    <row r="32" spans="2:12" x14ac:dyDescent="0.25">
      <c r="B32" s="25" t="s">
        <v>741</v>
      </c>
      <c r="C32" s="236">
        <v>89</v>
      </c>
      <c r="D32" s="9">
        <v>7431</v>
      </c>
      <c r="E32" s="218">
        <v>2177</v>
      </c>
      <c r="F32" s="226" t="s">
        <v>13</v>
      </c>
      <c r="G32" s="15" t="s">
        <v>13</v>
      </c>
      <c r="H32" s="222">
        <v>164</v>
      </c>
      <c r="I32" s="177">
        <v>10</v>
      </c>
      <c r="J32" s="249">
        <v>67</v>
      </c>
      <c r="K32" s="244">
        <v>9</v>
      </c>
      <c r="L32" s="253">
        <v>0.13</v>
      </c>
    </row>
    <row r="33" spans="2:12" x14ac:dyDescent="0.25">
      <c r="B33" s="19" t="s">
        <v>12</v>
      </c>
      <c r="C33" s="236" t="s">
        <v>756</v>
      </c>
      <c r="D33" s="9">
        <v>7708</v>
      </c>
      <c r="E33" s="218">
        <v>1792</v>
      </c>
      <c r="F33" s="226" t="s">
        <v>13</v>
      </c>
      <c r="G33" s="15" t="s">
        <v>13</v>
      </c>
      <c r="H33" s="222">
        <v>341</v>
      </c>
      <c r="I33" s="177">
        <v>102</v>
      </c>
      <c r="J33" s="249" t="s">
        <v>13</v>
      </c>
      <c r="K33" s="244" t="s">
        <v>13</v>
      </c>
      <c r="L33" s="250" t="s">
        <v>13</v>
      </c>
    </row>
    <row r="34" spans="2:12" x14ac:dyDescent="0.25">
      <c r="B34" s="19" t="s">
        <v>588</v>
      </c>
      <c r="C34" s="236">
        <v>10</v>
      </c>
      <c r="D34" s="9">
        <v>1045</v>
      </c>
      <c r="E34" s="28">
        <v>470</v>
      </c>
      <c r="F34" s="226">
        <v>64</v>
      </c>
      <c r="G34" s="15">
        <v>37</v>
      </c>
      <c r="H34" s="222">
        <v>26</v>
      </c>
      <c r="I34" s="177">
        <v>2</v>
      </c>
      <c r="J34" s="249">
        <v>50</v>
      </c>
      <c r="K34" s="244">
        <v>6</v>
      </c>
      <c r="L34" s="253">
        <v>0.12</v>
      </c>
    </row>
    <row r="35" spans="2:12" x14ac:dyDescent="0.25">
      <c r="B35" s="20" t="s">
        <v>742</v>
      </c>
      <c r="C35" s="236">
        <v>26</v>
      </c>
      <c r="D35" s="9">
        <v>6004</v>
      </c>
      <c r="E35" s="28"/>
      <c r="F35" s="226" t="s">
        <v>13</v>
      </c>
      <c r="G35" s="15" t="s">
        <v>13</v>
      </c>
      <c r="H35" s="222" t="s">
        <v>13</v>
      </c>
      <c r="I35" s="177" t="s">
        <v>13</v>
      </c>
      <c r="J35" s="249" t="s">
        <v>13</v>
      </c>
      <c r="K35" s="244" t="s">
        <v>13</v>
      </c>
      <c r="L35" s="250" t="s">
        <v>13</v>
      </c>
    </row>
    <row r="36" spans="2:12" x14ac:dyDescent="0.25">
      <c r="B36" s="19" t="s">
        <v>743</v>
      </c>
      <c r="C36" s="236">
        <v>55</v>
      </c>
      <c r="D36" s="9">
        <v>2605</v>
      </c>
      <c r="E36" s="28">
        <v>305</v>
      </c>
      <c r="F36" s="226" t="s">
        <v>13</v>
      </c>
      <c r="G36" s="15" t="s">
        <v>14</v>
      </c>
      <c r="H36" s="222">
        <v>29</v>
      </c>
      <c r="I36" s="177">
        <v>1</v>
      </c>
      <c r="J36" s="249">
        <v>6</v>
      </c>
      <c r="K36" s="244">
        <v>0</v>
      </c>
      <c r="L36" s="253">
        <v>0</v>
      </c>
    </row>
    <row r="37" spans="2:12" x14ac:dyDescent="0.25">
      <c r="B37" s="20" t="s">
        <v>744</v>
      </c>
      <c r="C37" s="236">
        <v>35</v>
      </c>
      <c r="D37" s="9">
        <v>2714</v>
      </c>
      <c r="E37" s="28"/>
      <c r="F37" s="226" t="s">
        <v>13</v>
      </c>
      <c r="G37" s="15" t="s">
        <v>13</v>
      </c>
      <c r="H37" s="222" t="s">
        <v>13</v>
      </c>
      <c r="I37" s="177" t="s">
        <v>13</v>
      </c>
      <c r="J37" s="249" t="s">
        <v>13</v>
      </c>
      <c r="K37" s="244" t="s">
        <v>13</v>
      </c>
      <c r="L37" s="250" t="s">
        <v>13</v>
      </c>
    </row>
    <row r="38" spans="2:12" x14ac:dyDescent="0.25">
      <c r="B38" s="25" t="s">
        <v>745</v>
      </c>
      <c r="C38" s="236">
        <v>39</v>
      </c>
      <c r="D38" s="9">
        <v>3537</v>
      </c>
      <c r="E38" s="28">
        <v>2339</v>
      </c>
      <c r="F38" s="226">
        <v>450</v>
      </c>
      <c r="G38" s="15">
        <v>219</v>
      </c>
      <c r="H38" s="222">
        <v>352</v>
      </c>
      <c r="I38" s="177">
        <v>158</v>
      </c>
      <c r="J38" s="249">
        <v>0</v>
      </c>
      <c r="K38" s="244">
        <v>0</v>
      </c>
      <c r="L38" s="253">
        <v>0</v>
      </c>
    </row>
    <row r="39" spans="2:12" x14ac:dyDescent="0.25">
      <c r="B39" s="20" t="s">
        <v>746</v>
      </c>
      <c r="C39" s="236">
        <v>8</v>
      </c>
      <c r="D39" s="9">
        <v>1800</v>
      </c>
      <c r="E39" s="28"/>
      <c r="F39" s="226"/>
      <c r="G39" s="15"/>
      <c r="H39" s="222" t="s">
        <v>13</v>
      </c>
      <c r="I39" s="177" t="s">
        <v>13</v>
      </c>
      <c r="J39" s="249" t="s">
        <v>13</v>
      </c>
      <c r="K39" s="244" t="s">
        <v>13</v>
      </c>
      <c r="L39" s="250" t="s">
        <v>13</v>
      </c>
    </row>
    <row r="40" spans="2:12" x14ac:dyDescent="0.25">
      <c r="B40" s="20" t="s">
        <v>747</v>
      </c>
      <c r="C40" s="236">
        <v>12</v>
      </c>
      <c r="D40" s="2">
        <v>807</v>
      </c>
      <c r="E40" s="28"/>
      <c r="F40" s="226"/>
      <c r="G40" s="15"/>
      <c r="H40" s="222" t="s">
        <v>13</v>
      </c>
      <c r="I40" s="177" t="s">
        <v>13</v>
      </c>
      <c r="J40" s="249" t="s">
        <v>13</v>
      </c>
      <c r="K40" s="244" t="s">
        <v>13</v>
      </c>
      <c r="L40" s="250" t="s">
        <v>13</v>
      </c>
    </row>
    <row r="41" spans="2:12" x14ac:dyDescent="0.25">
      <c r="B41" s="25" t="s">
        <v>748</v>
      </c>
      <c r="C41" s="236">
        <v>10</v>
      </c>
      <c r="D41" s="9">
        <v>1392</v>
      </c>
      <c r="E41" s="28">
        <v>151</v>
      </c>
      <c r="F41" s="226">
        <v>289</v>
      </c>
      <c r="G41" s="15">
        <v>86</v>
      </c>
      <c r="H41" s="222">
        <v>109</v>
      </c>
      <c r="I41" s="177">
        <v>8</v>
      </c>
      <c r="J41" s="249">
        <v>34</v>
      </c>
      <c r="K41" s="244">
        <v>0</v>
      </c>
      <c r="L41" s="253">
        <v>0</v>
      </c>
    </row>
    <row r="42" spans="2:12" x14ac:dyDescent="0.25">
      <c r="B42" s="25" t="s">
        <v>749</v>
      </c>
      <c r="C42" s="236">
        <v>3</v>
      </c>
      <c r="D42" s="2">
        <v>72</v>
      </c>
      <c r="E42" s="28">
        <v>30</v>
      </c>
      <c r="F42" s="226">
        <v>72</v>
      </c>
      <c r="G42" s="15">
        <v>30</v>
      </c>
      <c r="H42" s="222">
        <v>0</v>
      </c>
      <c r="I42" s="177">
        <v>0</v>
      </c>
      <c r="J42" s="249">
        <v>0</v>
      </c>
      <c r="K42" s="244">
        <v>0</v>
      </c>
      <c r="L42" s="253">
        <v>0</v>
      </c>
    </row>
    <row r="43" spans="2:12" x14ac:dyDescent="0.25">
      <c r="B43" s="20" t="s">
        <v>598</v>
      </c>
      <c r="C43" s="236">
        <v>8</v>
      </c>
      <c r="D43" s="2">
        <v>215</v>
      </c>
      <c r="E43" s="28"/>
      <c r="F43" s="226" t="s">
        <v>13</v>
      </c>
      <c r="G43" s="15" t="s">
        <v>13</v>
      </c>
      <c r="H43" s="222" t="s">
        <v>13</v>
      </c>
      <c r="I43" s="177" t="s">
        <v>13</v>
      </c>
      <c r="J43" s="249" t="s">
        <v>13</v>
      </c>
      <c r="K43" s="244" t="s">
        <v>13</v>
      </c>
      <c r="L43" s="250" t="s">
        <v>13</v>
      </c>
    </row>
    <row r="44" spans="2:12" x14ac:dyDescent="0.25">
      <c r="B44" s="19" t="s">
        <v>16</v>
      </c>
      <c r="C44" s="236">
        <v>4</v>
      </c>
      <c r="D44" s="2">
        <v>891</v>
      </c>
      <c r="E44" s="28">
        <v>823</v>
      </c>
      <c r="F44" s="226">
        <v>72</v>
      </c>
      <c r="G44" s="15">
        <v>64</v>
      </c>
      <c r="H44" s="222">
        <v>55</v>
      </c>
      <c r="I44" s="177">
        <v>46</v>
      </c>
      <c r="J44" s="249">
        <v>20</v>
      </c>
      <c r="K44" s="244">
        <v>14</v>
      </c>
      <c r="L44" s="253">
        <v>0.7</v>
      </c>
    </row>
    <row r="45" spans="2:12" x14ac:dyDescent="0.25">
      <c r="B45" s="19" t="s">
        <v>15</v>
      </c>
      <c r="C45" s="236">
        <v>3</v>
      </c>
      <c r="D45" s="9">
        <v>2933</v>
      </c>
      <c r="E45" s="28">
        <v>880</v>
      </c>
      <c r="F45" s="226">
        <v>59</v>
      </c>
      <c r="G45" s="15">
        <v>36</v>
      </c>
      <c r="H45" s="222">
        <v>13</v>
      </c>
      <c r="I45" s="177">
        <v>4</v>
      </c>
      <c r="J45" s="249">
        <v>51</v>
      </c>
      <c r="K45" s="244">
        <v>22</v>
      </c>
      <c r="L45" s="253">
        <v>0.43</v>
      </c>
    </row>
    <row r="46" spans="2:12" x14ac:dyDescent="0.25">
      <c r="B46" s="25" t="s">
        <v>750</v>
      </c>
      <c r="C46" s="236">
        <v>16</v>
      </c>
      <c r="D46" s="2">
        <v>218</v>
      </c>
      <c r="E46" s="28">
        <v>543</v>
      </c>
      <c r="F46" s="226">
        <v>50</v>
      </c>
      <c r="G46" s="15">
        <v>14</v>
      </c>
      <c r="H46" s="222">
        <v>54</v>
      </c>
      <c r="I46" s="177">
        <v>4</v>
      </c>
      <c r="J46" s="249">
        <v>4</v>
      </c>
      <c r="K46" s="244">
        <v>1</v>
      </c>
      <c r="L46" s="253">
        <v>0.25</v>
      </c>
    </row>
    <row r="47" spans="2:12" x14ac:dyDescent="0.25">
      <c r="B47" s="19" t="s">
        <v>17</v>
      </c>
      <c r="C47" s="236">
        <v>88</v>
      </c>
      <c r="D47" s="9">
        <v>19927</v>
      </c>
      <c r="E47" s="218">
        <v>5565</v>
      </c>
      <c r="F47" s="226">
        <v>124</v>
      </c>
      <c r="G47" s="15">
        <v>18</v>
      </c>
      <c r="H47" s="222">
        <v>268</v>
      </c>
      <c r="I47" s="177">
        <v>33</v>
      </c>
      <c r="J47" s="249">
        <v>216</v>
      </c>
      <c r="K47" s="244">
        <v>78</v>
      </c>
      <c r="L47" s="253">
        <v>0.46</v>
      </c>
    </row>
    <row r="48" spans="2:12" x14ac:dyDescent="0.25">
      <c r="B48" s="25" t="s">
        <v>751</v>
      </c>
      <c r="C48" s="237">
        <v>40</v>
      </c>
      <c r="D48" s="82">
        <v>2098</v>
      </c>
      <c r="E48" s="28">
        <v>228</v>
      </c>
      <c r="F48" s="227">
        <v>83</v>
      </c>
      <c r="G48" s="81">
        <v>25</v>
      </c>
      <c r="H48" s="222">
        <v>76</v>
      </c>
      <c r="I48" s="177">
        <v>2</v>
      </c>
      <c r="J48" s="249">
        <v>41</v>
      </c>
      <c r="K48" s="244">
        <v>16</v>
      </c>
      <c r="L48" s="253">
        <v>0.39</v>
      </c>
    </row>
    <row r="49" spans="2:12" x14ac:dyDescent="0.25">
      <c r="B49" s="20" t="s">
        <v>576</v>
      </c>
      <c r="C49" s="236">
        <v>16</v>
      </c>
      <c r="D49" s="9">
        <v>3454</v>
      </c>
      <c r="E49" s="28"/>
      <c r="F49" s="226" t="s">
        <v>13</v>
      </c>
      <c r="G49" s="15" t="s">
        <v>13</v>
      </c>
      <c r="H49" s="222" t="s">
        <v>13</v>
      </c>
      <c r="I49" s="177" t="s">
        <v>13</v>
      </c>
      <c r="J49" s="249" t="s">
        <v>13</v>
      </c>
      <c r="K49" s="244" t="s">
        <v>13</v>
      </c>
      <c r="L49" s="250" t="s">
        <v>13</v>
      </c>
    </row>
    <row r="50" spans="2:12" x14ac:dyDescent="0.25">
      <c r="B50" s="25" t="s">
        <v>752</v>
      </c>
      <c r="C50" s="236">
        <v>27</v>
      </c>
      <c r="D50" s="9">
        <v>1199</v>
      </c>
      <c r="E50" s="28">
        <v>372</v>
      </c>
      <c r="F50" s="226">
        <v>30</v>
      </c>
      <c r="G50" s="15">
        <v>13</v>
      </c>
      <c r="H50" s="222">
        <v>56</v>
      </c>
      <c r="I50" s="177">
        <v>6</v>
      </c>
      <c r="J50" s="249">
        <v>25</v>
      </c>
      <c r="K50" s="244">
        <v>4</v>
      </c>
      <c r="L50" s="253">
        <v>0.16</v>
      </c>
    </row>
    <row r="51" spans="2:12" x14ac:dyDescent="0.25">
      <c r="B51" s="19" t="s">
        <v>18</v>
      </c>
      <c r="C51" s="236">
        <v>11</v>
      </c>
      <c r="D51" s="12">
        <v>752</v>
      </c>
      <c r="E51" s="28">
        <v>139</v>
      </c>
      <c r="F51" s="226" t="s">
        <v>13</v>
      </c>
      <c r="G51" s="15" t="s">
        <v>13</v>
      </c>
      <c r="H51" s="222" t="s">
        <v>13</v>
      </c>
      <c r="I51" s="177" t="s">
        <v>13</v>
      </c>
      <c r="J51" s="249">
        <v>22</v>
      </c>
      <c r="K51" s="244">
        <v>4</v>
      </c>
      <c r="L51" s="253">
        <v>0.18</v>
      </c>
    </row>
    <row r="52" spans="2:12" x14ac:dyDescent="0.25">
      <c r="B52" s="19" t="s">
        <v>671</v>
      </c>
      <c r="C52" s="236" t="s">
        <v>722</v>
      </c>
      <c r="D52" s="9">
        <v>5850</v>
      </c>
      <c r="E52" s="218">
        <v>2319</v>
      </c>
      <c r="F52" s="226" t="s">
        <v>13</v>
      </c>
      <c r="G52" s="15" t="s">
        <v>13</v>
      </c>
      <c r="H52" s="222" t="s">
        <v>13</v>
      </c>
      <c r="I52" s="177" t="s">
        <v>13</v>
      </c>
      <c r="J52" s="249" t="s">
        <v>13</v>
      </c>
      <c r="K52" s="244" t="s">
        <v>13</v>
      </c>
      <c r="L52" s="250" t="s">
        <v>13</v>
      </c>
    </row>
    <row r="53" spans="2:12" x14ac:dyDescent="0.25">
      <c r="B53" s="20" t="s">
        <v>753</v>
      </c>
      <c r="C53" s="236">
        <v>179</v>
      </c>
      <c r="D53" s="9">
        <v>21500</v>
      </c>
      <c r="E53" s="28"/>
      <c r="F53" s="226" t="s">
        <v>13</v>
      </c>
      <c r="G53" s="15" t="s">
        <v>13</v>
      </c>
      <c r="H53" s="222" t="s">
        <v>13</v>
      </c>
      <c r="I53" s="177" t="s">
        <v>13</v>
      </c>
      <c r="J53" s="249" t="s">
        <v>13</v>
      </c>
      <c r="K53" s="244" t="s">
        <v>13</v>
      </c>
      <c r="L53" s="250" t="s">
        <v>13</v>
      </c>
    </row>
    <row r="54" spans="2:12" x14ac:dyDescent="0.25">
      <c r="B54" s="25" t="s">
        <v>754</v>
      </c>
      <c r="C54" s="236">
        <v>66</v>
      </c>
      <c r="D54" s="9">
        <v>12884</v>
      </c>
      <c r="E54" s="28">
        <v>7594</v>
      </c>
      <c r="F54" s="226">
        <v>807</v>
      </c>
      <c r="G54" s="15">
        <v>694</v>
      </c>
      <c r="H54" s="222">
        <v>1214</v>
      </c>
      <c r="I54" s="177">
        <v>694</v>
      </c>
      <c r="J54" s="249" t="s">
        <v>13</v>
      </c>
      <c r="K54" s="244" t="s">
        <v>13</v>
      </c>
      <c r="L54" s="250" t="s">
        <v>13</v>
      </c>
    </row>
    <row r="55" spans="2:12" x14ac:dyDescent="0.25">
      <c r="B55" s="20" t="s">
        <v>755</v>
      </c>
      <c r="C55" s="238">
        <v>7</v>
      </c>
      <c r="D55" s="12">
        <v>351</v>
      </c>
      <c r="E55" s="28"/>
      <c r="F55" s="226" t="s">
        <v>13</v>
      </c>
      <c r="G55" s="15" t="s">
        <v>13</v>
      </c>
      <c r="H55" s="222" t="s">
        <v>13</v>
      </c>
      <c r="I55" s="177" t="s">
        <v>13</v>
      </c>
      <c r="J55" s="249" t="s">
        <v>13</v>
      </c>
      <c r="K55" s="244" t="s">
        <v>13</v>
      </c>
      <c r="L55" s="250" t="s">
        <v>13</v>
      </c>
    </row>
    <row r="56" spans="2:12" ht="15.75" thickBot="1" x14ac:dyDescent="0.3">
      <c r="B56" s="21" t="s">
        <v>19</v>
      </c>
      <c r="C56" s="239">
        <v>21</v>
      </c>
      <c r="D56" s="23">
        <v>1812</v>
      </c>
      <c r="E56" s="29">
        <v>801</v>
      </c>
      <c r="F56" s="228">
        <v>94</v>
      </c>
      <c r="G56" s="22">
        <v>60</v>
      </c>
      <c r="H56" s="240">
        <v>74</v>
      </c>
      <c r="I56" s="241">
        <v>18</v>
      </c>
      <c r="J56" s="254">
        <v>26</v>
      </c>
      <c r="K56" s="255">
        <v>6</v>
      </c>
      <c r="L56" s="256">
        <v>0.23</v>
      </c>
    </row>
    <row r="57" spans="2:12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2:12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2">
    <mergeCell ref="B3:L3"/>
    <mergeCell ref="B2:L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1119"/>
  <sheetViews>
    <sheetView tabSelected="1" zoomScale="70" zoomScaleNormal="70" workbookViewId="0">
      <pane ySplit="2" topLeftCell="A56" activePane="bottomLeft" state="frozen"/>
      <selection pane="bottomLeft" activeCell="G3" sqref="G3:G1119"/>
    </sheetView>
  </sheetViews>
  <sheetFormatPr baseColWidth="10" defaultColWidth="9.140625" defaultRowHeight="15" x14ac:dyDescent="0.25"/>
  <cols>
    <col min="2" max="2" width="28.7109375" customWidth="1"/>
    <col min="3" max="3" width="52.7109375" customWidth="1"/>
    <col min="4" max="4" width="20.7109375" style="1" customWidth="1"/>
    <col min="5" max="5" width="21.7109375" customWidth="1"/>
    <col min="6" max="6" width="18.28515625" style="201" customWidth="1"/>
    <col min="7" max="7" width="29.28515625" customWidth="1"/>
    <col min="9" max="9" width="21" customWidth="1"/>
    <col min="10" max="10" width="12.85546875" customWidth="1"/>
    <col min="11" max="11" width="12.5703125" customWidth="1"/>
    <col min="14" max="14" width="9.7109375" customWidth="1"/>
    <col min="15" max="15" width="11.85546875" bestFit="1" customWidth="1"/>
  </cols>
  <sheetData>
    <row r="2" spans="2:11" ht="30" customHeight="1" x14ac:dyDescent="0.25">
      <c r="B2" s="145" t="s">
        <v>1285</v>
      </c>
      <c r="C2" s="145" t="s">
        <v>20</v>
      </c>
      <c r="D2" s="145" t="s">
        <v>1257</v>
      </c>
      <c r="E2" s="146" t="s">
        <v>663</v>
      </c>
      <c r="F2" s="145" t="s">
        <v>1286</v>
      </c>
      <c r="G2" s="145" t="s">
        <v>1287</v>
      </c>
    </row>
    <row r="3" spans="2:11" ht="15" customHeight="1" x14ac:dyDescent="0.25">
      <c r="B3" s="261" t="s">
        <v>774</v>
      </c>
      <c r="C3" s="155" t="s">
        <v>758</v>
      </c>
      <c r="D3" s="147" t="s">
        <v>1258</v>
      </c>
      <c r="E3" s="148">
        <v>2</v>
      </c>
      <c r="F3" s="149" t="s">
        <v>1288</v>
      </c>
      <c r="G3" s="150"/>
      <c r="I3" s="262" t="s">
        <v>773</v>
      </c>
      <c r="J3" s="263"/>
      <c r="K3" s="41" t="s">
        <v>23</v>
      </c>
    </row>
    <row r="4" spans="2:11" ht="15" customHeight="1" x14ac:dyDescent="0.25">
      <c r="B4" s="261" t="s">
        <v>774</v>
      </c>
      <c r="C4" s="155" t="s">
        <v>759</v>
      </c>
      <c r="D4" s="147" t="s">
        <v>1258</v>
      </c>
      <c r="E4" s="148">
        <v>5</v>
      </c>
      <c r="F4" s="149" t="s">
        <v>1289</v>
      </c>
      <c r="G4" s="151"/>
      <c r="I4" s="42" t="s">
        <v>25</v>
      </c>
      <c r="J4" s="43">
        <v>11</v>
      </c>
      <c r="K4" s="31">
        <v>0.73299999999999998</v>
      </c>
    </row>
    <row r="5" spans="2:11" ht="15" customHeight="1" x14ac:dyDescent="0.25">
      <c r="B5" s="261" t="s">
        <v>774</v>
      </c>
      <c r="C5" s="155" t="s">
        <v>760</v>
      </c>
      <c r="D5" s="147" t="s">
        <v>1258</v>
      </c>
      <c r="E5" s="148">
        <v>8</v>
      </c>
      <c r="F5" s="149" t="s">
        <v>1288</v>
      </c>
      <c r="G5" s="150"/>
      <c r="I5" s="40" t="s">
        <v>27</v>
      </c>
      <c r="J5" s="44">
        <v>3</v>
      </c>
      <c r="K5" s="32">
        <v>0.2</v>
      </c>
    </row>
    <row r="6" spans="2:11" ht="15" customHeight="1" x14ac:dyDescent="0.25">
      <c r="B6" s="261" t="s">
        <v>774</v>
      </c>
      <c r="C6" s="155" t="s">
        <v>761</v>
      </c>
      <c r="D6" s="147" t="s">
        <v>1258</v>
      </c>
      <c r="E6" s="148">
        <v>3</v>
      </c>
      <c r="F6" s="149" t="s">
        <v>1289</v>
      </c>
      <c r="G6" s="151"/>
      <c r="I6" s="2" t="s">
        <v>29</v>
      </c>
      <c r="J6" s="45">
        <v>1</v>
      </c>
      <c r="K6" s="33">
        <v>7.0000000000000007E-2</v>
      </c>
    </row>
    <row r="7" spans="2:11" ht="15" customHeight="1" x14ac:dyDescent="0.25">
      <c r="B7" s="261" t="s">
        <v>774</v>
      </c>
      <c r="C7" s="155" t="s">
        <v>762</v>
      </c>
      <c r="D7" s="147" t="s">
        <v>1258</v>
      </c>
      <c r="E7" s="148">
        <v>7</v>
      </c>
      <c r="F7" s="149" t="s">
        <v>1289</v>
      </c>
      <c r="G7" s="151"/>
      <c r="I7" s="46" t="s">
        <v>31</v>
      </c>
      <c r="J7" s="47">
        <f>SUM(J4:J6)</f>
        <v>15</v>
      </c>
      <c r="K7" s="48">
        <v>1</v>
      </c>
    </row>
    <row r="8" spans="2:11" ht="15" customHeight="1" x14ac:dyDescent="0.25">
      <c r="B8" s="261" t="s">
        <v>774</v>
      </c>
      <c r="C8" s="155" t="s">
        <v>763</v>
      </c>
      <c r="D8" s="147" t="s">
        <v>1258</v>
      </c>
      <c r="E8" s="148">
        <v>10</v>
      </c>
      <c r="F8" s="149"/>
      <c r="G8" s="151"/>
    </row>
    <row r="9" spans="2:11" ht="15" customHeight="1" x14ac:dyDescent="0.25">
      <c r="B9" s="261" t="s">
        <v>774</v>
      </c>
      <c r="C9" s="155" t="s">
        <v>764</v>
      </c>
      <c r="D9" s="147" t="s">
        <v>1258</v>
      </c>
      <c r="E9" s="148">
        <v>13</v>
      </c>
      <c r="F9" s="149" t="s">
        <v>1289</v>
      </c>
      <c r="G9" s="151"/>
    </row>
    <row r="10" spans="2:11" ht="15" customHeight="1" x14ac:dyDescent="0.25">
      <c r="B10" s="261" t="s">
        <v>774</v>
      </c>
      <c r="C10" s="155" t="s">
        <v>765</v>
      </c>
      <c r="D10" s="147" t="s">
        <v>1260</v>
      </c>
      <c r="E10" s="148">
        <v>2</v>
      </c>
      <c r="F10" s="149" t="s">
        <v>1289</v>
      </c>
      <c r="G10" s="151"/>
    </row>
    <row r="11" spans="2:11" ht="15" customHeight="1" x14ac:dyDescent="0.25">
      <c r="B11" s="261" t="s">
        <v>774</v>
      </c>
      <c r="C11" s="155" t="s">
        <v>766</v>
      </c>
      <c r="D11" s="147" t="s">
        <v>1259</v>
      </c>
      <c r="E11" s="148"/>
      <c r="F11" s="149" t="s">
        <v>1289</v>
      </c>
      <c r="G11" s="151"/>
    </row>
    <row r="12" spans="2:11" ht="15" customHeight="1" x14ac:dyDescent="0.25">
      <c r="B12" s="261" t="s">
        <v>774</v>
      </c>
      <c r="C12" s="155" t="s">
        <v>767</v>
      </c>
      <c r="D12" s="147" t="s">
        <v>1259</v>
      </c>
      <c r="E12" s="148">
        <v>1</v>
      </c>
      <c r="F12" s="149" t="s">
        <v>1289</v>
      </c>
      <c r="G12" s="151"/>
    </row>
    <row r="13" spans="2:11" ht="15" customHeight="1" x14ac:dyDescent="0.25">
      <c r="B13" s="261" t="s">
        <v>774</v>
      </c>
      <c r="C13" s="155" t="s">
        <v>768</v>
      </c>
      <c r="D13" s="147" t="s">
        <v>1258</v>
      </c>
      <c r="E13" s="148">
        <v>5</v>
      </c>
      <c r="F13" s="149" t="s">
        <v>1289</v>
      </c>
      <c r="G13" s="151"/>
    </row>
    <row r="14" spans="2:11" ht="15" customHeight="1" x14ac:dyDescent="0.25">
      <c r="B14" s="261" t="s">
        <v>774</v>
      </c>
      <c r="C14" s="155" t="s">
        <v>769</v>
      </c>
      <c r="D14" s="147" t="s">
        <v>1258</v>
      </c>
      <c r="E14" s="148">
        <v>4</v>
      </c>
      <c r="F14" s="149" t="s">
        <v>1289</v>
      </c>
      <c r="G14" s="151"/>
    </row>
    <row r="15" spans="2:11" ht="15" customHeight="1" x14ac:dyDescent="0.25">
      <c r="B15" s="261" t="s">
        <v>774</v>
      </c>
      <c r="C15" s="155" t="s">
        <v>770</v>
      </c>
      <c r="D15" s="147" t="s">
        <v>1258</v>
      </c>
      <c r="E15" s="148"/>
      <c r="F15" s="149" t="s">
        <v>1289</v>
      </c>
      <c r="G15" s="151"/>
    </row>
    <row r="16" spans="2:11" ht="15" customHeight="1" x14ac:dyDescent="0.25">
      <c r="B16" s="261" t="s">
        <v>774</v>
      </c>
      <c r="C16" s="155" t="s">
        <v>771</v>
      </c>
      <c r="D16" s="147" t="s">
        <v>1258</v>
      </c>
      <c r="E16" s="148">
        <v>3</v>
      </c>
      <c r="F16" s="149" t="s">
        <v>1289</v>
      </c>
      <c r="G16" s="151"/>
    </row>
    <row r="17" spans="2:11" ht="15" customHeight="1" x14ac:dyDescent="0.25">
      <c r="B17" s="261" t="s">
        <v>774</v>
      </c>
      <c r="C17" s="155" t="s">
        <v>772</v>
      </c>
      <c r="D17" s="147" t="s">
        <v>1258</v>
      </c>
      <c r="E17" s="148"/>
      <c r="F17" s="149" t="s">
        <v>1288</v>
      </c>
      <c r="G17" s="150"/>
    </row>
    <row r="18" spans="2:11" ht="15" customHeight="1" x14ac:dyDescent="0.25">
      <c r="B18" s="203" t="s">
        <v>561</v>
      </c>
      <c r="C18" s="139" t="s">
        <v>1055</v>
      </c>
      <c r="D18" s="65" t="s">
        <v>1259</v>
      </c>
      <c r="E18" s="65">
        <v>59</v>
      </c>
      <c r="F18" s="152" t="s">
        <v>1289</v>
      </c>
      <c r="G18" s="153"/>
    </row>
    <row r="19" spans="2:11" ht="15" customHeight="1" x14ac:dyDescent="0.25">
      <c r="B19" s="203" t="s">
        <v>561</v>
      </c>
      <c r="C19" s="139" t="s">
        <v>1056</v>
      </c>
      <c r="D19" s="65" t="s">
        <v>1258</v>
      </c>
      <c r="E19" s="65">
        <v>40</v>
      </c>
      <c r="F19" s="152" t="s">
        <v>1289</v>
      </c>
      <c r="G19" s="153"/>
      <c r="I19" s="262" t="s">
        <v>1093</v>
      </c>
      <c r="J19" s="263"/>
      <c r="K19" s="41" t="s">
        <v>23</v>
      </c>
    </row>
    <row r="20" spans="2:11" ht="15" customHeight="1" x14ac:dyDescent="0.25">
      <c r="B20" s="203" t="s">
        <v>561</v>
      </c>
      <c r="C20" s="139" t="s">
        <v>1057</v>
      </c>
      <c r="D20" s="65" t="s">
        <v>1258</v>
      </c>
      <c r="E20" s="65">
        <v>87</v>
      </c>
      <c r="F20" s="152" t="s">
        <v>1289</v>
      </c>
      <c r="G20" s="153"/>
      <c r="I20" s="42" t="s">
        <v>25</v>
      </c>
      <c r="J20" s="43">
        <v>29</v>
      </c>
      <c r="K20" s="31">
        <v>0.77</v>
      </c>
    </row>
    <row r="21" spans="2:11" ht="15" customHeight="1" x14ac:dyDescent="0.25">
      <c r="B21" s="203" t="s">
        <v>561</v>
      </c>
      <c r="C21" s="139" t="s">
        <v>1058</v>
      </c>
      <c r="D21" s="65" t="s">
        <v>1258</v>
      </c>
      <c r="E21" s="65">
        <v>45</v>
      </c>
      <c r="F21" s="152" t="s">
        <v>1289</v>
      </c>
      <c r="G21" s="153"/>
      <c r="I21" s="40" t="s">
        <v>27</v>
      </c>
      <c r="J21" s="44">
        <v>9</v>
      </c>
      <c r="K21" s="32">
        <v>0.23</v>
      </c>
    </row>
    <row r="22" spans="2:11" ht="15" customHeight="1" x14ac:dyDescent="0.25">
      <c r="B22" s="203" t="s">
        <v>561</v>
      </c>
      <c r="C22" s="139" t="s">
        <v>1059</v>
      </c>
      <c r="D22" s="65" t="s">
        <v>1258</v>
      </c>
      <c r="E22" s="65">
        <v>281</v>
      </c>
      <c r="F22" s="152" t="s">
        <v>1289</v>
      </c>
      <c r="G22" s="153"/>
      <c r="I22" s="46" t="s">
        <v>31</v>
      </c>
      <c r="J22" s="47">
        <f>SUM(J20:J21)</f>
        <v>38</v>
      </c>
      <c r="K22" s="48">
        <v>1</v>
      </c>
    </row>
    <row r="23" spans="2:11" ht="15" customHeight="1" x14ac:dyDescent="0.25">
      <c r="B23" s="203" t="s">
        <v>561</v>
      </c>
      <c r="C23" s="139" t="s">
        <v>1060</v>
      </c>
      <c r="D23" s="65" t="s">
        <v>1259</v>
      </c>
      <c r="E23" s="65">
        <v>85</v>
      </c>
      <c r="F23" s="152" t="s">
        <v>1289</v>
      </c>
      <c r="G23" s="153"/>
    </row>
    <row r="24" spans="2:11" ht="15" customHeight="1" x14ac:dyDescent="0.25">
      <c r="B24" s="203" t="s">
        <v>561</v>
      </c>
      <c r="C24" s="139" t="s">
        <v>1061</v>
      </c>
      <c r="D24" s="65" t="s">
        <v>1258</v>
      </c>
      <c r="E24" s="65">
        <v>66</v>
      </c>
      <c r="F24" s="152" t="s">
        <v>1288</v>
      </c>
      <c r="G24" s="154"/>
    </row>
    <row r="25" spans="2:11" ht="15" customHeight="1" x14ac:dyDescent="0.25">
      <c r="B25" s="203" t="s">
        <v>561</v>
      </c>
      <c r="C25" s="139" t="s">
        <v>1062</v>
      </c>
      <c r="D25" s="65" t="s">
        <v>1258</v>
      </c>
      <c r="E25" s="65">
        <v>18</v>
      </c>
      <c r="F25" s="152" t="s">
        <v>1288</v>
      </c>
      <c r="G25" s="154"/>
      <c r="I25" t="s">
        <v>1266</v>
      </c>
      <c r="J25" t="s">
        <v>1281</v>
      </c>
    </row>
    <row r="26" spans="2:11" ht="15" customHeight="1" x14ac:dyDescent="0.25">
      <c r="B26" s="203" t="s">
        <v>561</v>
      </c>
      <c r="C26" s="139" t="s">
        <v>1063</v>
      </c>
      <c r="D26" s="65" t="s">
        <v>1258</v>
      </c>
      <c r="E26" s="65">
        <v>1</v>
      </c>
      <c r="F26" s="152" t="s">
        <v>1289</v>
      </c>
      <c r="G26" s="153"/>
      <c r="I26" s="130" t="s">
        <v>1258</v>
      </c>
      <c r="J26">
        <v>1861</v>
      </c>
    </row>
    <row r="27" spans="2:11" ht="15" customHeight="1" x14ac:dyDescent="0.25">
      <c r="B27" s="203" t="s">
        <v>561</v>
      </c>
      <c r="C27" s="139" t="s">
        <v>1064</v>
      </c>
      <c r="D27" s="65" t="s">
        <v>1258</v>
      </c>
      <c r="E27" s="65">
        <v>70</v>
      </c>
      <c r="F27" s="152" t="s">
        <v>1288</v>
      </c>
      <c r="G27" s="154"/>
      <c r="I27" s="130" t="s">
        <v>1259</v>
      </c>
      <c r="J27">
        <v>302</v>
      </c>
    </row>
    <row r="28" spans="2:11" ht="15" customHeight="1" x14ac:dyDescent="0.25">
      <c r="B28" s="203" t="s">
        <v>561</v>
      </c>
      <c r="C28" s="139" t="s">
        <v>1065</v>
      </c>
      <c r="D28" s="65" t="s">
        <v>1258</v>
      </c>
      <c r="E28" s="65">
        <v>5</v>
      </c>
      <c r="F28" s="152" t="s">
        <v>1288</v>
      </c>
      <c r="G28" s="154"/>
      <c r="I28" s="130" t="s">
        <v>1260</v>
      </c>
      <c r="J28">
        <v>44</v>
      </c>
    </row>
    <row r="29" spans="2:11" ht="15" customHeight="1" x14ac:dyDescent="0.25">
      <c r="B29" s="203" t="s">
        <v>561</v>
      </c>
      <c r="C29" s="139" t="s">
        <v>1066</v>
      </c>
      <c r="D29" s="65" t="s">
        <v>1258</v>
      </c>
      <c r="E29" s="65">
        <v>58</v>
      </c>
      <c r="F29" s="152" t="s">
        <v>1288</v>
      </c>
      <c r="G29" s="154"/>
      <c r="I29" s="130" t="s">
        <v>1265</v>
      </c>
      <c r="J29">
        <v>2207</v>
      </c>
    </row>
    <row r="30" spans="2:11" ht="15" customHeight="1" x14ac:dyDescent="0.25">
      <c r="B30" s="203" t="s">
        <v>561</v>
      </c>
      <c r="C30" s="139" t="s">
        <v>1067</v>
      </c>
      <c r="D30" s="65" t="s">
        <v>1258</v>
      </c>
      <c r="E30" s="65">
        <v>58</v>
      </c>
      <c r="F30" s="152" t="s">
        <v>1289</v>
      </c>
      <c r="G30" s="153"/>
    </row>
    <row r="31" spans="2:11" ht="15" customHeight="1" x14ac:dyDescent="0.25">
      <c r="B31" s="203" t="s">
        <v>561</v>
      </c>
      <c r="C31" s="139" t="s">
        <v>1068</v>
      </c>
      <c r="D31" s="65" t="s">
        <v>1258</v>
      </c>
      <c r="E31" s="65">
        <v>38</v>
      </c>
      <c r="F31" s="152" t="s">
        <v>1288</v>
      </c>
      <c r="G31" s="154"/>
    </row>
    <row r="32" spans="2:11" ht="15" customHeight="1" x14ac:dyDescent="0.25">
      <c r="B32" s="203" t="s">
        <v>561</v>
      </c>
      <c r="C32" s="139" t="s">
        <v>1069</v>
      </c>
      <c r="D32" s="65" t="s">
        <v>1258</v>
      </c>
      <c r="E32" s="65">
        <v>121</v>
      </c>
      <c r="F32" s="152" t="s">
        <v>1289</v>
      </c>
      <c r="G32" s="153"/>
    </row>
    <row r="33" spans="2:7" ht="15" customHeight="1" x14ac:dyDescent="0.25">
      <c r="B33" s="203" t="s">
        <v>561</v>
      </c>
      <c r="C33" s="139" t="s">
        <v>1070</v>
      </c>
      <c r="D33" s="65" t="s">
        <v>1258</v>
      </c>
      <c r="E33" s="65">
        <v>132</v>
      </c>
      <c r="F33" s="152" t="s">
        <v>1289</v>
      </c>
      <c r="G33" s="153"/>
    </row>
    <row r="34" spans="2:7" ht="15" customHeight="1" x14ac:dyDescent="0.25">
      <c r="B34" s="203" t="s">
        <v>561</v>
      </c>
      <c r="C34" s="139" t="s">
        <v>1071</v>
      </c>
      <c r="D34" s="65" t="s">
        <v>1258</v>
      </c>
      <c r="E34" s="65">
        <v>98</v>
      </c>
      <c r="F34" s="152" t="s">
        <v>1288</v>
      </c>
      <c r="G34" s="154"/>
    </row>
    <row r="35" spans="2:7" ht="15" customHeight="1" x14ac:dyDescent="0.25">
      <c r="B35" s="203" t="s">
        <v>561</v>
      </c>
      <c r="C35" s="139" t="s">
        <v>1072</v>
      </c>
      <c r="D35" s="65" t="s">
        <v>1259</v>
      </c>
      <c r="E35" s="65">
        <v>80</v>
      </c>
      <c r="F35" s="152" t="s">
        <v>1289</v>
      </c>
      <c r="G35" s="153"/>
    </row>
    <row r="36" spans="2:7" ht="15" customHeight="1" x14ac:dyDescent="0.25">
      <c r="B36" s="203" t="s">
        <v>561</v>
      </c>
      <c r="C36" s="139" t="s">
        <v>1073</v>
      </c>
      <c r="D36" s="65" t="s">
        <v>1258</v>
      </c>
      <c r="E36" s="65">
        <v>82</v>
      </c>
      <c r="F36" s="152" t="s">
        <v>1289</v>
      </c>
      <c r="G36" s="153"/>
    </row>
    <row r="37" spans="2:7" ht="15" customHeight="1" x14ac:dyDescent="0.25">
      <c r="B37" s="203" t="s">
        <v>561</v>
      </c>
      <c r="C37" s="139" t="s">
        <v>1074</v>
      </c>
      <c r="D37" s="65" t="s">
        <v>1258</v>
      </c>
      <c r="E37" s="65">
        <v>198</v>
      </c>
      <c r="F37" s="152" t="s">
        <v>1289</v>
      </c>
      <c r="G37" s="153"/>
    </row>
    <row r="38" spans="2:7" ht="15" customHeight="1" x14ac:dyDescent="0.25">
      <c r="B38" s="203" t="s">
        <v>561</v>
      </c>
      <c r="C38" s="139" t="s">
        <v>1075</v>
      </c>
      <c r="D38" s="65" t="s">
        <v>1258</v>
      </c>
      <c r="E38" s="65">
        <v>0</v>
      </c>
      <c r="F38" s="152" t="s">
        <v>1289</v>
      </c>
      <c r="G38" s="153"/>
    </row>
    <row r="39" spans="2:7" ht="15" customHeight="1" x14ac:dyDescent="0.25">
      <c r="B39" s="203" t="s">
        <v>561</v>
      </c>
      <c r="C39" s="139" t="s">
        <v>1076</v>
      </c>
      <c r="D39" s="65" t="s">
        <v>1258</v>
      </c>
      <c r="E39" s="65">
        <v>27</v>
      </c>
      <c r="F39" s="152" t="s">
        <v>1288</v>
      </c>
      <c r="G39" s="154"/>
    </row>
    <row r="40" spans="2:7" ht="15" customHeight="1" x14ac:dyDescent="0.25">
      <c r="B40" s="203" t="s">
        <v>561</v>
      </c>
      <c r="C40" s="139" t="s">
        <v>1077</v>
      </c>
      <c r="D40" s="65" t="s">
        <v>1258</v>
      </c>
      <c r="E40" s="65">
        <v>125</v>
      </c>
      <c r="F40" s="152" t="s">
        <v>1289</v>
      </c>
      <c r="G40" s="153"/>
    </row>
    <row r="41" spans="2:7" ht="15" customHeight="1" x14ac:dyDescent="0.25">
      <c r="B41" s="203" t="s">
        <v>561</v>
      </c>
      <c r="C41" s="139" t="s">
        <v>1078</v>
      </c>
      <c r="D41" s="65" t="s">
        <v>1258</v>
      </c>
      <c r="E41" s="65">
        <v>100</v>
      </c>
      <c r="F41" s="152" t="s">
        <v>1289</v>
      </c>
      <c r="G41" s="153"/>
    </row>
    <row r="42" spans="2:7" ht="15" customHeight="1" x14ac:dyDescent="0.25">
      <c r="B42" s="203" t="s">
        <v>561</v>
      </c>
      <c r="C42" s="139" t="s">
        <v>1079</v>
      </c>
      <c r="D42" s="65" t="s">
        <v>1258</v>
      </c>
      <c r="E42" s="65">
        <v>99</v>
      </c>
      <c r="F42" s="152" t="s">
        <v>1289</v>
      </c>
      <c r="G42" s="153"/>
    </row>
    <row r="43" spans="2:7" ht="15" customHeight="1" x14ac:dyDescent="0.25">
      <c r="B43" s="203" t="s">
        <v>561</v>
      </c>
      <c r="C43" s="139" t="s">
        <v>1080</v>
      </c>
      <c r="D43" s="65" t="s">
        <v>1258</v>
      </c>
      <c r="E43" s="65">
        <v>3</v>
      </c>
      <c r="F43" s="152" t="s">
        <v>1288</v>
      </c>
      <c r="G43" s="154"/>
    </row>
    <row r="44" spans="2:7" ht="15" customHeight="1" x14ac:dyDescent="0.25">
      <c r="B44" s="203" t="s">
        <v>561</v>
      </c>
      <c r="C44" s="139" t="s">
        <v>1081</v>
      </c>
      <c r="D44" s="65" t="s">
        <v>1258</v>
      </c>
      <c r="E44" s="65">
        <v>15</v>
      </c>
      <c r="F44" s="152" t="s">
        <v>1289</v>
      </c>
      <c r="G44" s="153"/>
    </row>
    <row r="45" spans="2:7" ht="15" customHeight="1" x14ac:dyDescent="0.25">
      <c r="B45" s="203" t="s">
        <v>561</v>
      </c>
      <c r="C45" s="139" t="s">
        <v>1082</v>
      </c>
      <c r="D45" s="65" t="s">
        <v>1260</v>
      </c>
      <c r="E45" s="65">
        <v>16</v>
      </c>
      <c r="F45" s="152" t="s">
        <v>1289</v>
      </c>
      <c r="G45" s="153"/>
    </row>
    <row r="46" spans="2:7" ht="15" customHeight="1" x14ac:dyDescent="0.25">
      <c r="B46" s="203" t="s">
        <v>561</v>
      </c>
      <c r="C46" s="139" t="s">
        <v>1083</v>
      </c>
      <c r="D46" s="65" t="s">
        <v>1258</v>
      </c>
      <c r="E46" s="65">
        <v>11</v>
      </c>
      <c r="F46" s="152" t="s">
        <v>1289</v>
      </c>
      <c r="G46" s="153"/>
    </row>
    <row r="47" spans="2:7" ht="15" customHeight="1" x14ac:dyDescent="0.25">
      <c r="B47" s="203" t="s">
        <v>561</v>
      </c>
      <c r="C47" s="139" t="s">
        <v>1084</v>
      </c>
      <c r="D47" s="65" t="s">
        <v>1259</v>
      </c>
      <c r="E47" s="65">
        <v>13</v>
      </c>
      <c r="F47" s="152" t="s">
        <v>1289</v>
      </c>
      <c r="G47" s="153"/>
    </row>
    <row r="48" spans="2:7" ht="15" customHeight="1" x14ac:dyDescent="0.25">
      <c r="B48" s="203" t="s">
        <v>561</v>
      </c>
      <c r="C48" s="139" t="s">
        <v>1085</v>
      </c>
      <c r="D48" s="65" t="s">
        <v>1260</v>
      </c>
      <c r="E48" s="65">
        <v>28</v>
      </c>
      <c r="F48" s="152" t="s">
        <v>1289</v>
      </c>
      <c r="G48" s="153"/>
    </row>
    <row r="49" spans="2:11" ht="15" customHeight="1" x14ac:dyDescent="0.25">
      <c r="B49" s="203" t="s">
        <v>561</v>
      </c>
      <c r="C49" s="139" t="s">
        <v>1086</v>
      </c>
      <c r="D49" s="65" t="s">
        <v>1259</v>
      </c>
      <c r="E49" s="65">
        <v>77</v>
      </c>
      <c r="F49" s="152" t="s">
        <v>1289</v>
      </c>
      <c r="G49" s="153"/>
    </row>
    <row r="50" spans="2:11" ht="15" customHeight="1" x14ac:dyDescent="0.25">
      <c r="B50" s="203" t="s">
        <v>561</v>
      </c>
      <c r="C50" s="139" t="s">
        <v>1087</v>
      </c>
      <c r="D50" s="65" t="s">
        <v>1258</v>
      </c>
      <c r="E50" s="65">
        <v>5</v>
      </c>
      <c r="F50" s="152" t="s">
        <v>1289</v>
      </c>
      <c r="G50" s="153"/>
    </row>
    <row r="51" spans="2:11" ht="15" customHeight="1" x14ac:dyDescent="0.25">
      <c r="B51" s="203" t="s">
        <v>561</v>
      </c>
      <c r="C51" s="139" t="s">
        <v>1088</v>
      </c>
      <c r="D51" s="65" t="s">
        <v>1258</v>
      </c>
      <c r="E51" s="65">
        <v>76</v>
      </c>
      <c r="F51" s="152" t="s">
        <v>1289</v>
      </c>
      <c r="G51" s="153"/>
    </row>
    <row r="52" spans="2:11" ht="15" customHeight="1" x14ac:dyDescent="0.25">
      <c r="B52" s="203" t="s">
        <v>561</v>
      </c>
      <c r="C52" s="139" t="s">
        <v>1089</v>
      </c>
      <c r="D52" s="65" t="s">
        <v>1259</v>
      </c>
      <c r="E52" s="65">
        <v>46</v>
      </c>
      <c r="F52" s="152" t="s">
        <v>1289</v>
      </c>
      <c r="G52" s="153"/>
    </row>
    <row r="53" spans="2:11" ht="15" customHeight="1" x14ac:dyDescent="0.25">
      <c r="B53" s="203" t="s">
        <v>561</v>
      </c>
      <c r="C53" s="139" t="s">
        <v>1090</v>
      </c>
      <c r="D53" s="65" t="s">
        <v>1259</v>
      </c>
      <c r="E53" s="65">
        <v>1</v>
      </c>
      <c r="F53" s="152" t="s">
        <v>1289</v>
      </c>
      <c r="G53" s="153"/>
    </row>
    <row r="54" spans="2:11" ht="15" customHeight="1" x14ac:dyDescent="0.25">
      <c r="B54" s="203" t="s">
        <v>561</v>
      </c>
      <c r="C54" s="139" t="s">
        <v>1091</v>
      </c>
      <c r="D54" s="65" t="s">
        <v>1258</v>
      </c>
      <c r="E54" s="65">
        <v>2</v>
      </c>
      <c r="F54" s="152" t="s">
        <v>1289</v>
      </c>
      <c r="G54" s="153"/>
    </row>
    <row r="55" spans="2:11" ht="15" customHeight="1" x14ac:dyDescent="0.25">
      <c r="B55" s="203" t="s">
        <v>561</v>
      </c>
      <c r="C55" s="139" t="s">
        <v>1092</v>
      </c>
      <c r="D55" s="65" t="s">
        <v>1259</v>
      </c>
      <c r="E55" s="65">
        <v>0</v>
      </c>
      <c r="F55" s="152" t="s">
        <v>1289</v>
      </c>
      <c r="G55" s="153"/>
    </row>
    <row r="56" spans="2:11" ht="15" customHeight="1" x14ac:dyDescent="0.25">
      <c r="B56" s="204" t="s">
        <v>562</v>
      </c>
      <c r="C56" s="155" t="s">
        <v>304</v>
      </c>
      <c r="D56" s="147" t="s">
        <v>1258</v>
      </c>
      <c r="E56" s="148">
        <v>35</v>
      </c>
      <c r="F56" s="149" t="s">
        <v>1288</v>
      </c>
      <c r="G56" s="150"/>
      <c r="I56" s="262" t="s">
        <v>1179</v>
      </c>
      <c r="J56" s="263"/>
      <c r="K56" s="41" t="s">
        <v>23</v>
      </c>
    </row>
    <row r="57" spans="2:11" ht="15" customHeight="1" x14ac:dyDescent="0.25">
      <c r="B57" s="204" t="s">
        <v>562</v>
      </c>
      <c r="C57" s="155" t="s">
        <v>1174</v>
      </c>
      <c r="D57" s="147" t="s">
        <v>1258</v>
      </c>
      <c r="E57" s="148">
        <v>37</v>
      </c>
      <c r="F57" s="149" t="s">
        <v>1289</v>
      </c>
      <c r="G57" s="156"/>
      <c r="I57" s="42" t="s">
        <v>25</v>
      </c>
      <c r="J57" s="43">
        <v>4</v>
      </c>
      <c r="K57" s="31">
        <v>0.66</v>
      </c>
    </row>
    <row r="58" spans="2:11" ht="15" customHeight="1" x14ac:dyDescent="0.25">
      <c r="B58" s="204" t="s">
        <v>562</v>
      </c>
      <c r="C58" s="155" t="s">
        <v>1175</v>
      </c>
      <c r="D58" s="147" t="s">
        <v>1258</v>
      </c>
      <c r="E58" s="148">
        <v>25</v>
      </c>
      <c r="F58" s="149" t="s">
        <v>1289</v>
      </c>
      <c r="G58" s="156"/>
      <c r="I58" s="40" t="s">
        <v>27</v>
      </c>
      <c r="J58" s="44">
        <v>2</v>
      </c>
      <c r="K58" s="32">
        <v>0.33</v>
      </c>
    </row>
    <row r="59" spans="2:11" ht="15" customHeight="1" x14ac:dyDescent="0.25">
      <c r="B59" s="204" t="s">
        <v>562</v>
      </c>
      <c r="C59" s="155" t="s">
        <v>1176</v>
      </c>
      <c r="D59" s="147" t="s">
        <v>1258</v>
      </c>
      <c r="E59" s="148">
        <v>79</v>
      </c>
      <c r="F59" s="149" t="s">
        <v>1288</v>
      </c>
      <c r="G59" s="150"/>
      <c r="I59" s="46" t="s">
        <v>31</v>
      </c>
      <c r="J59" s="47">
        <f>SUM(J57:J58)</f>
        <v>6</v>
      </c>
      <c r="K59" s="48">
        <v>1</v>
      </c>
    </row>
    <row r="60" spans="2:11" ht="15" customHeight="1" x14ac:dyDescent="0.25">
      <c r="B60" s="204" t="s">
        <v>562</v>
      </c>
      <c r="C60" s="155" t="s">
        <v>1177</v>
      </c>
      <c r="D60" s="147" t="s">
        <v>1260</v>
      </c>
      <c r="E60" s="148">
        <v>54</v>
      </c>
      <c r="F60" s="149" t="s">
        <v>1289</v>
      </c>
      <c r="G60" s="156"/>
    </row>
    <row r="61" spans="2:11" ht="15" customHeight="1" x14ac:dyDescent="0.25">
      <c r="B61" s="204" t="s">
        <v>562</v>
      </c>
      <c r="C61" s="155" t="s">
        <v>1178</v>
      </c>
      <c r="D61" s="147" t="s">
        <v>1258</v>
      </c>
      <c r="E61" s="148">
        <v>5</v>
      </c>
      <c r="F61" s="149" t="s">
        <v>1289</v>
      </c>
      <c r="G61" s="156"/>
    </row>
    <row r="62" spans="2:11" x14ac:dyDescent="0.25">
      <c r="B62" s="203" t="s">
        <v>5</v>
      </c>
      <c r="C62" s="134" t="s">
        <v>21</v>
      </c>
      <c r="D62" s="49" t="s">
        <v>1258</v>
      </c>
      <c r="E62" s="157">
        <v>14</v>
      </c>
      <c r="F62" s="158" t="s">
        <v>1289</v>
      </c>
      <c r="G62" s="159"/>
      <c r="I62" s="263" t="s">
        <v>22</v>
      </c>
      <c r="J62" s="264"/>
      <c r="K62" s="41" t="s">
        <v>23</v>
      </c>
    </row>
    <row r="63" spans="2:11" x14ac:dyDescent="0.25">
      <c r="B63" s="203" t="s">
        <v>5</v>
      </c>
      <c r="C63" s="133" t="s">
        <v>24</v>
      </c>
      <c r="D63" s="39" t="s">
        <v>1259</v>
      </c>
      <c r="E63" s="115">
        <v>23</v>
      </c>
      <c r="F63" s="158" t="s">
        <v>1289</v>
      </c>
      <c r="G63" s="160"/>
      <c r="I63" s="42" t="s">
        <v>25</v>
      </c>
      <c r="J63" s="43">
        <v>21</v>
      </c>
      <c r="K63" s="31">
        <v>0.78</v>
      </c>
    </row>
    <row r="64" spans="2:11" x14ac:dyDescent="0.25">
      <c r="B64" s="203" t="s">
        <v>5</v>
      </c>
      <c r="C64" s="133" t="s">
        <v>26</v>
      </c>
      <c r="D64" s="39" t="s">
        <v>1258</v>
      </c>
      <c r="E64" s="115">
        <v>18</v>
      </c>
      <c r="F64" s="158" t="s">
        <v>1289</v>
      </c>
      <c r="G64" s="160"/>
      <c r="I64" s="40" t="s">
        <v>27</v>
      </c>
      <c r="J64" s="44">
        <v>5</v>
      </c>
      <c r="K64" s="32">
        <v>0.18</v>
      </c>
    </row>
    <row r="65" spans="2:11" x14ac:dyDescent="0.25">
      <c r="B65" s="203" t="s">
        <v>5</v>
      </c>
      <c r="C65" s="133" t="s">
        <v>28</v>
      </c>
      <c r="D65" s="39" t="s">
        <v>1258</v>
      </c>
      <c r="E65" s="115">
        <v>20</v>
      </c>
      <c r="F65" s="158" t="s">
        <v>1289</v>
      </c>
      <c r="G65" s="160"/>
      <c r="I65" s="2" t="s">
        <v>29</v>
      </c>
      <c r="J65" s="45">
        <v>1</v>
      </c>
      <c r="K65" s="33">
        <v>0.04</v>
      </c>
    </row>
    <row r="66" spans="2:11" x14ac:dyDescent="0.25">
      <c r="B66" s="203" t="s">
        <v>5</v>
      </c>
      <c r="C66" s="133" t="s">
        <v>30</v>
      </c>
      <c r="D66" s="39" t="s">
        <v>1258</v>
      </c>
      <c r="E66" s="115">
        <v>50</v>
      </c>
      <c r="F66" s="158" t="s">
        <v>1289</v>
      </c>
      <c r="G66" s="160"/>
      <c r="I66" s="46" t="s">
        <v>31</v>
      </c>
      <c r="J66" s="47">
        <f>SUM(J63:J65)</f>
        <v>27</v>
      </c>
      <c r="K66" s="34">
        <v>1</v>
      </c>
    </row>
    <row r="67" spans="2:11" x14ac:dyDescent="0.25">
      <c r="B67" s="203" t="s">
        <v>5</v>
      </c>
      <c r="C67" s="133" t="s">
        <v>32</v>
      </c>
      <c r="D67" s="39" t="s">
        <v>1258</v>
      </c>
      <c r="E67" s="115">
        <v>10</v>
      </c>
      <c r="F67" s="158" t="s">
        <v>1289</v>
      </c>
      <c r="G67" s="160"/>
    </row>
    <row r="68" spans="2:11" x14ac:dyDescent="0.25">
      <c r="B68" s="203" t="s">
        <v>5</v>
      </c>
      <c r="C68" s="133" t="s">
        <v>33</v>
      </c>
      <c r="D68" s="39" t="s">
        <v>1258</v>
      </c>
      <c r="E68" s="115">
        <v>34</v>
      </c>
      <c r="F68" s="158" t="s">
        <v>1289</v>
      </c>
      <c r="G68" s="160"/>
    </row>
    <row r="69" spans="2:11" x14ac:dyDescent="0.25">
      <c r="B69" s="203" t="s">
        <v>5</v>
      </c>
      <c r="C69" s="133" t="s">
        <v>34</v>
      </c>
      <c r="D69" s="39" t="s">
        <v>1258</v>
      </c>
      <c r="E69" s="115">
        <v>32</v>
      </c>
      <c r="F69" s="158" t="s">
        <v>1289</v>
      </c>
      <c r="G69" s="160"/>
      <c r="I69" t="s">
        <v>1266</v>
      </c>
      <c r="J69" t="s">
        <v>1280</v>
      </c>
    </row>
    <row r="70" spans="2:11" x14ac:dyDescent="0.25">
      <c r="B70" s="203" t="s">
        <v>5</v>
      </c>
      <c r="C70" s="133" t="s">
        <v>35</v>
      </c>
      <c r="D70" s="39" t="s">
        <v>1258</v>
      </c>
      <c r="E70" s="115">
        <v>85</v>
      </c>
      <c r="F70" s="158" t="s">
        <v>1289</v>
      </c>
      <c r="G70" s="160"/>
      <c r="I70" s="130" t="s">
        <v>1258</v>
      </c>
      <c r="J70">
        <v>730</v>
      </c>
    </row>
    <row r="71" spans="2:11" x14ac:dyDescent="0.25">
      <c r="B71" s="203" t="s">
        <v>5</v>
      </c>
      <c r="C71" s="133" t="s">
        <v>36</v>
      </c>
      <c r="D71" s="39" t="s">
        <v>1258</v>
      </c>
      <c r="E71" s="115">
        <v>66</v>
      </c>
      <c r="F71" s="158"/>
      <c r="G71" s="160"/>
      <c r="I71" s="130" t="s">
        <v>1259</v>
      </c>
      <c r="J71">
        <v>94</v>
      </c>
    </row>
    <row r="72" spans="2:11" x14ac:dyDescent="0.25">
      <c r="B72" s="203" t="s">
        <v>5</v>
      </c>
      <c r="C72" s="133" t="s">
        <v>37</v>
      </c>
      <c r="D72" s="39" t="s">
        <v>1259</v>
      </c>
      <c r="E72" s="115">
        <v>23</v>
      </c>
      <c r="F72" s="158" t="s">
        <v>1289</v>
      </c>
      <c r="G72" s="160"/>
      <c r="I72" s="130" t="s">
        <v>1265</v>
      </c>
      <c r="J72">
        <v>824</v>
      </c>
    </row>
    <row r="73" spans="2:11" x14ac:dyDescent="0.25">
      <c r="B73" s="203" t="s">
        <v>5</v>
      </c>
      <c r="C73" s="133" t="s">
        <v>38</v>
      </c>
      <c r="D73" s="39" t="s">
        <v>1258</v>
      </c>
      <c r="E73" s="115">
        <v>56</v>
      </c>
      <c r="F73" s="158" t="s">
        <v>1289</v>
      </c>
      <c r="G73" s="160"/>
    </row>
    <row r="74" spans="2:11" x14ac:dyDescent="0.25">
      <c r="B74" s="203" t="s">
        <v>5</v>
      </c>
      <c r="C74" s="133" t="s">
        <v>39</v>
      </c>
      <c r="D74" s="39" t="s">
        <v>1258</v>
      </c>
      <c r="E74" s="115">
        <v>48</v>
      </c>
      <c r="F74" s="158" t="s">
        <v>1288</v>
      </c>
      <c r="G74" s="160"/>
    </row>
    <row r="75" spans="2:11" x14ac:dyDescent="0.25">
      <c r="B75" s="203" t="s">
        <v>5</v>
      </c>
      <c r="C75" s="133" t="s">
        <v>40</v>
      </c>
      <c r="D75" s="39" t="s">
        <v>1258</v>
      </c>
      <c r="E75" s="115">
        <v>15</v>
      </c>
      <c r="F75" s="158" t="s">
        <v>1288</v>
      </c>
      <c r="G75" s="160"/>
    </row>
    <row r="76" spans="2:11" x14ac:dyDescent="0.25">
      <c r="B76" s="203" t="s">
        <v>5</v>
      </c>
      <c r="C76" s="133" t="s">
        <v>41</v>
      </c>
      <c r="D76" s="39" t="s">
        <v>1259</v>
      </c>
      <c r="E76" s="115">
        <v>37</v>
      </c>
      <c r="F76" s="158" t="s">
        <v>1289</v>
      </c>
      <c r="G76" s="160"/>
    </row>
    <row r="77" spans="2:11" x14ac:dyDescent="0.25">
      <c r="B77" s="203" t="s">
        <v>5</v>
      </c>
      <c r="C77" s="133" t="s">
        <v>42</v>
      </c>
      <c r="D77" s="39" t="s">
        <v>1258</v>
      </c>
      <c r="E77" s="115">
        <v>24</v>
      </c>
      <c r="F77" s="158" t="s">
        <v>1289</v>
      </c>
      <c r="G77" s="160"/>
    </row>
    <row r="78" spans="2:11" x14ac:dyDescent="0.25">
      <c r="B78" s="203" t="s">
        <v>5</v>
      </c>
      <c r="C78" s="133" t="s">
        <v>43</v>
      </c>
      <c r="D78" s="39" t="s">
        <v>1258</v>
      </c>
      <c r="E78" s="115">
        <v>41</v>
      </c>
      <c r="F78" s="158" t="s">
        <v>1288</v>
      </c>
      <c r="G78" s="160"/>
    </row>
    <row r="79" spans="2:11" x14ac:dyDescent="0.25">
      <c r="B79" s="203" t="s">
        <v>5</v>
      </c>
      <c r="C79" s="133" t="s">
        <v>44</v>
      </c>
      <c r="D79" s="39" t="s">
        <v>1258</v>
      </c>
      <c r="E79" s="115">
        <v>28</v>
      </c>
      <c r="F79" s="158" t="s">
        <v>1288</v>
      </c>
      <c r="G79" s="160"/>
    </row>
    <row r="80" spans="2:11" x14ac:dyDescent="0.25">
      <c r="B80" s="203" t="s">
        <v>5</v>
      </c>
      <c r="C80" s="133" t="s">
        <v>45</v>
      </c>
      <c r="D80" s="39" t="s">
        <v>1258</v>
      </c>
      <c r="E80" s="115">
        <v>28</v>
      </c>
      <c r="F80" s="158" t="s">
        <v>1288</v>
      </c>
      <c r="G80" s="160"/>
    </row>
    <row r="81" spans="2:11" x14ac:dyDescent="0.25">
      <c r="B81" s="203" t="s">
        <v>5</v>
      </c>
      <c r="C81" s="133" t="s">
        <v>46</v>
      </c>
      <c r="D81" s="39" t="s">
        <v>1258</v>
      </c>
      <c r="E81" s="115">
        <v>24</v>
      </c>
      <c r="F81" s="158" t="s">
        <v>1289</v>
      </c>
      <c r="G81" s="160"/>
    </row>
    <row r="82" spans="2:11" x14ac:dyDescent="0.25">
      <c r="B82" s="203" t="s">
        <v>5</v>
      </c>
      <c r="C82" s="133" t="s">
        <v>47</v>
      </c>
      <c r="D82" s="39" t="s">
        <v>1258</v>
      </c>
      <c r="E82" s="115">
        <v>35</v>
      </c>
      <c r="F82" s="158" t="s">
        <v>1289</v>
      </c>
      <c r="G82" s="160"/>
    </row>
    <row r="83" spans="2:11" x14ac:dyDescent="0.25">
      <c r="B83" s="203" t="s">
        <v>5</v>
      </c>
      <c r="C83" s="133" t="s">
        <v>48</v>
      </c>
      <c r="D83" s="39" t="s">
        <v>1258</v>
      </c>
      <c r="E83" s="115">
        <v>10</v>
      </c>
      <c r="F83" s="158" t="s">
        <v>1289</v>
      </c>
      <c r="G83" s="160"/>
    </row>
    <row r="84" spans="2:11" x14ac:dyDescent="0.25">
      <c r="B84" s="203" t="s">
        <v>5</v>
      </c>
      <c r="C84" s="133" t="s">
        <v>49</v>
      </c>
      <c r="D84" s="39" t="s">
        <v>1258</v>
      </c>
      <c r="E84" s="115">
        <v>1</v>
      </c>
      <c r="F84" s="158" t="s">
        <v>1289</v>
      </c>
      <c r="G84" s="160"/>
    </row>
    <row r="85" spans="2:11" x14ac:dyDescent="0.25">
      <c r="B85" s="203" t="s">
        <v>5</v>
      </c>
      <c r="C85" s="135" t="s">
        <v>50</v>
      </c>
      <c r="D85" s="50" t="s">
        <v>1258</v>
      </c>
      <c r="E85" s="161">
        <v>34</v>
      </c>
      <c r="F85" s="158" t="s">
        <v>1289</v>
      </c>
      <c r="G85" s="162"/>
    </row>
    <row r="86" spans="2:11" x14ac:dyDescent="0.25">
      <c r="B86" s="203" t="s">
        <v>5</v>
      </c>
      <c r="C86" s="136" t="s">
        <v>51</v>
      </c>
      <c r="D86" s="51" t="s">
        <v>1259</v>
      </c>
      <c r="E86" s="163">
        <v>11</v>
      </c>
      <c r="F86" s="158" t="s">
        <v>1289</v>
      </c>
      <c r="G86" s="153"/>
    </row>
    <row r="87" spans="2:11" x14ac:dyDescent="0.25">
      <c r="B87" s="203" t="s">
        <v>5</v>
      </c>
      <c r="C87" s="136" t="s">
        <v>52</v>
      </c>
      <c r="D87" s="51" t="s">
        <v>1258</v>
      </c>
      <c r="E87" s="163">
        <v>20</v>
      </c>
      <c r="F87" s="158" t="s">
        <v>1289</v>
      </c>
      <c r="G87" s="153"/>
    </row>
    <row r="88" spans="2:11" x14ac:dyDescent="0.25">
      <c r="B88" s="203" t="s">
        <v>5</v>
      </c>
      <c r="C88" s="136" t="s">
        <v>53</v>
      </c>
      <c r="D88" s="51" t="s">
        <v>1258</v>
      </c>
      <c r="E88" s="163">
        <v>51</v>
      </c>
      <c r="F88" s="158" t="s">
        <v>1289</v>
      </c>
      <c r="G88" s="153"/>
    </row>
    <row r="89" spans="2:11" x14ac:dyDescent="0.25">
      <c r="B89" s="204" t="s">
        <v>1282</v>
      </c>
      <c r="C89" s="164" t="s">
        <v>1035</v>
      </c>
      <c r="D89" s="165" t="s">
        <v>1258</v>
      </c>
      <c r="E89" s="166">
        <v>2</v>
      </c>
      <c r="F89" s="149" t="s">
        <v>1288</v>
      </c>
      <c r="G89" s="151"/>
      <c r="I89" s="265" t="s">
        <v>1048</v>
      </c>
      <c r="J89" s="266"/>
      <c r="K89" s="79" t="s">
        <v>23</v>
      </c>
    </row>
    <row r="90" spans="2:11" x14ac:dyDescent="0.25">
      <c r="B90" s="204" t="s">
        <v>1282</v>
      </c>
      <c r="C90" s="164" t="s">
        <v>1036</v>
      </c>
      <c r="D90" s="165" t="s">
        <v>1258</v>
      </c>
      <c r="E90" s="166">
        <v>11</v>
      </c>
      <c r="F90" s="149" t="s">
        <v>1289</v>
      </c>
      <c r="G90" s="167"/>
      <c r="I90" s="42" t="s">
        <v>25</v>
      </c>
      <c r="J90" s="43">
        <v>11</v>
      </c>
      <c r="K90" s="31">
        <v>0.85</v>
      </c>
    </row>
    <row r="91" spans="2:11" x14ac:dyDescent="0.25">
      <c r="B91" s="204" t="s">
        <v>1282</v>
      </c>
      <c r="C91" s="164" t="s">
        <v>1037</v>
      </c>
      <c r="D91" s="165" t="s">
        <v>1258</v>
      </c>
      <c r="E91" s="166">
        <v>17</v>
      </c>
      <c r="F91" s="149" t="s">
        <v>1289</v>
      </c>
      <c r="G91" s="167"/>
      <c r="I91" s="40" t="s">
        <v>27</v>
      </c>
      <c r="J91" s="44">
        <v>2</v>
      </c>
      <c r="K91" s="32">
        <v>0.15</v>
      </c>
    </row>
    <row r="92" spans="2:11" x14ac:dyDescent="0.25">
      <c r="B92" s="204" t="s">
        <v>1282</v>
      </c>
      <c r="C92" s="164" t="s">
        <v>1038</v>
      </c>
      <c r="D92" s="165" t="s">
        <v>1258</v>
      </c>
      <c r="E92" s="166">
        <v>1</v>
      </c>
      <c r="F92" s="149" t="s">
        <v>1289</v>
      </c>
      <c r="G92" s="167"/>
      <c r="I92" s="46" t="s">
        <v>31</v>
      </c>
      <c r="J92" s="47">
        <v>13</v>
      </c>
      <c r="K92" s="34">
        <v>1</v>
      </c>
    </row>
    <row r="93" spans="2:11" x14ac:dyDescent="0.25">
      <c r="B93" s="204" t="s">
        <v>1282</v>
      </c>
      <c r="C93" s="164" t="s">
        <v>1039</v>
      </c>
      <c r="D93" s="168" t="s">
        <v>1258</v>
      </c>
      <c r="E93" s="166">
        <v>13</v>
      </c>
      <c r="F93" s="149" t="s">
        <v>1288</v>
      </c>
      <c r="G93" s="151"/>
    </row>
    <row r="94" spans="2:11" x14ac:dyDescent="0.25">
      <c r="B94" s="204" t="s">
        <v>1282</v>
      </c>
      <c r="C94" s="164" t="s">
        <v>1040</v>
      </c>
      <c r="D94" s="168" t="s">
        <v>1258</v>
      </c>
      <c r="E94" s="166">
        <v>3</v>
      </c>
      <c r="F94" s="149" t="s">
        <v>1289</v>
      </c>
      <c r="G94" s="167"/>
    </row>
    <row r="95" spans="2:11" x14ac:dyDescent="0.25">
      <c r="B95" s="204" t="s">
        <v>1282</v>
      </c>
      <c r="C95" s="164" t="s">
        <v>1041</v>
      </c>
      <c r="D95" s="168" t="s">
        <v>1259</v>
      </c>
      <c r="E95" s="166">
        <v>6</v>
      </c>
      <c r="F95" s="149" t="s">
        <v>1289</v>
      </c>
      <c r="G95" s="167"/>
    </row>
    <row r="96" spans="2:11" x14ac:dyDescent="0.25">
      <c r="B96" s="204" t="s">
        <v>1282</v>
      </c>
      <c r="C96" s="164" t="s">
        <v>1042</v>
      </c>
      <c r="D96" s="168" t="s">
        <v>1258</v>
      </c>
      <c r="E96" s="166">
        <v>13</v>
      </c>
      <c r="F96" s="149" t="s">
        <v>1289</v>
      </c>
      <c r="G96" s="167"/>
    </row>
    <row r="97" spans="2:11" x14ac:dyDescent="0.25">
      <c r="B97" s="204" t="s">
        <v>1282</v>
      </c>
      <c r="C97" s="164" t="s">
        <v>1043</v>
      </c>
      <c r="D97" s="168" t="s">
        <v>1258</v>
      </c>
      <c r="E97" s="169">
        <v>12</v>
      </c>
      <c r="F97" s="149" t="s">
        <v>1289</v>
      </c>
      <c r="G97" s="167"/>
    </row>
    <row r="98" spans="2:11" x14ac:dyDescent="0.25">
      <c r="B98" s="204" t="s">
        <v>1282</v>
      </c>
      <c r="C98" s="164" t="s">
        <v>1044</v>
      </c>
      <c r="D98" s="168" t="s">
        <v>1259</v>
      </c>
      <c r="E98" s="170">
        <v>0</v>
      </c>
      <c r="F98" s="149" t="s">
        <v>1289</v>
      </c>
      <c r="G98" s="167"/>
    </row>
    <row r="99" spans="2:11" x14ac:dyDescent="0.25">
      <c r="B99" s="204" t="s">
        <v>1282</v>
      </c>
      <c r="C99" s="164" t="s">
        <v>1045</v>
      </c>
      <c r="D99" s="168" t="s">
        <v>1259</v>
      </c>
      <c r="E99" s="166">
        <v>0</v>
      </c>
      <c r="F99" s="149" t="s">
        <v>1289</v>
      </c>
      <c r="G99" s="167"/>
    </row>
    <row r="100" spans="2:11" x14ac:dyDescent="0.25">
      <c r="B100" s="204" t="s">
        <v>1282</v>
      </c>
      <c r="C100" s="164" t="s">
        <v>1047</v>
      </c>
      <c r="D100" s="168" t="s">
        <v>1259</v>
      </c>
      <c r="E100" s="166">
        <v>12</v>
      </c>
      <c r="F100" s="149"/>
      <c r="G100" s="156"/>
    </row>
    <row r="101" spans="2:11" x14ac:dyDescent="0.25">
      <c r="B101" s="204" t="s">
        <v>1282</v>
      </c>
      <c r="C101" s="164" t="s">
        <v>1046</v>
      </c>
      <c r="D101" s="168" t="s">
        <v>1259</v>
      </c>
      <c r="E101" s="169">
        <v>9</v>
      </c>
      <c r="F101" s="149" t="s">
        <v>1289</v>
      </c>
      <c r="G101" s="167"/>
    </row>
    <row r="102" spans="2:11" x14ac:dyDescent="0.25">
      <c r="B102" s="203" t="s">
        <v>1283</v>
      </c>
      <c r="C102" s="134" t="s">
        <v>627</v>
      </c>
      <c r="D102" s="49" t="s">
        <v>1259</v>
      </c>
      <c r="E102" s="157">
        <v>45</v>
      </c>
      <c r="F102" s="158" t="s">
        <v>1289</v>
      </c>
      <c r="G102" s="159"/>
      <c r="I102" s="265" t="s">
        <v>662</v>
      </c>
      <c r="J102" s="266"/>
      <c r="K102" s="79" t="s">
        <v>23</v>
      </c>
    </row>
    <row r="103" spans="2:11" x14ac:dyDescent="0.25">
      <c r="B103" s="203" t="s">
        <v>1283</v>
      </c>
      <c r="C103" s="133" t="s">
        <v>628</v>
      </c>
      <c r="D103" s="39" t="s">
        <v>1258</v>
      </c>
      <c r="E103" s="115">
        <v>28</v>
      </c>
      <c r="F103" s="158" t="s">
        <v>1289</v>
      </c>
      <c r="G103" s="160"/>
      <c r="I103" s="42" t="s">
        <v>25</v>
      </c>
      <c r="J103" s="43">
        <v>24</v>
      </c>
      <c r="K103" s="31">
        <v>0.6</v>
      </c>
    </row>
    <row r="104" spans="2:11" x14ac:dyDescent="0.25">
      <c r="B104" s="203" t="s">
        <v>1283</v>
      </c>
      <c r="C104" s="133" t="s">
        <v>629</v>
      </c>
      <c r="D104" s="39" t="s">
        <v>1258</v>
      </c>
      <c r="E104" s="115">
        <v>6</v>
      </c>
      <c r="F104" s="158" t="s">
        <v>1288</v>
      </c>
      <c r="G104" s="160"/>
      <c r="I104" s="40" t="s">
        <v>27</v>
      </c>
      <c r="J104" s="44">
        <v>16</v>
      </c>
      <c r="K104" s="32">
        <v>0.4</v>
      </c>
    </row>
    <row r="105" spans="2:11" x14ac:dyDescent="0.25">
      <c r="B105" s="203" t="s">
        <v>1283</v>
      </c>
      <c r="C105" s="133" t="s">
        <v>630</v>
      </c>
      <c r="D105" s="39" t="s">
        <v>1258</v>
      </c>
      <c r="E105" s="115">
        <v>17</v>
      </c>
      <c r="F105" s="158" t="s">
        <v>1289</v>
      </c>
      <c r="G105" s="160"/>
      <c r="I105" s="46" t="s">
        <v>31</v>
      </c>
      <c r="J105" s="47">
        <f>SUM(J102:J104)</f>
        <v>40</v>
      </c>
      <c r="K105" s="34">
        <v>1</v>
      </c>
    </row>
    <row r="106" spans="2:11" x14ac:dyDescent="0.25">
      <c r="B106" s="203" t="s">
        <v>1283</v>
      </c>
      <c r="C106" s="133" t="s">
        <v>631</v>
      </c>
      <c r="D106" s="39" t="s">
        <v>1258</v>
      </c>
      <c r="E106" s="115">
        <v>6</v>
      </c>
      <c r="F106" s="158" t="s">
        <v>1289</v>
      </c>
      <c r="G106" s="160"/>
    </row>
    <row r="107" spans="2:11" x14ac:dyDescent="0.25">
      <c r="B107" s="203" t="s">
        <v>1283</v>
      </c>
      <c r="C107" s="133" t="s">
        <v>267</v>
      </c>
      <c r="D107" s="39" t="s">
        <v>1258</v>
      </c>
      <c r="E107" s="115">
        <v>12</v>
      </c>
      <c r="F107" s="158" t="s">
        <v>1289</v>
      </c>
      <c r="G107" s="160"/>
    </row>
    <row r="108" spans="2:11" x14ac:dyDescent="0.25">
      <c r="B108" s="203" t="s">
        <v>1283</v>
      </c>
      <c r="C108" s="133" t="s">
        <v>632</v>
      </c>
      <c r="D108" s="39" t="s">
        <v>1258</v>
      </c>
      <c r="E108" s="115">
        <v>109</v>
      </c>
      <c r="F108" s="158" t="s">
        <v>1288</v>
      </c>
      <c r="G108" s="160"/>
    </row>
    <row r="109" spans="2:11" x14ac:dyDescent="0.25">
      <c r="B109" s="203" t="s">
        <v>1283</v>
      </c>
      <c r="C109" s="133" t="s">
        <v>633</v>
      </c>
      <c r="D109" s="39" t="s">
        <v>1258</v>
      </c>
      <c r="E109" s="115">
        <v>33</v>
      </c>
      <c r="F109" s="158" t="s">
        <v>1289</v>
      </c>
      <c r="G109" s="160"/>
    </row>
    <row r="110" spans="2:11" x14ac:dyDescent="0.25">
      <c r="B110" s="203" t="s">
        <v>1283</v>
      </c>
      <c r="C110" s="133" t="s">
        <v>634</v>
      </c>
      <c r="D110" s="39" t="s">
        <v>1258</v>
      </c>
      <c r="E110" s="115">
        <v>47</v>
      </c>
      <c r="F110" s="158" t="s">
        <v>1289</v>
      </c>
      <c r="G110" s="160"/>
    </row>
    <row r="111" spans="2:11" x14ac:dyDescent="0.25">
      <c r="B111" s="203" t="s">
        <v>1283</v>
      </c>
      <c r="C111" s="133" t="s">
        <v>635</v>
      </c>
      <c r="D111" s="39" t="s">
        <v>1259</v>
      </c>
      <c r="E111" s="115">
        <v>51</v>
      </c>
      <c r="F111" s="158" t="s">
        <v>1288</v>
      </c>
      <c r="G111" s="160"/>
    </row>
    <row r="112" spans="2:11" x14ac:dyDescent="0.25">
      <c r="B112" s="203" t="s">
        <v>1283</v>
      </c>
      <c r="C112" s="133" t="s">
        <v>636</v>
      </c>
      <c r="D112" s="39" t="s">
        <v>1259</v>
      </c>
      <c r="E112" s="115">
        <v>24</v>
      </c>
      <c r="F112" s="158" t="s">
        <v>1288</v>
      </c>
      <c r="G112" s="160"/>
    </row>
    <row r="113" spans="2:7" x14ac:dyDescent="0.25">
      <c r="B113" s="203" t="s">
        <v>1283</v>
      </c>
      <c r="C113" s="133" t="s">
        <v>258</v>
      </c>
      <c r="D113" s="39" t="s">
        <v>1258</v>
      </c>
      <c r="E113" s="115">
        <v>7</v>
      </c>
      <c r="F113" s="158" t="s">
        <v>1289</v>
      </c>
      <c r="G113" s="160"/>
    </row>
    <row r="114" spans="2:7" x14ac:dyDescent="0.25">
      <c r="B114" s="203" t="s">
        <v>1283</v>
      </c>
      <c r="C114" s="133" t="s">
        <v>99</v>
      </c>
      <c r="D114" s="39" t="s">
        <v>1258</v>
      </c>
      <c r="E114" s="115">
        <v>2</v>
      </c>
      <c r="F114" s="158" t="s">
        <v>1288</v>
      </c>
      <c r="G114" s="160"/>
    </row>
    <row r="115" spans="2:7" x14ac:dyDescent="0.25">
      <c r="B115" s="203" t="s">
        <v>1283</v>
      </c>
      <c r="C115" s="133" t="s">
        <v>637</v>
      </c>
      <c r="D115" s="39" t="s">
        <v>1258</v>
      </c>
      <c r="E115" s="115">
        <v>97</v>
      </c>
      <c r="F115" s="158" t="s">
        <v>1289</v>
      </c>
      <c r="G115" s="160"/>
    </row>
    <row r="116" spans="2:7" x14ac:dyDescent="0.25">
      <c r="B116" s="203" t="s">
        <v>1283</v>
      </c>
      <c r="C116" s="133" t="s">
        <v>638</v>
      </c>
      <c r="D116" s="39" t="s">
        <v>1258</v>
      </c>
      <c r="E116" s="115">
        <v>8</v>
      </c>
      <c r="F116" s="158" t="s">
        <v>1289</v>
      </c>
      <c r="G116" s="160"/>
    </row>
    <row r="117" spans="2:7" x14ac:dyDescent="0.25">
      <c r="B117" s="203" t="s">
        <v>1283</v>
      </c>
      <c r="C117" s="133" t="s">
        <v>639</v>
      </c>
      <c r="D117" s="39" t="s">
        <v>1258</v>
      </c>
      <c r="E117" s="115">
        <v>37</v>
      </c>
      <c r="F117" s="158" t="s">
        <v>1288</v>
      </c>
      <c r="G117" s="160"/>
    </row>
    <row r="118" spans="2:7" x14ac:dyDescent="0.25">
      <c r="B118" s="203" t="s">
        <v>1283</v>
      </c>
      <c r="C118" s="133" t="s">
        <v>640</v>
      </c>
      <c r="D118" s="39" t="s">
        <v>1258</v>
      </c>
      <c r="E118" s="115">
        <v>12</v>
      </c>
      <c r="F118" s="158" t="s">
        <v>1289</v>
      </c>
      <c r="G118" s="160"/>
    </row>
    <row r="119" spans="2:7" x14ac:dyDescent="0.25">
      <c r="B119" s="203" t="s">
        <v>1283</v>
      </c>
      <c r="C119" s="133" t="s">
        <v>641</v>
      </c>
      <c r="D119" s="39" t="s">
        <v>1259</v>
      </c>
      <c r="E119" s="115">
        <v>7</v>
      </c>
      <c r="F119" s="158" t="s">
        <v>1288</v>
      </c>
      <c r="G119" s="160"/>
    </row>
    <row r="120" spans="2:7" x14ac:dyDescent="0.25">
      <c r="B120" s="203" t="s">
        <v>1283</v>
      </c>
      <c r="C120" s="133" t="s">
        <v>642</v>
      </c>
      <c r="D120" s="39" t="s">
        <v>1258</v>
      </c>
      <c r="E120" s="115">
        <v>123</v>
      </c>
      <c r="F120" s="158" t="s">
        <v>1289</v>
      </c>
      <c r="G120" s="160"/>
    </row>
    <row r="121" spans="2:7" x14ac:dyDescent="0.25">
      <c r="B121" s="203" t="s">
        <v>1283</v>
      </c>
      <c r="C121" s="133" t="s">
        <v>643</v>
      </c>
      <c r="D121" s="39" t="s">
        <v>1258</v>
      </c>
      <c r="E121" s="115">
        <v>18</v>
      </c>
      <c r="F121" s="158" t="s">
        <v>1289</v>
      </c>
      <c r="G121" s="160"/>
    </row>
    <row r="122" spans="2:7" x14ac:dyDescent="0.25">
      <c r="B122" s="203" t="s">
        <v>1283</v>
      </c>
      <c r="C122" s="133" t="s">
        <v>644</v>
      </c>
      <c r="D122" s="39" t="s">
        <v>1260</v>
      </c>
      <c r="E122" s="115">
        <v>18</v>
      </c>
      <c r="F122" s="158" t="s">
        <v>1288</v>
      </c>
      <c r="G122" s="160"/>
    </row>
    <row r="123" spans="2:7" x14ac:dyDescent="0.25">
      <c r="B123" s="203" t="s">
        <v>1283</v>
      </c>
      <c r="C123" s="133" t="s">
        <v>546</v>
      </c>
      <c r="D123" s="39" t="s">
        <v>1258</v>
      </c>
      <c r="E123" s="115">
        <v>46</v>
      </c>
      <c r="F123" s="158" t="s">
        <v>1289</v>
      </c>
      <c r="G123" s="160"/>
    </row>
    <row r="124" spans="2:7" x14ac:dyDescent="0.25">
      <c r="B124" s="203" t="s">
        <v>1283</v>
      </c>
      <c r="C124" s="133" t="s">
        <v>645</v>
      </c>
      <c r="D124" s="39" t="s">
        <v>1258</v>
      </c>
      <c r="E124" s="115">
        <v>53</v>
      </c>
      <c r="F124" s="158" t="s">
        <v>1289</v>
      </c>
      <c r="G124" s="160"/>
    </row>
    <row r="125" spans="2:7" x14ac:dyDescent="0.25">
      <c r="B125" s="203" t="s">
        <v>1283</v>
      </c>
      <c r="C125" s="133" t="s">
        <v>646</v>
      </c>
      <c r="D125" s="39" t="s">
        <v>1258</v>
      </c>
      <c r="E125" s="115">
        <v>102</v>
      </c>
      <c r="F125" s="158" t="s">
        <v>1289</v>
      </c>
      <c r="G125" s="160"/>
    </row>
    <row r="126" spans="2:7" x14ac:dyDescent="0.25">
      <c r="B126" s="203" t="s">
        <v>1283</v>
      </c>
      <c r="C126" s="133" t="s">
        <v>647</v>
      </c>
      <c r="D126" s="39" t="s">
        <v>1258</v>
      </c>
      <c r="E126" s="115">
        <v>78</v>
      </c>
      <c r="F126" s="158" t="s">
        <v>1288</v>
      </c>
      <c r="G126" s="160"/>
    </row>
    <row r="127" spans="2:7" x14ac:dyDescent="0.25">
      <c r="B127" s="203" t="s">
        <v>1283</v>
      </c>
      <c r="C127" s="133" t="s">
        <v>648</v>
      </c>
      <c r="D127" s="39" t="s">
        <v>1258</v>
      </c>
      <c r="E127" s="115">
        <v>40</v>
      </c>
      <c r="F127" s="158" t="s">
        <v>1288</v>
      </c>
      <c r="G127" s="160"/>
    </row>
    <row r="128" spans="2:7" x14ac:dyDescent="0.25">
      <c r="B128" s="203" t="s">
        <v>1283</v>
      </c>
      <c r="C128" s="133" t="s">
        <v>649</v>
      </c>
      <c r="D128" s="39" t="s">
        <v>1258</v>
      </c>
      <c r="E128" s="115">
        <v>26</v>
      </c>
      <c r="F128" s="158" t="s">
        <v>1289</v>
      </c>
      <c r="G128" s="160"/>
    </row>
    <row r="129" spans="2:7" x14ac:dyDescent="0.25">
      <c r="B129" s="203" t="s">
        <v>1283</v>
      </c>
      <c r="C129" s="133" t="s">
        <v>650</v>
      </c>
      <c r="D129" s="39" t="s">
        <v>1258</v>
      </c>
      <c r="E129" s="115">
        <v>11</v>
      </c>
      <c r="F129" s="158" t="s">
        <v>1289</v>
      </c>
      <c r="G129" s="160"/>
    </row>
    <row r="130" spans="2:7" x14ac:dyDescent="0.25">
      <c r="B130" s="203" t="s">
        <v>1283</v>
      </c>
      <c r="C130" s="133" t="s">
        <v>651</v>
      </c>
      <c r="D130" s="39" t="s">
        <v>1258</v>
      </c>
      <c r="E130" s="115">
        <v>19</v>
      </c>
      <c r="F130" s="158" t="s">
        <v>1288</v>
      </c>
      <c r="G130" s="160"/>
    </row>
    <row r="131" spans="2:7" x14ac:dyDescent="0.25">
      <c r="B131" s="203" t="s">
        <v>1283</v>
      </c>
      <c r="C131" s="133" t="s">
        <v>652</v>
      </c>
      <c r="D131" s="39" t="s">
        <v>1259</v>
      </c>
      <c r="E131" s="115">
        <v>0</v>
      </c>
      <c r="F131" s="158" t="s">
        <v>1289</v>
      </c>
      <c r="G131" s="160"/>
    </row>
    <row r="132" spans="2:7" x14ac:dyDescent="0.25">
      <c r="B132" s="203" t="s">
        <v>1283</v>
      </c>
      <c r="C132" s="133" t="s">
        <v>653</v>
      </c>
      <c r="D132" s="39" t="s">
        <v>1258</v>
      </c>
      <c r="E132" s="115">
        <v>78</v>
      </c>
      <c r="F132" s="158" t="s">
        <v>1289</v>
      </c>
      <c r="G132" s="160"/>
    </row>
    <row r="133" spans="2:7" x14ac:dyDescent="0.25">
      <c r="B133" s="203" t="s">
        <v>1283</v>
      </c>
      <c r="C133" s="133" t="s">
        <v>654</v>
      </c>
      <c r="D133" s="39" t="s">
        <v>1258</v>
      </c>
      <c r="E133" s="115">
        <v>14</v>
      </c>
      <c r="F133" s="158" t="s">
        <v>1288</v>
      </c>
      <c r="G133" s="160"/>
    </row>
    <row r="134" spans="2:7" x14ac:dyDescent="0.25">
      <c r="B134" s="203" t="s">
        <v>1283</v>
      </c>
      <c r="C134" s="133" t="s">
        <v>655</v>
      </c>
      <c r="D134" s="39" t="s">
        <v>1258</v>
      </c>
      <c r="E134" s="115">
        <v>29</v>
      </c>
      <c r="F134" s="158" t="s">
        <v>1289</v>
      </c>
      <c r="G134" s="160"/>
    </row>
    <row r="135" spans="2:7" x14ac:dyDescent="0.25">
      <c r="B135" s="203" t="s">
        <v>1283</v>
      </c>
      <c r="C135" s="133" t="s">
        <v>656</v>
      </c>
      <c r="D135" s="39" t="s">
        <v>1258</v>
      </c>
      <c r="E135" s="115">
        <v>5</v>
      </c>
      <c r="F135" s="158" t="s">
        <v>1289</v>
      </c>
      <c r="G135" s="160"/>
    </row>
    <row r="136" spans="2:7" x14ac:dyDescent="0.25">
      <c r="B136" s="203" t="s">
        <v>1283</v>
      </c>
      <c r="C136" s="133" t="s">
        <v>657</v>
      </c>
      <c r="D136" s="39" t="s">
        <v>1258</v>
      </c>
      <c r="E136" s="115">
        <v>15</v>
      </c>
      <c r="F136" s="158" t="s">
        <v>1288</v>
      </c>
      <c r="G136" s="160"/>
    </row>
    <row r="137" spans="2:7" x14ac:dyDescent="0.25">
      <c r="B137" s="203" t="s">
        <v>1283</v>
      </c>
      <c r="C137" s="133" t="s">
        <v>658</v>
      </c>
      <c r="D137" s="39" t="s">
        <v>1258</v>
      </c>
      <c r="E137" s="115">
        <v>9</v>
      </c>
      <c r="F137" s="158" t="s">
        <v>1289</v>
      </c>
      <c r="G137" s="160"/>
    </row>
    <row r="138" spans="2:7" x14ac:dyDescent="0.25">
      <c r="B138" s="203" t="s">
        <v>1283</v>
      </c>
      <c r="C138" s="133" t="s">
        <v>659</v>
      </c>
      <c r="D138" s="39" t="s">
        <v>1258</v>
      </c>
      <c r="E138" s="115">
        <v>11</v>
      </c>
      <c r="F138" s="158" t="s">
        <v>1288</v>
      </c>
      <c r="G138" s="160"/>
    </row>
    <row r="139" spans="2:7" x14ac:dyDescent="0.25">
      <c r="B139" s="203" t="s">
        <v>1283</v>
      </c>
      <c r="C139" s="133" t="s">
        <v>170</v>
      </c>
      <c r="D139" s="39" t="s">
        <v>1258</v>
      </c>
      <c r="E139" s="115">
        <v>9</v>
      </c>
      <c r="F139" s="158" t="s">
        <v>1288</v>
      </c>
      <c r="G139" s="160"/>
    </row>
    <row r="140" spans="2:7" x14ac:dyDescent="0.25">
      <c r="B140" s="203" t="s">
        <v>1283</v>
      </c>
      <c r="C140" s="135" t="s">
        <v>660</v>
      </c>
      <c r="D140" s="50" t="s">
        <v>1259</v>
      </c>
      <c r="E140" s="161">
        <v>27</v>
      </c>
      <c r="F140" s="158" t="s">
        <v>1289</v>
      </c>
      <c r="G140" s="162"/>
    </row>
    <row r="141" spans="2:7" x14ac:dyDescent="0.25">
      <c r="B141" s="203" t="s">
        <v>1283</v>
      </c>
      <c r="C141" s="136" t="s">
        <v>661</v>
      </c>
      <c r="D141" s="51" t="s">
        <v>1259</v>
      </c>
      <c r="E141" s="163">
        <v>28</v>
      </c>
      <c r="F141" s="158" t="s">
        <v>1288</v>
      </c>
      <c r="G141" s="153"/>
    </row>
    <row r="142" spans="2:7" x14ac:dyDescent="0.25">
      <c r="B142" s="204" t="s">
        <v>795</v>
      </c>
      <c r="C142" s="155" t="s">
        <v>1052</v>
      </c>
      <c r="D142" s="147" t="s">
        <v>1258</v>
      </c>
      <c r="E142" s="171">
        <v>11</v>
      </c>
      <c r="F142" s="172" t="s">
        <v>1289</v>
      </c>
      <c r="G142" s="173"/>
    </row>
    <row r="143" spans="2:7" x14ac:dyDescent="0.25">
      <c r="B143" s="204" t="s">
        <v>795</v>
      </c>
      <c r="C143" s="155" t="s">
        <v>1053</v>
      </c>
      <c r="D143" s="147" t="s">
        <v>1258</v>
      </c>
      <c r="E143" s="171">
        <v>2</v>
      </c>
      <c r="F143" s="172" t="s">
        <v>1289</v>
      </c>
      <c r="G143" s="173"/>
    </row>
    <row r="144" spans="2:7" x14ac:dyDescent="0.25">
      <c r="B144" s="204" t="s">
        <v>795</v>
      </c>
      <c r="C144" s="155" t="s">
        <v>1054</v>
      </c>
      <c r="D144" s="147" t="s">
        <v>1258</v>
      </c>
      <c r="E144" s="171">
        <v>2</v>
      </c>
      <c r="F144" s="172" t="s">
        <v>1289</v>
      </c>
      <c r="G144" s="174"/>
    </row>
    <row r="145" spans="2:11" x14ac:dyDescent="0.25">
      <c r="B145" s="203" t="s">
        <v>601</v>
      </c>
      <c r="C145" s="134" t="s">
        <v>602</v>
      </c>
      <c r="D145" s="49"/>
      <c r="E145" s="143">
        <v>4</v>
      </c>
      <c r="F145" s="175" t="s">
        <v>1289</v>
      </c>
      <c r="G145" s="162"/>
      <c r="I145" s="265" t="s">
        <v>624</v>
      </c>
      <c r="J145" s="266"/>
      <c r="K145" s="53" t="s">
        <v>23</v>
      </c>
    </row>
    <row r="146" spans="2:11" x14ac:dyDescent="0.25">
      <c r="B146" s="203" t="s">
        <v>601</v>
      </c>
      <c r="C146" s="133" t="s">
        <v>603</v>
      </c>
      <c r="D146" s="39" t="s">
        <v>1258</v>
      </c>
      <c r="E146" s="45">
        <v>7</v>
      </c>
      <c r="F146" s="175" t="s">
        <v>1288</v>
      </c>
      <c r="G146" s="160"/>
      <c r="I146" s="42" t="s">
        <v>25</v>
      </c>
      <c r="J146" s="43">
        <v>18</v>
      </c>
      <c r="K146" s="35">
        <v>0.81799999999999995</v>
      </c>
    </row>
    <row r="147" spans="2:11" x14ac:dyDescent="0.25">
      <c r="B147" s="203" t="s">
        <v>601</v>
      </c>
      <c r="C147" s="133" t="s">
        <v>605</v>
      </c>
      <c r="D147" s="39"/>
      <c r="E147" s="45">
        <v>2</v>
      </c>
      <c r="F147" s="175" t="s">
        <v>1289</v>
      </c>
      <c r="G147" s="162"/>
      <c r="I147" s="40" t="s">
        <v>27</v>
      </c>
      <c r="J147" s="44">
        <v>4</v>
      </c>
      <c r="K147" s="36">
        <v>0.18</v>
      </c>
    </row>
    <row r="148" spans="2:11" x14ac:dyDescent="0.25">
      <c r="B148" s="203" t="s">
        <v>601</v>
      </c>
      <c r="C148" s="133" t="s">
        <v>604</v>
      </c>
      <c r="D148" s="39" t="s">
        <v>1258</v>
      </c>
      <c r="E148" s="45">
        <v>0</v>
      </c>
      <c r="F148" s="175" t="s">
        <v>1289</v>
      </c>
      <c r="G148" s="162"/>
      <c r="I148" s="46" t="s">
        <v>31</v>
      </c>
      <c r="J148" s="47">
        <f>SUM(J145:J147)</f>
        <v>22</v>
      </c>
      <c r="K148" s="34">
        <v>1</v>
      </c>
    </row>
    <row r="149" spans="2:11" x14ac:dyDescent="0.25">
      <c r="B149" s="203" t="s">
        <v>601</v>
      </c>
      <c r="C149" s="133" t="s">
        <v>606</v>
      </c>
      <c r="D149" s="39" t="s">
        <v>1258</v>
      </c>
      <c r="E149" s="45">
        <v>10</v>
      </c>
      <c r="F149" s="175" t="s">
        <v>1289</v>
      </c>
      <c r="G149" s="162"/>
    </row>
    <row r="150" spans="2:11" x14ac:dyDescent="0.25">
      <c r="B150" s="203" t="s">
        <v>601</v>
      </c>
      <c r="C150" s="133" t="s">
        <v>607</v>
      </c>
      <c r="D150" s="39"/>
      <c r="E150" s="45">
        <v>0</v>
      </c>
      <c r="F150" s="175" t="s">
        <v>1289</v>
      </c>
      <c r="G150" s="162"/>
    </row>
    <row r="151" spans="2:11" x14ac:dyDescent="0.25">
      <c r="B151" s="203" t="s">
        <v>601</v>
      </c>
      <c r="C151" s="133" t="s">
        <v>608</v>
      </c>
      <c r="D151" s="39" t="s">
        <v>1258</v>
      </c>
      <c r="E151" s="45">
        <v>8</v>
      </c>
      <c r="F151" s="175" t="s">
        <v>1289</v>
      </c>
      <c r="G151" s="162"/>
    </row>
    <row r="152" spans="2:11" x14ac:dyDescent="0.25">
      <c r="B152" s="203" t="s">
        <v>601</v>
      </c>
      <c r="C152" s="133" t="s">
        <v>609</v>
      </c>
      <c r="D152" s="39"/>
      <c r="E152" s="45">
        <v>5</v>
      </c>
      <c r="F152" s="175" t="s">
        <v>1289</v>
      </c>
      <c r="G152" s="162"/>
    </row>
    <row r="153" spans="2:11" x14ac:dyDescent="0.25">
      <c r="B153" s="203" t="s">
        <v>601</v>
      </c>
      <c r="C153" s="133" t="s">
        <v>610</v>
      </c>
      <c r="D153" s="39"/>
      <c r="E153" s="45">
        <v>2</v>
      </c>
      <c r="F153" s="175" t="s">
        <v>1289</v>
      </c>
      <c r="G153" s="162"/>
    </row>
    <row r="154" spans="2:11" x14ac:dyDescent="0.25">
      <c r="B154" s="203" t="s">
        <v>601</v>
      </c>
      <c r="C154" s="133" t="s">
        <v>611</v>
      </c>
      <c r="D154" s="39" t="s">
        <v>1258</v>
      </c>
      <c r="E154" s="45">
        <v>16</v>
      </c>
      <c r="F154" s="175" t="s">
        <v>1289</v>
      </c>
      <c r="G154" s="162"/>
    </row>
    <row r="155" spans="2:11" x14ac:dyDescent="0.25">
      <c r="B155" s="203" t="s">
        <v>601</v>
      </c>
      <c r="C155" s="133" t="s">
        <v>612</v>
      </c>
      <c r="D155" s="39" t="s">
        <v>1258</v>
      </c>
      <c r="E155" s="45">
        <v>6</v>
      </c>
      <c r="F155" s="175" t="s">
        <v>1289</v>
      </c>
      <c r="G155" s="162"/>
    </row>
    <row r="156" spans="2:11" x14ac:dyDescent="0.25">
      <c r="B156" s="203" t="s">
        <v>601</v>
      </c>
      <c r="C156" s="133" t="s">
        <v>613</v>
      </c>
      <c r="D156" s="39"/>
      <c r="E156" s="45">
        <v>0</v>
      </c>
      <c r="F156" s="175" t="s">
        <v>1289</v>
      </c>
      <c r="G156" s="162"/>
    </row>
    <row r="157" spans="2:11" x14ac:dyDescent="0.25">
      <c r="B157" s="203" t="s">
        <v>601</v>
      </c>
      <c r="C157" s="133" t="s">
        <v>614</v>
      </c>
      <c r="D157" s="39" t="s">
        <v>1258</v>
      </c>
      <c r="E157" s="45">
        <v>11</v>
      </c>
      <c r="F157" s="175" t="s">
        <v>1288</v>
      </c>
      <c r="G157" s="160"/>
    </row>
    <row r="158" spans="2:11" x14ac:dyDescent="0.25">
      <c r="B158" s="203" t="s">
        <v>601</v>
      </c>
      <c r="C158" s="133" t="s">
        <v>615</v>
      </c>
      <c r="D158" s="39" t="s">
        <v>1258</v>
      </c>
      <c r="E158" s="45">
        <v>5</v>
      </c>
      <c r="F158" s="175" t="s">
        <v>1289</v>
      </c>
      <c r="G158" s="162"/>
    </row>
    <row r="159" spans="2:11" x14ac:dyDescent="0.25">
      <c r="B159" s="203" t="s">
        <v>601</v>
      </c>
      <c r="C159" s="133" t="s">
        <v>616</v>
      </c>
      <c r="D159" s="39" t="s">
        <v>1260</v>
      </c>
      <c r="E159" s="45">
        <v>3</v>
      </c>
      <c r="F159" s="175" t="s">
        <v>1289</v>
      </c>
      <c r="G159" s="162"/>
    </row>
    <row r="160" spans="2:11" x14ac:dyDescent="0.25">
      <c r="B160" s="203" t="s">
        <v>601</v>
      </c>
      <c r="C160" s="133" t="s">
        <v>617</v>
      </c>
      <c r="D160" s="39" t="s">
        <v>1258</v>
      </c>
      <c r="E160" s="45">
        <v>2</v>
      </c>
      <c r="F160" s="175" t="s">
        <v>1288</v>
      </c>
      <c r="G160" s="160"/>
    </row>
    <row r="161" spans="2:11" x14ac:dyDescent="0.25">
      <c r="B161" s="203" t="s">
        <v>601</v>
      </c>
      <c r="C161" s="133" t="s">
        <v>618</v>
      </c>
      <c r="D161" s="39" t="s">
        <v>1259</v>
      </c>
      <c r="E161" s="45">
        <v>4</v>
      </c>
      <c r="F161" s="175" t="s">
        <v>1289</v>
      </c>
      <c r="G161" s="162"/>
    </row>
    <row r="162" spans="2:11" x14ac:dyDescent="0.25">
      <c r="B162" s="203" t="s">
        <v>601</v>
      </c>
      <c r="C162" s="133" t="s">
        <v>619</v>
      </c>
      <c r="D162" s="39"/>
      <c r="E162" s="45">
        <v>0</v>
      </c>
      <c r="F162" s="175" t="s">
        <v>1289</v>
      </c>
      <c r="G162" s="162"/>
    </row>
    <row r="163" spans="2:11" x14ac:dyDescent="0.25">
      <c r="B163" s="203" t="s">
        <v>601</v>
      </c>
      <c r="C163" s="133" t="s">
        <v>623</v>
      </c>
      <c r="D163" s="39" t="s">
        <v>1259</v>
      </c>
      <c r="E163" s="45">
        <v>2</v>
      </c>
      <c r="F163" s="175" t="s">
        <v>1288</v>
      </c>
      <c r="G163" s="160"/>
    </row>
    <row r="164" spans="2:11" x14ac:dyDescent="0.25">
      <c r="B164" s="203" t="s">
        <v>601</v>
      </c>
      <c r="C164" s="135" t="s">
        <v>620</v>
      </c>
      <c r="D164" s="50"/>
      <c r="E164" s="176">
        <v>2</v>
      </c>
      <c r="F164" s="175" t="s">
        <v>1289</v>
      </c>
      <c r="G164" s="162"/>
    </row>
    <row r="165" spans="2:11" x14ac:dyDescent="0.25">
      <c r="B165" s="203" t="s">
        <v>601</v>
      </c>
      <c r="C165" s="136" t="s">
        <v>621</v>
      </c>
      <c r="D165" s="51" t="s">
        <v>1260</v>
      </c>
      <c r="E165" s="177">
        <v>2</v>
      </c>
      <c r="F165" s="175" t="s">
        <v>1289</v>
      </c>
      <c r="G165" s="162"/>
    </row>
    <row r="166" spans="2:11" x14ac:dyDescent="0.25">
      <c r="B166" s="203" t="s">
        <v>601</v>
      </c>
      <c r="C166" s="136" t="s">
        <v>622</v>
      </c>
      <c r="D166" s="51" t="s">
        <v>1258</v>
      </c>
      <c r="E166" s="177">
        <v>0</v>
      </c>
      <c r="F166" s="175" t="s">
        <v>1289</v>
      </c>
      <c r="G166" s="162"/>
    </row>
    <row r="167" spans="2:11" x14ac:dyDescent="0.25">
      <c r="B167" s="204" t="s">
        <v>731</v>
      </c>
      <c r="C167" s="155" t="s">
        <v>807</v>
      </c>
      <c r="D167" s="147" t="s">
        <v>1258</v>
      </c>
      <c r="E167" s="171">
        <v>14</v>
      </c>
      <c r="F167" s="172" t="s">
        <v>1288</v>
      </c>
      <c r="G167" s="151"/>
      <c r="I167" s="265" t="s">
        <v>835</v>
      </c>
      <c r="J167" s="266"/>
      <c r="K167" s="41" t="s">
        <v>23</v>
      </c>
    </row>
    <row r="168" spans="2:11" x14ac:dyDescent="0.25">
      <c r="B168" s="204" t="s">
        <v>731</v>
      </c>
      <c r="C168" s="155" t="s">
        <v>808</v>
      </c>
      <c r="D168" s="147" t="s">
        <v>1260</v>
      </c>
      <c r="E168" s="171">
        <v>29</v>
      </c>
      <c r="F168" s="172" t="s">
        <v>1289</v>
      </c>
      <c r="G168" s="173"/>
      <c r="I168" s="42" t="s">
        <v>25</v>
      </c>
      <c r="J168" s="43">
        <v>23</v>
      </c>
      <c r="K168" s="31">
        <v>0.81799999999999995</v>
      </c>
    </row>
    <row r="169" spans="2:11" x14ac:dyDescent="0.25">
      <c r="B169" s="204" t="s">
        <v>731</v>
      </c>
      <c r="C169" s="155" t="s">
        <v>809</v>
      </c>
      <c r="D169" s="147" t="s">
        <v>1258</v>
      </c>
      <c r="E169" s="171">
        <v>10</v>
      </c>
      <c r="F169" s="172" t="s">
        <v>1289</v>
      </c>
      <c r="G169" s="173"/>
      <c r="I169" s="40" t="s">
        <v>27</v>
      </c>
      <c r="J169" s="44">
        <v>3</v>
      </c>
      <c r="K169" s="32">
        <v>0.18</v>
      </c>
    </row>
    <row r="170" spans="2:11" x14ac:dyDescent="0.25">
      <c r="B170" s="204" t="s">
        <v>731</v>
      </c>
      <c r="C170" s="155" t="s">
        <v>810</v>
      </c>
      <c r="D170" s="147" t="s">
        <v>1258</v>
      </c>
      <c r="E170" s="171">
        <v>2</v>
      </c>
      <c r="F170" s="172" t="s">
        <v>1289</v>
      </c>
      <c r="G170" s="173"/>
      <c r="I170" s="46" t="s">
        <v>31</v>
      </c>
      <c r="J170" s="47">
        <f>SUM(J167:J169)</f>
        <v>26</v>
      </c>
      <c r="K170" s="34">
        <v>1</v>
      </c>
    </row>
    <row r="171" spans="2:11" x14ac:dyDescent="0.25">
      <c r="B171" s="204" t="s">
        <v>731</v>
      </c>
      <c r="C171" s="155" t="s">
        <v>811</v>
      </c>
      <c r="D171" s="147" t="s">
        <v>1258</v>
      </c>
      <c r="E171" s="171">
        <v>26</v>
      </c>
      <c r="F171" s="172" t="s">
        <v>1289</v>
      </c>
      <c r="G171" s="173"/>
    </row>
    <row r="172" spans="2:11" x14ac:dyDescent="0.25">
      <c r="B172" s="204" t="s">
        <v>731</v>
      </c>
      <c r="C172" s="155" t="s">
        <v>812</v>
      </c>
      <c r="D172" s="147" t="s">
        <v>1258</v>
      </c>
      <c r="E172" s="171">
        <v>13</v>
      </c>
      <c r="F172" s="172" t="s">
        <v>1289</v>
      </c>
      <c r="G172" s="173"/>
    </row>
    <row r="173" spans="2:11" x14ac:dyDescent="0.25">
      <c r="B173" s="204" t="s">
        <v>731</v>
      </c>
      <c r="C173" s="155" t="s">
        <v>813</v>
      </c>
      <c r="D173" s="147" t="s">
        <v>1259</v>
      </c>
      <c r="E173" s="171">
        <v>29</v>
      </c>
      <c r="F173" s="172" t="s">
        <v>1288</v>
      </c>
      <c r="G173" s="151"/>
      <c r="I173" t="s">
        <v>1266</v>
      </c>
      <c r="J173" t="s">
        <v>1280</v>
      </c>
    </row>
    <row r="174" spans="2:11" x14ac:dyDescent="0.25">
      <c r="B174" s="204" t="s">
        <v>731</v>
      </c>
      <c r="C174" s="155" t="s">
        <v>814</v>
      </c>
      <c r="D174" s="147" t="s">
        <v>1258</v>
      </c>
      <c r="E174" s="171">
        <v>20</v>
      </c>
      <c r="F174" s="172" t="s">
        <v>1289</v>
      </c>
      <c r="G174" s="173"/>
      <c r="I174" s="130" t="s">
        <v>1258</v>
      </c>
      <c r="J174">
        <v>125</v>
      </c>
    </row>
    <row r="175" spans="2:11" x14ac:dyDescent="0.25">
      <c r="B175" s="204" t="s">
        <v>731</v>
      </c>
      <c r="C175" s="155" t="s">
        <v>815</v>
      </c>
      <c r="D175" s="147" t="s">
        <v>1258</v>
      </c>
      <c r="E175" s="171">
        <v>0</v>
      </c>
      <c r="F175" s="172" t="s">
        <v>1289</v>
      </c>
      <c r="G175" s="173"/>
      <c r="I175" s="130" t="s">
        <v>1259</v>
      </c>
      <c r="J175">
        <v>35</v>
      </c>
    </row>
    <row r="176" spans="2:11" x14ac:dyDescent="0.25">
      <c r="B176" s="204" t="s">
        <v>731</v>
      </c>
      <c r="C176" s="155" t="s">
        <v>816</v>
      </c>
      <c r="D176" s="147" t="s">
        <v>1260</v>
      </c>
      <c r="E176" s="171">
        <v>6</v>
      </c>
      <c r="F176" s="172" t="s">
        <v>1289</v>
      </c>
      <c r="G176" s="173"/>
      <c r="I176" s="130" t="s">
        <v>1260</v>
      </c>
      <c r="J176">
        <v>38</v>
      </c>
    </row>
    <row r="177" spans="2:10" x14ac:dyDescent="0.25">
      <c r="B177" s="204" t="s">
        <v>731</v>
      </c>
      <c r="C177" s="155" t="s">
        <v>817</v>
      </c>
      <c r="D177" s="147" t="s">
        <v>1258</v>
      </c>
      <c r="E177" s="171">
        <v>11</v>
      </c>
      <c r="F177" s="172" t="s">
        <v>1289</v>
      </c>
      <c r="G177" s="173"/>
      <c r="I177" s="130" t="s">
        <v>1264</v>
      </c>
      <c r="J177">
        <v>9</v>
      </c>
    </row>
    <row r="178" spans="2:10" x14ac:dyDescent="0.25">
      <c r="B178" s="204" t="s">
        <v>731</v>
      </c>
      <c r="C178" s="155" t="s">
        <v>818</v>
      </c>
      <c r="D178" s="147" t="s">
        <v>1258</v>
      </c>
      <c r="E178" s="171">
        <v>6</v>
      </c>
      <c r="F178" s="172" t="s">
        <v>1289</v>
      </c>
      <c r="G178" s="173"/>
      <c r="I178" s="130" t="s">
        <v>1265</v>
      </c>
      <c r="J178">
        <v>207</v>
      </c>
    </row>
    <row r="179" spans="2:10" x14ac:dyDescent="0.25">
      <c r="B179" s="204" t="s">
        <v>731</v>
      </c>
      <c r="C179" s="155" t="s">
        <v>819</v>
      </c>
      <c r="D179" s="147" t="s">
        <v>1258</v>
      </c>
      <c r="E179" s="171">
        <v>0</v>
      </c>
      <c r="F179" s="172" t="s">
        <v>1289</v>
      </c>
      <c r="G179" s="173"/>
    </row>
    <row r="180" spans="2:10" x14ac:dyDescent="0.25">
      <c r="B180" s="204" t="s">
        <v>731</v>
      </c>
      <c r="C180" s="155" t="s">
        <v>820</v>
      </c>
      <c r="D180" s="147" t="s">
        <v>1258</v>
      </c>
      <c r="E180" s="171">
        <v>6</v>
      </c>
      <c r="F180" s="172" t="s">
        <v>1289</v>
      </c>
      <c r="G180" s="173"/>
    </row>
    <row r="181" spans="2:10" x14ac:dyDescent="0.25">
      <c r="B181" s="204" t="s">
        <v>731</v>
      </c>
      <c r="C181" s="155" t="s">
        <v>821</v>
      </c>
      <c r="D181" s="147" t="s">
        <v>1258</v>
      </c>
      <c r="E181" s="171">
        <v>0</v>
      </c>
      <c r="F181" s="172" t="s">
        <v>1289</v>
      </c>
      <c r="G181" s="173"/>
    </row>
    <row r="182" spans="2:10" x14ac:dyDescent="0.25">
      <c r="B182" s="204" t="s">
        <v>731</v>
      </c>
      <c r="C182" s="155" t="s">
        <v>822</v>
      </c>
      <c r="D182" s="147" t="s">
        <v>1258</v>
      </c>
      <c r="E182" s="171">
        <v>6</v>
      </c>
      <c r="F182" s="172" t="s">
        <v>1289</v>
      </c>
      <c r="G182" s="173"/>
    </row>
    <row r="183" spans="2:10" x14ac:dyDescent="0.25">
      <c r="B183" s="204" t="s">
        <v>731</v>
      </c>
      <c r="C183" s="155" t="s">
        <v>823</v>
      </c>
      <c r="D183" s="147" t="s">
        <v>1258</v>
      </c>
      <c r="E183" s="171">
        <v>2</v>
      </c>
      <c r="F183" s="172" t="s">
        <v>1289</v>
      </c>
      <c r="G183" s="173"/>
    </row>
    <row r="184" spans="2:10" x14ac:dyDescent="0.25">
      <c r="B184" s="204" t="s">
        <v>731</v>
      </c>
      <c r="C184" s="155" t="s">
        <v>824</v>
      </c>
      <c r="D184" s="147" t="s">
        <v>1258</v>
      </c>
      <c r="E184" s="171">
        <v>2</v>
      </c>
      <c r="F184" s="172" t="s">
        <v>1289</v>
      </c>
      <c r="G184" s="173"/>
    </row>
    <row r="185" spans="2:10" x14ac:dyDescent="0.25">
      <c r="B185" s="204" t="s">
        <v>731</v>
      </c>
      <c r="C185" s="155" t="s">
        <v>825</v>
      </c>
      <c r="D185" s="147" t="s">
        <v>1259</v>
      </c>
      <c r="E185" s="171">
        <v>6</v>
      </c>
      <c r="F185" s="172" t="s">
        <v>1289</v>
      </c>
      <c r="G185" s="173"/>
    </row>
    <row r="186" spans="2:10" x14ac:dyDescent="0.25">
      <c r="B186" s="204" t="s">
        <v>731</v>
      </c>
      <c r="C186" s="155" t="s">
        <v>826</v>
      </c>
      <c r="D186" s="147" t="s">
        <v>1258</v>
      </c>
      <c r="E186" s="171">
        <v>4</v>
      </c>
      <c r="F186" s="172" t="s">
        <v>1289</v>
      </c>
      <c r="G186" s="173"/>
    </row>
    <row r="187" spans="2:10" x14ac:dyDescent="0.25">
      <c r="B187" s="204" t="s">
        <v>731</v>
      </c>
      <c r="C187" s="155" t="s">
        <v>827</v>
      </c>
      <c r="D187" s="147" t="s">
        <v>1258</v>
      </c>
      <c r="E187" s="171">
        <v>1</v>
      </c>
      <c r="F187" s="172" t="s">
        <v>1289</v>
      </c>
      <c r="G187" s="173"/>
    </row>
    <row r="188" spans="2:10" x14ac:dyDescent="0.25">
      <c r="B188" s="204" t="s">
        <v>731</v>
      </c>
      <c r="C188" s="155" t="s">
        <v>828</v>
      </c>
      <c r="D188" s="147" t="s">
        <v>1258</v>
      </c>
      <c r="E188" s="171">
        <v>0</v>
      </c>
      <c r="F188" s="172" t="s">
        <v>1289</v>
      </c>
      <c r="G188" s="173"/>
    </row>
    <row r="189" spans="2:10" x14ac:dyDescent="0.25">
      <c r="B189" s="204" t="s">
        <v>731</v>
      </c>
      <c r="C189" s="155" t="s">
        <v>829</v>
      </c>
      <c r="D189" s="147" t="s">
        <v>1260</v>
      </c>
      <c r="E189" s="171">
        <v>3</v>
      </c>
      <c r="F189" s="172" t="s">
        <v>1289</v>
      </c>
      <c r="G189" s="173"/>
    </row>
    <row r="190" spans="2:10" x14ac:dyDescent="0.25">
      <c r="B190" s="204" t="s">
        <v>731</v>
      </c>
      <c r="C190" s="155" t="s">
        <v>830</v>
      </c>
      <c r="D190" s="147" t="s">
        <v>1258</v>
      </c>
      <c r="E190" s="171">
        <v>1</v>
      </c>
      <c r="F190" s="172" t="s">
        <v>1289</v>
      </c>
      <c r="G190" s="173"/>
    </row>
    <row r="191" spans="2:10" x14ac:dyDescent="0.25">
      <c r="B191" s="204" t="s">
        <v>731</v>
      </c>
      <c r="C191" s="155" t="s">
        <v>831</v>
      </c>
      <c r="D191" s="147"/>
      <c r="E191" s="171">
        <v>2</v>
      </c>
      <c r="F191" s="172"/>
      <c r="G191" s="150"/>
    </row>
    <row r="192" spans="2:10" x14ac:dyDescent="0.25">
      <c r="B192" s="204" t="s">
        <v>731</v>
      </c>
      <c r="C192" s="155" t="s">
        <v>832</v>
      </c>
      <c r="D192" s="147"/>
      <c r="E192" s="171">
        <v>0</v>
      </c>
      <c r="F192" s="172" t="s">
        <v>1289</v>
      </c>
      <c r="G192" s="173"/>
    </row>
    <row r="193" spans="2:11" x14ac:dyDescent="0.25">
      <c r="B193" s="204" t="s">
        <v>731</v>
      </c>
      <c r="C193" s="155" t="s">
        <v>833</v>
      </c>
      <c r="D193" s="147"/>
      <c r="E193" s="171">
        <v>7</v>
      </c>
      <c r="F193" s="172" t="s">
        <v>1288</v>
      </c>
      <c r="G193" s="156"/>
    </row>
    <row r="194" spans="2:11" x14ac:dyDescent="0.25">
      <c r="B194" s="204" t="s">
        <v>731</v>
      </c>
      <c r="C194" s="155" t="s">
        <v>834</v>
      </c>
      <c r="D194" s="147" t="s">
        <v>1258</v>
      </c>
      <c r="E194" s="171">
        <v>15</v>
      </c>
      <c r="F194" s="172" t="s">
        <v>1289</v>
      </c>
      <c r="G194" s="156"/>
    </row>
    <row r="195" spans="2:11" x14ac:dyDescent="0.25">
      <c r="B195" s="203" t="s">
        <v>6</v>
      </c>
      <c r="C195" s="137" t="s">
        <v>54</v>
      </c>
      <c r="D195" s="52" t="s">
        <v>1258</v>
      </c>
      <c r="E195" s="143">
        <v>115</v>
      </c>
      <c r="F195" s="175" t="s">
        <v>1288</v>
      </c>
      <c r="G195" s="153"/>
      <c r="I195" s="265" t="s">
        <v>55</v>
      </c>
      <c r="J195" s="266"/>
      <c r="K195" s="113" t="s">
        <v>23</v>
      </c>
    </row>
    <row r="196" spans="2:11" x14ac:dyDescent="0.25">
      <c r="B196" s="203" t="s">
        <v>6</v>
      </c>
      <c r="C196" s="138" t="s">
        <v>56</v>
      </c>
      <c r="D196" s="2" t="s">
        <v>1258</v>
      </c>
      <c r="E196" s="45">
        <v>95</v>
      </c>
      <c r="F196" s="175" t="s">
        <v>1289</v>
      </c>
      <c r="G196" s="153"/>
      <c r="I196" s="54" t="s">
        <v>25</v>
      </c>
      <c r="J196" s="55">
        <v>18</v>
      </c>
      <c r="K196" s="37">
        <v>0.28999999999999998</v>
      </c>
    </row>
    <row r="197" spans="2:11" x14ac:dyDescent="0.25">
      <c r="B197" s="203" t="s">
        <v>6</v>
      </c>
      <c r="C197" s="138" t="s">
        <v>57</v>
      </c>
      <c r="D197" s="2" t="s">
        <v>1258</v>
      </c>
      <c r="E197" s="45">
        <v>92</v>
      </c>
      <c r="F197" s="175" t="s">
        <v>1288</v>
      </c>
      <c r="G197" s="159"/>
      <c r="I197" s="56" t="s">
        <v>27</v>
      </c>
      <c r="J197" s="57">
        <v>44</v>
      </c>
      <c r="K197" s="36">
        <v>0.71</v>
      </c>
    </row>
    <row r="198" spans="2:11" x14ac:dyDescent="0.25">
      <c r="B198" s="203" t="s">
        <v>6</v>
      </c>
      <c r="C198" s="138" t="s">
        <v>58</v>
      </c>
      <c r="D198" s="2" t="s">
        <v>1258</v>
      </c>
      <c r="E198" s="45">
        <v>353</v>
      </c>
      <c r="F198" s="175" t="s">
        <v>1289</v>
      </c>
      <c r="G198" s="160"/>
      <c r="I198" s="58" t="s">
        <v>31</v>
      </c>
      <c r="J198" s="47">
        <f>SUM(J196:J197)</f>
        <v>62</v>
      </c>
      <c r="K198" s="34">
        <v>1</v>
      </c>
    </row>
    <row r="199" spans="2:11" x14ac:dyDescent="0.25">
      <c r="B199" s="203" t="s">
        <v>6</v>
      </c>
      <c r="C199" s="138" t="s">
        <v>59</v>
      </c>
      <c r="D199" s="2" t="s">
        <v>1258</v>
      </c>
      <c r="E199" s="45">
        <v>412</v>
      </c>
      <c r="F199" s="175" t="s">
        <v>1289</v>
      </c>
      <c r="G199" s="160"/>
    </row>
    <row r="200" spans="2:11" x14ac:dyDescent="0.25">
      <c r="B200" s="203" t="s">
        <v>6</v>
      </c>
      <c r="C200" s="138" t="s">
        <v>60</v>
      </c>
      <c r="D200" s="2" t="s">
        <v>1258</v>
      </c>
      <c r="E200" s="45">
        <v>160</v>
      </c>
      <c r="F200" s="175" t="s">
        <v>1288</v>
      </c>
      <c r="G200" s="160"/>
    </row>
    <row r="201" spans="2:11" x14ac:dyDescent="0.25">
      <c r="B201" s="203" t="s">
        <v>6</v>
      </c>
      <c r="C201" s="138" t="s">
        <v>61</v>
      </c>
      <c r="D201" s="2" t="s">
        <v>1258</v>
      </c>
      <c r="E201" s="45">
        <v>711</v>
      </c>
      <c r="F201" s="175" t="s">
        <v>1289</v>
      </c>
      <c r="G201" s="160"/>
      <c r="I201" t="s">
        <v>1266</v>
      </c>
      <c r="J201" t="s">
        <v>1279</v>
      </c>
    </row>
    <row r="202" spans="2:11" x14ac:dyDescent="0.25">
      <c r="B202" s="203" t="s">
        <v>6</v>
      </c>
      <c r="C202" s="138" t="s">
        <v>62</v>
      </c>
      <c r="D202" s="2" t="s">
        <v>1259</v>
      </c>
      <c r="E202" s="45">
        <v>90</v>
      </c>
      <c r="F202" s="175" t="s">
        <v>1288</v>
      </c>
      <c r="G202" s="160"/>
      <c r="I202" s="130" t="s">
        <v>1258</v>
      </c>
      <c r="J202">
        <v>7784</v>
      </c>
    </row>
    <row r="203" spans="2:11" x14ac:dyDescent="0.25">
      <c r="B203" s="203" t="s">
        <v>6</v>
      </c>
      <c r="C203" s="138" t="s">
        <v>63</v>
      </c>
      <c r="D203" s="2" t="s">
        <v>1258</v>
      </c>
      <c r="E203" s="45">
        <v>265</v>
      </c>
      <c r="F203" s="175" t="s">
        <v>1288</v>
      </c>
      <c r="G203" s="160"/>
      <c r="I203" s="130" t="s">
        <v>1259</v>
      </c>
      <c r="J203">
        <v>824</v>
      </c>
    </row>
    <row r="204" spans="2:11" x14ac:dyDescent="0.25">
      <c r="B204" s="203" t="s">
        <v>6</v>
      </c>
      <c r="C204" s="138" t="s">
        <v>64</v>
      </c>
      <c r="D204" s="2" t="s">
        <v>1258</v>
      </c>
      <c r="E204" s="45">
        <v>542</v>
      </c>
      <c r="F204" s="175" t="s">
        <v>1288</v>
      </c>
      <c r="G204" s="160"/>
      <c r="I204" s="130" t="s">
        <v>1260</v>
      </c>
      <c r="J204">
        <v>177</v>
      </c>
    </row>
    <row r="205" spans="2:11" x14ac:dyDescent="0.25">
      <c r="B205" s="203" t="s">
        <v>6</v>
      </c>
      <c r="C205" s="138" t="s">
        <v>65</v>
      </c>
      <c r="D205" s="2" t="s">
        <v>1258</v>
      </c>
      <c r="E205" s="45">
        <v>132</v>
      </c>
      <c r="F205" s="175" t="s">
        <v>1288</v>
      </c>
      <c r="G205" s="160"/>
      <c r="I205" s="130" t="s">
        <v>1264</v>
      </c>
      <c r="J205">
        <v>6</v>
      </c>
    </row>
    <row r="206" spans="2:11" x14ac:dyDescent="0.25">
      <c r="B206" s="203" t="s">
        <v>6</v>
      </c>
      <c r="C206" s="138" t="s">
        <v>66</v>
      </c>
      <c r="D206" s="2" t="s">
        <v>1259</v>
      </c>
      <c r="E206" s="45">
        <v>43</v>
      </c>
      <c r="F206" s="175" t="s">
        <v>1288</v>
      </c>
      <c r="G206" s="160"/>
      <c r="I206" s="130" t="s">
        <v>1265</v>
      </c>
      <c r="J206">
        <v>8791</v>
      </c>
    </row>
    <row r="207" spans="2:11" x14ac:dyDescent="0.25">
      <c r="B207" s="203" t="s">
        <v>6</v>
      </c>
      <c r="C207" s="138" t="s">
        <v>67</v>
      </c>
      <c r="D207" s="2" t="s">
        <v>1258</v>
      </c>
      <c r="E207" s="45">
        <v>140</v>
      </c>
      <c r="F207" s="175" t="s">
        <v>1288</v>
      </c>
      <c r="G207" s="160"/>
    </row>
    <row r="208" spans="2:11" x14ac:dyDescent="0.25">
      <c r="B208" s="203" t="s">
        <v>6</v>
      </c>
      <c r="C208" s="138" t="s">
        <v>68</v>
      </c>
      <c r="D208" s="2" t="s">
        <v>1258</v>
      </c>
      <c r="E208" s="45">
        <v>193</v>
      </c>
      <c r="F208" s="175" t="s">
        <v>1288</v>
      </c>
      <c r="G208" s="160"/>
    </row>
    <row r="209" spans="2:7" x14ac:dyDescent="0.25">
      <c r="B209" s="203" t="s">
        <v>6</v>
      </c>
      <c r="C209" s="138" t="s">
        <v>69</v>
      </c>
      <c r="D209" s="2" t="s">
        <v>1258</v>
      </c>
      <c r="E209" s="45">
        <v>273</v>
      </c>
      <c r="F209" s="175" t="s">
        <v>1289</v>
      </c>
      <c r="G209" s="160"/>
    </row>
    <row r="210" spans="2:7" x14ac:dyDescent="0.25">
      <c r="B210" s="203" t="s">
        <v>6</v>
      </c>
      <c r="C210" s="138" t="s">
        <v>70</v>
      </c>
      <c r="D210" s="2" t="s">
        <v>1258</v>
      </c>
      <c r="E210" s="45">
        <v>116</v>
      </c>
      <c r="F210" s="175" t="s">
        <v>1288</v>
      </c>
      <c r="G210" s="160"/>
    </row>
    <row r="211" spans="2:7" x14ac:dyDescent="0.25">
      <c r="B211" s="203" t="s">
        <v>6</v>
      </c>
      <c r="C211" s="138" t="s">
        <v>71</v>
      </c>
      <c r="D211" s="2" t="s">
        <v>1258</v>
      </c>
      <c r="E211" s="45">
        <v>250</v>
      </c>
      <c r="F211" s="175" t="s">
        <v>1289</v>
      </c>
      <c r="G211" s="160"/>
    </row>
    <row r="212" spans="2:7" x14ac:dyDescent="0.25">
      <c r="B212" s="203" t="s">
        <v>6</v>
      </c>
      <c r="C212" s="138" t="s">
        <v>72</v>
      </c>
      <c r="D212" s="2" t="s">
        <v>1258</v>
      </c>
      <c r="E212" s="45">
        <v>210</v>
      </c>
      <c r="F212" s="175" t="s">
        <v>1288</v>
      </c>
      <c r="G212" s="160"/>
    </row>
    <row r="213" spans="2:7" x14ac:dyDescent="0.25">
      <c r="B213" s="203" t="s">
        <v>6</v>
      </c>
      <c r="C213" s="138" t="s">
        <v>73</v>
      </c>
      <c r="D213" s="2" t="s">
        <v>1258</v>
      </c>
      <c r="E213" s="45">
        <v>98</v>
      </c>
      <c r="F213" s="175" t="s">
        <v>1288</v>
      </c>
      <c r="G213" s="160"/>
    </row>
    <row r="214" spans="2:7" x14ac:dyDescent="0.25">
      <c r="B214" s="203" t="s">
        <v>6</v>
      </c>
      <c r="C214" s="138" t="s">
        <v>74</v>
      </c>
      <c r="D214" s="2" t="s">
        <v>1258</v>
      </c>
      <c r="E214" s="45">
        <v>303</v>
      </c>
      <c r="F214" s="175" t="s">
        <v>1288</v>
      </c>
      <c r="G214" s="160"/>
    </row>
    <row r="215" spans="2:7" x14ac:dyDescent="0.25">
      <c r="B215" s="203" t="s">
        <v>6</v>
      </c>
      <c r="C215" s="138" t="s">
        <v>75</v>
      </c>
      <c r="D215" s="2" t="s">
        <v>1258</v>
      </c>
      <c r="E215" s="45">
        <v>23</v>
      </c>
      <c r="F215" s="175" t="s">
        <v>1288</v>
      </c>
      <c r="G215" s="160"/>
    </row>
    <row r="216" spans="2:7" x14ac:dyDescent="0.25">
      <c r="B216" s="203" t="s">
        <v>6</v>
      </c>
      <c r="C216" s="138" t="s">
        <v>76</v>
      </c>
      <c r="D216" s="2" t="s">
        <v>1259</v>
      </c>
      <c r="E216" s="45">
        <v>150</v>
      </c>
      <c r="F216" s="175" t="s">
        <v>1289</v>
      </c>
      <c r="G216" s="160"/>
    </row>
    <row r="217" spans="2:7" x14ac:dyDescent="0.25">
      <c r="B217" s="203" t="s">
        <v>6</v>
      </c>
      <c r="C217" s="138" t="s">
        <v>77</v>
      </c>
      <c r="D217" s="2" t="s">
        <v>1258</v>
      </c>
      <c r="E217" s="45">
        <v>182</v>
      </c>
      <c r="F217" s="175" t="s">
        <v>1289</v>
      </c>
      <c r="G217" s="160"/>
    </row>
    <row r="218" spans="2:7" x14ac:dyDescent="0.25">
      <c r="B218" s="203" t="s">
        <v>6</v>
      </c>
      <c r="C218" s="138" t="s">
        <v>78</v>
      </c>
      <c r="D218" s="2" t="s">
        <v>1258</v>
      </c>
      <c r="E218" s="45">
        <v>39</v>
      </c>
      <c r="F218" s="175" t="s">
        <v>1288</v>
      </c>
      <c r="G218" s="160"/>
    </row>
    <row r="219" spans="2:7" x14ac:dyDescent="0.25">
      <c r="B219" s="203" t="s">
        <v>6</v>
      </c>
      <c r="C219" s="138" t="s">
        <v>79</v>
      </c>
      <c r="D219" s="2" t="s">
        <v>1258</v>
      </c>
      <c r="E219" s="45">
        <v>55</v>
      </c>
      <c r="F219" s="175" t="s">
        <v>1288</v>
      </c>
      <c r="G219" s="160"/>
    </row>
    <row r="220" spans="2:7" x14ac:dyDescent="0.25">
      <c r="B220" s="203" t="s">
        <v>6</v>
      </c>
      <c r="C220" s="138" t="s">
        <v>80</v>
      </c>
      <c r="D220" s="2" t="s">
        <v>1258</v>
      </c>
      <c r="E220" s="45">
        <v>38</v>
      </c>
      <c r="F220" s="175" t="s">
        <v>1288</v>
      </c>
      <c r="G220" s="160"/>
    </row>
    <row r="221" spans="2:7" x14ac:dyDescent="0.25">
      <c r="B221" s="203" t="s">
        <v>6</v>
      </c>
      <c r="C221" s="138" t="s">
        <v>81</v>
      </c>
      <c r="D221" s="2" t="s">
        <v>1259</v>
      </c>
      <c r="E221" s="45">
        <v>188</v>
      </c>
      <c r="F221" s="175" t="s">
        <v>1288</v>
      </c>
      <c r="G221" s="160"/>
    </row>
    <row r="222" spans="2:7" x14ac:dyDescent="0.25">
      <c r="B222" s="203" t="s">
        <v>6</v>
      </c>
      <c r="C222" s="138" t="s">
        <v>82</v>
      </c>
      <c r="D222" s="2" t="s">
        <v>1258</v>
      </c>
      <c r="E222" s="45">
        <v>33</v>
      </c>
      <c r="F222" s="175"/>
      <c r="G222" s="160"/>
    </row>
    <row r="223" spans="2:7" x14ac:dyDescent="0.25">
      <c r="B223" s="203" t="s">
        <v>6</v>
      </c>
      <c r="C223" s="138" t="s">
        <v>83</v>
      </c>
      <c r="D223" s="2" t="s">
        <v>1260</v>
      </c>
      <c r="E223" s="45">
        <v>30</v>
      </c>
      <c r="F223" s="175" t="s">
        <v>1288</v>
      </c>
      <c r="G223" s="160"/>
    </row>
    <row r="224" spans="2:7" x14ac:dyDescent="0.25">
      <c r="B224" s="203" t="s">
        <v>6</v>
      </c>
      <c r="C224" s="138" t="s">
        <v>84</v>
      </c>
      <c r="D224" s="2" t="s">
        <v>1258</v>
      </c>
      <c r="E224" s="45">
        <v>220</v>
      </c>
      <c r="F224" s="175" t="s">
        <v>1289</v>
      </c>
      <c r="G224" s="160"/>
    </row>
    <row r="225" spans="2:7" x14ac:dyDescent="0.25">
      <c r="B225" s="203" t="s">
        <v>6</v>
      </c>
      <c r="C225" s="138" t="s">
        <v>85</v>
      </c>
      <c r="D225" s="2" t="s">
        <v>1258</v>
      </c>
      <c r="E225" s="45">
        <v>62</v>
      </c>
      <c r="F225" s="175" t="s">
        <v>1288</v>
      </c>
      <c r="G225" s="160"/>
    </row>
    <row r="226" spans="2:7" x14ac:dyDescent="0.25">
      <c r="B226" s="203" t="s">
        <v>6</v>
      </c>
      <c r="C226" s="138" t="s">
        <v>86</v>
      </c>
      <c r="D226" s="2" t="s">
        <v>1258</v>
      </c>
      <c r="E226" s="45">
        <v>56</v>
      </c>
      <c r="F226" s="175" t="s">
        <v>1289</v>
      </c>
      <c r="G226" s="160"/>
    </row>
    <row r="227" spans="2:7" x14ac:dyDescent="0.25">
      <c r="B227" s="203" t="s">
        <v>6</v>
      </c>
      <c r="C227" s="138" t="s">
        <v>87</v>
      </c>
      <c r="D227" s="2" t="s">
        <v>1258</v>
      </c>
      <c r="E227" s="45">
        <v>59</v>
      </c>
      <c r="F227" s="175" t="s">
        <v>1288</v>
      </c>
      <c r="G227" s="160"/>
    </row>
    <row r="228" spans="2:7" x14ac:dyDescent="0.25">
      <c r="B228" s="203" t="s">
        <v>6</v>
      </c>
      <c r="C228" s="138" t="s">
        <v>88</v>
      </c>
      <c r="D228" s="2" t="s">
        <v>1258</v>
      </c>
      <c r="E228" s="45">
        <v>86</v>
      </c>
      <c r="F228" s="175" t="s">
        <v>1288</v>
      </c>
      <c r="G228" s="160"/>
    </row>
    <row r="229" spans="2:7" x14ac:dyDescent="0.25">
      <c r="B229" s="203" t="s">
        <v>6</v>
      </c>
      <c r="C229" s="138" t="s">
        <v>89</v>
      </c>
      <c r="D229" s="2" t="s">
        <v>1258</v>
      </c>
      <c r="E229" s="45">
        <v>281</v>
      </c>
      <c r="F229" s="175" t="s">
        <v>1288</v>
      </c>
      <c r="G229" s="160"/>
    </row>
    <row r="230" spans="2:7" x14ac:dyDescent="0.25">
      <c r="B230" s="203" t="s">
        <v>6</v>
      </c>
      <c r="C230" s="138" t="s">
        <v>90</v>
      </c>
      <c r="D230" s="2" t="s">
        <v>1258</v>
      </c>
      <c r="E230" s="45">
        <v>293</v>
      </c>
      <c r="F230" s="175" t="s">
        <v>1288</v>
      </c>
      <c r="G230" s="160"/>
    </row>
    <row r="231" spans="2:7" x14ac:dyDescent="0.25">
      <c r="B231" s="203" t="s">
        <v>6</v>
      </c>
      <c r="C231" s="138" t="s">
        <v>91</v>
      </c>
      <c r="D231" s="2" t="s">
        <v>1258</v>
      </c>
      <c r="E231" s="45">
        <v>393</v>
      </c>
      <c r="F231" s="175" t="s">
        <v>1288</v>
      </c>
      <c r="G231" s="160"/>
    </row>
    <row r="232" spans="2:7" x14ac:dyDescent="0.25">
      <c r="B232" s="203" t="s">
        <v>6</v>
      </c>
      <c r="C232" s="138" t="s">
        <v>92</v>
      </c>
      <c r="D232" s="2" t="s">
        <v>1258</v>
      </c>
      <c r="E232" s="45">
        <v>63</v>
      </c>
      <c r="F232" s="175" t="s">
        <v>1288</v>
      </c>
      <c r="G232" s="160"/>
    </row>
    <row r="233" spans="2:7" x14ac:dyDescent="0.25">
      <c r="B233" s="203" t="s">
        <v>6</v>
      </c>
      <c r="C233" s="138" t="s">
        <v>93</v>
      </c>
      <c r="D233" s="2" t="s">
        <v>1258</v>
      </c>
      <c r="E233" s="45">
        <v>74</v>
      </c>
      <c r="F233" s="175" t="s">
        <v>1288</v>
      </c>
      <c r="G233" s="160"/>
    </row>
    <row r="234" spans="2:7" x14ac:dyDescent="0.25">
      <c r="B234" s="203" t="s">
        <v>6</v>
      </c>
      <c r="C234" s="138" t="s">
        <v>94</v>
      </c>
      <c r="D234" s="2" t="s">
        <v>1258</v>
      </c>
      <c r="E234" s="45">
        <v>85</v>
      </c>
      <c r="F234" s="175" t="s">
        <v>1288</v>
      </c>
      <c r="G234" s="160"/>
    </row>
    <row r="235" spans="2:7" x14ac:dyDescent="0.25">
      <c r="B235" s="203" t="s">
        <v>6</v>
      </c>
      <c r="C235" s="138" t="s">
        <v>95</v>
      </c>
      <c r="D235" s="2" t="s">
        <v>1259</v>
      </c>
      <c r="E235" s="45">
        <v>155</v>
      </c>
      <c r="F235" s="175" t="s">
        <v>1288</v>
      </c>
      <c r="G235" s="160"/>
    </row>
    <row r="236" spans="2:7" x14ac:dyDescent="0.25">
      <c r="B236" s="203" t="s">
        <v>6</v>
      </c>
      <c r="C236" s="138" t="s">
        <v>96</v>
      </c>
      <c r="D236" s="2" t="s">
        <v>1258</v>
      </c>
      <c r="E236" s="45">
        <v>205</v>
      </c>
      <c r="F236" s="175" t="s">
        <v>1288</v>
      </c>
      <c r="G236" s="160"/>
    </row>
    <row r="237" spans="2:7" x14ac:dyDescent="0.25">
      <c r="B237" s="203" t="s">
        <v>6</v>
      </c>
      <c r="C237" s="138" t="s">
        <v>97</v>
      </c>
      <c r="D237" s="2" t="s">
        <v>1260</v>
      </c>
      <c r="E237" s="45">
        <v>134</v>
      </c>
      <c r="F237" s="175" t="s">
        <v>1289</v>
      </c>
      <c r="G237" s="160"/>
    </row>
    <row r="238" spans="2:7" x14ac:dyDescent="0.25">
      <c r="B238" s="203" t="s">
        <v>6</v>
      </c>
      <c r="C238" s="138" t="s">
        <v>98</v>
      </c>
      <c r="D238" s="2" t="s">
        <v>1258</v>
      </c>
      <c r="E238" s="45">
        <v>13</v>
      </c>
      <c r="F238" s="175" t="s">
        <v>1288</v>
      </c>
      <c r="G238" s="160"/>
    </row>
    <row r="239" spans="2:7" x14ac:dyDescent="0.25">
      <c r="B239" s="203" t="s">
        <v>6</v>
      </c>
      <c r="C239" s="138" t="s">
        <v>99</v>
      </c>
      <c r="D239" s="2" t="s">
        <v>1258</v>
      </c>
      <c r="E239" s="45">
        <v>15</v>
      </c>
      <c r="F239" s="175" t="s">
        <v>1289</v>
      </c>
      <c r="G239" s="160"/>
    </row>
    <row r="240" spans="2:7" x14ac:dyDescent="0.25">
      <c r="B240" s="203" t="s">
        <v>6</v>
      </c>
      <c r="C240" s="138" t="s">
        <v>100</v>
      </c>
      <c r="D240" s="2" t="s">
        <v>1258</v>
      </c>
      <c r="E240" s="45">
        <v>56</v>
      </c>
      <c r="F240" s="175" t="s">
        <v>1288</v>
      </c>
      <c r="G240" s="160"/>
    </row>
    <row r="241" spans="2:7" x14ac:dyDescent="0.25">
      <c r="B241" s="203" t="s">
        <v>6</v>
      </c>
      <c r="C241" s="138" t="s">
        <v>101</v>
      </c>
      <c r="D241" s="2" t="s">
        <v>1258</v>
      </c>
      <c r="E241" s="45">
        <v>27</v>
      </c>
      <c r="F241" s="175" t="s">
        <v>1288</v>
      </c>
      <c r="G241" s="160"/>
    </row>
    <row r="242" spans="2:7" x14ac:dyDescent="0.25">
      <c r="B242" s="203" t="s">
        <v>6</v>
      </c>
      <c r="C242" s="138" t="s">
        <v>102</v>
      </c>
      <c r="D242" s="2" t="s">
        <v>1259</v>
      </c>
      <c r="E242" s="45">
        <v>49</v>
      </c>
      <c r="F242" s="175" t="s">
        <v>1288</v>
      </c>
      <c r="G242" s="160"/>
    </row>
    <row r="243" spans="2:7" x14ac:dyDescent="0.25">
      <c r="B243" s="203" t="s">
        <v>6</v>
      </c>
      <c r="C243" s="138" t="s">
        <v>103</v>
      </c>
      <c r="D243" s="2" t="s">
        <v>1260</v>
      </c>
      <c r="E243" s="45">
        <v>13</v>
      </c>
      <c r="F243" s="175" t="s">
        <v>1289</v>
      </c>
      <c r="G243" s="160"/>
    </row>
    <row r="244" spans="2:7" x14ac:dyDescent="0.25">
      <c r="B244" s="203" t="s">
        <v>6</v>
      </c>
      <c r="C244" s="138" t="s">
        <v>104</v>
      </c>
      <c r="D244" s="2" t="s">
        <v>1258</v>
      </c>
      <c r="E244" s="45">
        <v>115</v>
      </c>
      <c r="F244" s="175" t="s">
        <v>1288</v>
      </c>
      <c r="G244" s="160"/>
    </row>
    <row r="245" spans="2:7" x14ac:dyDescent="0.25">
      <c r="B245" s="203" t="s">
        <v>6</v>
      </c>
      <c r="C245" s="138" t="s">
        <v>105</v>
      </c>
      <c r="D245" s="2" t="s">
        <v>1258</v>
      </c>
      <c r="E245" s="45">
        <v>418</v>
      </c>
      <c r="F245" s="175" t="s">
        <v>1288</v>
      </c>
      <c r="G245" s="160"/>
    </row>
    <row r="246" spans="2:7" x14ac:dyDescent="0.25">
      <c r="B246" s="203" t="s">
        <v>6</v>
      </c>
      <c r="C246" s="138" t="s">
        <v>106</v>
      </c>
      <c r="D246" s="2" t="s">
        <v>1258</v>
      </c>
      <c r="E246" s="45">
        <v>49</v>
      </c>
      <c r="F246" s="175" t="s">
        <v>1288</v>
      </c>
      <c r="G246" s="160"/>
    </row>
    <row r="247" spans="2:7" x14ac:dyDescent="0.25">
      <c r="B247" s="203" t="s">
        <v>6</v>
      </c>
      <c r="C247" s="138" t="s">
        <v>107</v>
      </c>
      <c r="D247" s="2" t="s">
        <v>1258</v>
      </c>
      <c r="E247" s="45">
        <v>126</v>
      </c>
      <c r="F247" s="175" t="s">
        <v>1289</v>
      </c>
      <c r="G247" s="160"/>
    </row>
    <row r="248" spans="2:7" x14ac:dyDescent="0.25">
      <c r="B248" s="203" t="s">
        <v>6</v>
      </c>
      <c r="C248" s="138" t="s">
        <v>108</v>
      </c>
      <c r="D248" s="2" t="s">
        <v>1258</v>
      </c>
      <c r="E248" s="45">
        <v>43</v>
      </c>
      <c r="F248" s="175" t="s">
        <v>1288</v>
      </c>
      <c r="G248" s="160"/>
    </row>
    <row r="249" spans="2:7" x14ac:dyDescent="0.25">
      <c r="B249" s="203" t="s">
        <v>6</v>
      </c>
      <c r="C249" s="138" t="s">
        <v>109</v>
      </c>
      <c r="D249" s="2" t="s">
        <v>1258</v>
      </c>
      <c r="E249" s="45">
        <v>34</v>
      </c>
      <c r="F249" s="175" t="s">
        <v>1288</v>
      </c>
      <c r="G249" s="160"/>
    </row>
    <row r="250" spans="2:7" x14ac:dyDescent="0.25">
      <c r="B250" s="203" t="s">
        <v>6</v>
      </c>
      <c r="C250" s="138" t="s">
        <v>110</v>
      </c>
      <c r="D250" s="2"/>
      <c r="E250" s="45">
        <v>2</v>
      </c>
      <c r="F250" s="175" t="s">
        <v>1289</v>
      </c>
      <c r="G250" s="160"/>
    </row>
    <row r="251" spans="2:7" x14ac:dyDescent="0.25">
      <c r="B251" s="203" t="s">
        <v>6</v>
      </c>
      <c r="C251" s="138" t="s">
        <v>111</v>
      </c>
      <c r="D251" s="2" t="s">
        <v>1258</v>
      </c>
      <c r="E251" s="45">
        <v>19</v>
      </c>
      <c r="F251" s="175" t="s">
        <v>1288</v>
      </c>
      <c r="G251" s="160"/>
    </row>
    <row r="252" spans="2:7" x14ac:dyDescent="0.25">
      <c r="B252" s="203" t="s">
        <v>6</v>
      </c>
      <c r="C252" s="138" t="s">
        <v>112</v>
      </c>
      <c r="D252" s="2" t="s">
        <v>1258</v>
      </c>
      <c r="E252" s="45">
        <v>79</v>
      </c>
      <c r="F252" s="175" t="s">
        <v>1289</v>
      </c>
      <c r="G252" s="160"/>
    </row>
    <row r="253" spans="2:7" x14ac:dyDescent="0.25">
      <c r="B253" s="203" t="s">
        <v>6</v>
      </c>
      <c r="C253" s="138" t="s">
        <v>113</v>
      </c>
      <c r="D253" s="2" t="s">
        <v>1258</v>
      </c>
      <c r="E253" s="45">
        <v>174</v>
      </c>
      <c r="F253" s="175" t="s">
        <v>1288</v>
      </c>
      <c r="G253" s="160"/>
    </row>
    <row r="254" spans="2:7" x14ac:dyDescent="0.25">
      <c r="B254" s="203" t="s">
        <v>6</v>
      </c>
      <c r="C254" s="138" t="s">
        <v>114</v>
      </c>
      <c r="D254" s="2" t="s">
        <v>1259</v>
      </c>
      <c r="E254" s="45">
        <v>27</v>
      </c>
      <c r="F254" s="175" t="s">
        <v>1288</v>
      </c>
      <c r="G254" s="160"/>
    </row>
    <row r="255" spans="2:7" x14ac:dyDescent="0.25">
      <c r="B255" s="203" t="s">
        <v>6</v>
      </c>
      <c r="C255" s="138" t="s">
        <v>115</v>
      </c>
      <c r="D255" s="2" t="s">
        <v>1259</v>
      </c>
      <c r="E255" s="45">
        <v>122</v>
      </c>
      <c r="F255" s="175" t="s">
        <v>1288</v>
      </c>
      <c r="G255" s="160"/>
    </row>
    <row r="256" spans="2:7" x14ac:dyDescent="0.25">
      <c r="B256" s="203" t="s">
        <v>6</v>
      </c>
      <c r="C256" s="138" t="s">
        <v>116</v>
      </c>
      <c r="D256" s="2"/>
      <c r="E256" s="45">
        <v>4</v>
      </c>
      <c r="F256" s="175" t="s">
        <v>1289</v>
      </c>
      <c r="G256" s="160"/>
    </row>
    <row r="257" spans="2:10" x14ac:dyDescent="0.25">
      <c r="B257" s="203" t="s">
        <v>6</v>
      </c>
      <c r="C257" s="138" t="s">
        <v>117</v>
      </c>
      <c r="D257" s="2" t="s">
        <v>1258</v>
      </c>
      <c r="E257" s="45">
        <v>24</v>
      </c>
      <c r="F257" s="175" t="s">
        <v>1289</v>
      </c>
      <c r="G257" s="160"/>
    </row>
    <row r="258" spans="2:10" x14ac:dyDescent="0.25">
      <c r="B258" s="204" t="s">
        <v>734</v>
      </c>
      <c r="C258" s="178" t="s">
        <v>1180</v>
      </c>
      <c r="D258" s="179" t="s">
        <v>1258</v>
      </c>
      <c r="E258" s="171">
        <v>303</v>
      </c>
      <c r="F258" s="172"/>
      <c r="G258" s="150"/>
    </row>
    <row r="259" spans="2:10" x14ac:dyDescent="0.25">
      <c r="B259" s="204" t="s">
        <v>734</v>
      </c>
      <c r="C259" s="178" t="s">
        <v>1181</v>
      </c>
      <c r="D259" s="179" t="s">
        <v>1258</v>
      </c>
      <c r="E259" s="171">
        <v>322</v>
      </c>
      <c r="F259" s="172"/>
      <c r="G259" s="150"/>
    </row>
    <row r="260" spans="2:10" x14ac:dyDescent="0.25">
      <c r="B260" s="204" t="s">
        <v>734</v>
      </c>
      <c r="C260" s="178" t="s">
        <v>1182</v>
      </c>
      <c r="D260" s="179" t="s">
        <v>1258</v>
      </c>
      <c r="E260" s="171">
        <v>210</v>
      </c>
      <c r="F260" s="172"/>
      <c r="G260" s="150"/>
      <c r="I260" t="s">
        <v>1266</v>
      </c>
      <c r="J260" t="s">
        <v>1276</v>
      </c>
    </row>
    <row r="261" spans="2:10" x14ac:dyDescent="0.25">
      <c r="B261" s="204" t="s">
        <v>734</v>
      </c>
      <c r="C261" s="178" t="s">
        <v>1183</v>
      </c>
      <c r="D261" s="179" t="s">
        <v>1258</v>
      </c>
      <c r="E261" s="171">
        <v>471</v>
      </c>
      <c r="F261" s="172"/>
      <c r="G261" s="150"/>
      <c r="I261" s="130" t="s">
        <v>1258</v>
      </c>
      <c r="J261">
        <v>5320</v>
      </c>
    </row>
    <row r="262" spans="2:10" x14ac:dyDescent="0.25">
      <c r="B262" s="204" t="s">
        <v>734</v>
      </c>
      <c r="C262" s="178" t="s">
        <v>1184</v>
      </c>
      <c r="D262" s="179" t="s">
        <v>1258</v>
      </c>
      <c r="E262" s="171">
        <v>101</v>
      </c>
      <c r="F262" s="172"/>
      <c r="G262" s="150"/>
      <c r="I262" s="130" t="s">
        <v>1259</v>
      </c>
      <c r="J262">
        <v>409</v>
      </c>
    </row>
    <row r="263" spans="2:10" x14ac:dyDescent="0.25">
      <c r="B263" s="204" t="s">
        <v>734</v>
      </c>
      <c r="C263" s="178" t="s">
        <v>1185</v>
      </c>
      <c r="D263" s="179" t="s">
        <v>1258</v>
      </c>
      <c r="E263" s="171">
        <v>196</v>
      </c>
      <c r="F263" s="172"/>
      <c r="G263" s="150"/>
      <c r="I263" s="130" t="s">
        <v>1260</v>
      </c>
      <c r="J263">
        <v>1705</v>
      </c>
    </row>
    <row r="264" spans="2:10" x14ac:dyDescent="0.25">
      <c r="B264" s="204" t="s">
        <v>734</v>
      </c>
      <c r="C264" s="178" t="s">
        <v>1186</v>
      </c>
      <c r="D264" s="179" t="s">
        <v>1260</v>
      </c>
      <c r="E264" s="171">
        <v>106</v>
      </c>
      <c r="F264" s="172"/>
      <c r="G264" s="150"/>
      <c r="I264" s="130" t="s">
        <v>1265</v>
      </c>
      <c r="J264">
        <v>7434</v>
      </c>
    </row>
    <row r="265" spans="2:10" x14ac:dyDescent="0.25">
      <c r="B265" s="204" t="s">
        <v>734</v>
      </c>
      <c r="C265" s="178" t="s">
        <v>413</v>
      </c>
      <c r="D265" s="179" t="s">
        <v>1258</v>
      </c>
      <c r="E265" s="171">
        <v>182</v>
      </c>
      <c r="F265" s="172"/>
      <c r="G265" s="150"/>
    </row>
    <row r="266" spans="2:10" x14ac:dyDescent="0.25">
      <c r="B266" s="204" t="s">
        <v>734</v>
      </c>
      <c r="C266" s="178" t="s">
        <v>1187</v>
      </c>
      <c r="D266" s="179" t="s">
        <v>1258</v>
      </c>
      <c r="E266" s="171">
        <v>184</v>
      </c>
      <c r="F266" s="172"/>
      <c r="G266" s="150"/>
    </row>
    <row r="267" spans="2:10" x14ac:dyDescent="0.25">
      <c r="B267" s="204" t="s">
        <v>734</v>
      </c>
      <c r="C267" s="178" t="s">
        <v>1188</v>
      </c>
      <c r="D267" s="179" t="s">
        <v>1259</v>
      </c>
      <c r="E267" s="171">
        <v>14</v>
      </c>
      <c r="F267" s="172"/>
      <c r="G267" s="150"/>
    </row>
    <row r="268" spans="2:10" x14ac:dyDescent="0.25">
      <c r="B268" s="204" t="s">
        <v>734</v>
      </c>
      <c r="C268" s="178" t="s">
        <v>838</v>
      </c>
      <c r="D268" s="179" t="s">
        <v>1258</v>
      </c>
      <c r="E268" s="171">
        <v>367</v>
      </c>
      <c r="F268" s="172"/>
      <c r="G268" s="150"/>
    </row>
    <row r="269" spans="2:10" x14ac:dyDescent="0.25">
      <c r="B269" s="204" t="s">
        <v>734</v>
      </c>
      <c r="C269" s="178" t="s">
        <v>1189</v>
      </c>
      <c r="D269" s="179" t="s">
        <v>1259</v>
      </c>
      <c r="E269" s="171">
        <v>278</v>
      </c>
      <c r="F269" s="172"/>
      <c r="G269" s="150"/>
    </row>
    <row r="270" spans="2:10" x14ac:dyDescent="0.25">
      <c r="B270" s="204" t="s">
        <v>734</v>
      </c>
      <c r="C270" s="178" t="s">
        <v>1190</v>
      </c>
      <c r="D270" s="179" t="s">
        <v>1258</v>
      </c>
      <c r="E270" s="171">
        <v>111</v>
      </c>
      <c r="F270" s="172"/>
      <c r="G270" s="150"/>
    </row>
    <row r="271" spans="2:10" x14ac:dyDescent="0.25">
      <c r="B271" s="204" t="s">
        <v>734</v>
      </c>
      <c r="C271" s="178" t="s">
        <v>1191</v>
      </c>
      <c r="D271" s="179" t="s">
        <v>1258</v>
      </c>
      <c r="E271" s="171">
        <v>102</v>
      </c>
      <c r="F271" s="172"/>
      <c r="G271" s="150"/>
    </row>
    <row r="272" spans="2:10" x14ac:dyDescent="0.25">
      <c r="B272" s="204" t="s">
        <v>734</v>
      </c>
      <c r="C272" s="178" t="s">
        <v>1192</v>
      </c>
      <c r="D272" s="179" t="s">
        <v>1260</v>
      </c>
      <c r="E272" s="171">
        <v>129</v>
      </c>
      <c r="F272" s="172"/>
      <c r="G272" s="150"/>
    </row>
    <row r="273" spans="2:7" x14ac:dyDescent="0.25">
      <c r="B273" s="204" t="s">
        <v>734</v>
      </c>
      <c r="C273" s="178" t="s">
        <v>1193</v>
      </c>
      <c r="D273" s="179" t="s">
        <v>1258</v>
      </c>
      <c r="E273" s="171">
        <v>231</v>
      </c>
      <c r="F273" s="172"/>
      <c r="G273" s="150"/>
    </row>
    <row r="274" spans="2:7" x14ac:dyDescent="0.25">
      <c r="B274" s="204" t="s">
        <v>734</v>
      </c>
      <c r="C274" s="178" t="s">
        <v>1194</v>
      </c>
      <c r="D274" s="179" t="s">
        <v>1260</v>
      </c>
      <c r="E274" s="171">
        <v>204</v>
      </c>
      <c r="F274" s="172"/>
      <c r="G274" s="150"/>
    </row>
    <row r="275" spans="2:7" x14ac:dyDescent="0.25">
      <c r="B275" s="204" t="s">
        <v>734</v>
      </c>
      <c r="C275" s="178" t="s">
        <v>1195</v>
      </c>
      <c r="D275" s="179" t="s">
        <v>1259</v>
      </c>
      <c r="E275" s="171">
        <v>63</v>
      </c>
      <c r="F275" s="172"/>
      <c r="G275" s="150"/>
    </row>
    <row r="276" spans="2:7" x14ac:dyDescent="0.25">
      <c r="B276" s="204" t="s">
        <v>734</v>
      </c>
      <c r="C276" s="178" t="s">
        <v>1196</v>
      </c>
      <c r="D276" s="179" t="s">
        <v>1258</v>
      </c>
      <c r="E276" s="171">
        <v>54</v>
      </c>
      <c r="F276" s="172"/>
      <c r="G276" s="150"/>
    </row>
    <row r="277" spans="2:7" x14ac:dyDescent="0.25">
      <c r="B277" s="204" t="s">
        <v>734</v>
      </c>
      <c r="C277" s="178" t="s">
        <v>1197</v>
      </c>
      <c r="D277" s="179" t="s">
        <v>1260</v>
      </c>
      <c r="E277" s="171">
        <v>138</v>
      </c>
      <c r="F277" s="172"/>
      <c r="G277" s="150"/>
    </row>
    <row r="278" spans="2:7" x14ac:dyDescent="0.25">
      <c r="B278" s="204" t="s">
        <v>734</v>
      </c>
      <c r="C278" s="178" t="s">
        <v>1198</v>
      </c>
      <c r="D278" s="179" t="s">
        <v>1258</v>
      </c>
      <c r="E278" s="171">
        <v>216</v>
      </c>
      <c r="F278" s="172"/>
      <c r="G278" s="150"/>
    </row>
    <row r="279" spans="2:7" x14ac:dyDescent="0.25">
      <c r="B279" s="204" t="s">
        <v>734</v>
      </c>
      <c r="C279" s="178" t="s">
        <v>1199</v>
      </c>
      <c r="D279" s="179" t="s">
        <v>1260</v>
      </c>
      <c r="E279" s="171">
        <v>166</v>
      </c>
      <c r="F279" s="172"/>
      <c r="G279" s="150"/>
    </row>
    <row r="280" spans="2:7" x14ac:dyDescent="0.25">
      <c r="B280" s="204" t="s">
        <v>734</v>
      </c>
      <c r="C280" s="178" t="s">
        <v>1200</v>
      </c>
      <c r="D280" s="179" t="s">
        <v>1258</v>
      </c>
      <c r="E280" s="171">
        <v>33</v>
      </c>
      <c r="F280" s="172"/>
      <c r="G280" s="150"/>
    </row>
    <row r="281" spans="2:7" x14ac:dyDescent="0.25">
      <c r="B281" s="204" t="s">
        <v>734</v>
      </c>
      <c r="C281" s="178" t="s">
        <v>1201</v>
      </c>
      <c r="D281" s="179" t="s">
        <v>1258</v>
      </c>
      <c r="E281" s="171">
        <v>293</v>
      </c>
      <c r="F281" s="172"/>
      <c r="G281" s="150"/>
    </row>
    <row r="282" spans="2:7" x14ac:dyDescent="0.25">
      <c r="B282" s="204" t="s">
        <v>734</v>
      </c>
      <c r="C282" s="178" t="s">
        <v>1202</v>
      </c>
      <c r="D282" s="179" t="s">
        <v>1258</v>
      </c>
      <c r="E282" s="171">
        <v>123</v>
      </c>
      <c r="F282" s="172"/>
      <c r="G282" s="150"/>
    </row>
    <row r="283" spans="2:7" x14ac:dyDescent="0.25">
      <c r="B283" s="204" t="s">
        <v>734</v>
      </c>
      <c r="C283" s="178" t="s">
        <v>1203</v>
      </c>
      <c r="D283" s="179" t="s">
        <v>1258</v>
      </c>
      <c r="E283" s="171">
        <v>199</v>
      </c>
      <c r="F283" s="172"/>
      <c r="G283" s="150"/>
    </row>
    <row r="284" spans="2:7" x14ac:dyDescent="0.25">
      <c r="B284" s="204" t="s">
        <v>734</v>
      </c>
      <c r="C284" s="178" t="s">
        <v>1204</v>
      </c>
      <c r="D284" s="179" t="s">
        <v>1260</v>
      </c>
      <c r="E284" s="171">
        <v>68</v>
      </c>
      <c r="F284" s="172"/>
      <c r="G284" s="150"/>
    </row>
    <row r="285" spans="2:7" x14ac:dyDescent="0.25">
      <c r="B285" s="204" t="s">
        <v>734</v>
      </c>
      <c r="C285" s="178" t="s">
        <v>1205</v>
      </c>
      <c r="D285" s="179" t="s">
        <v>1260</v>
      </c>
      <c r="E285" s="171">
        <v>83</v>
      </c>
      <c r="F285" s="172"/>
      <c r="G285" s="150"/>
    </row>
    <row r="286" spans="2:7" x14ac:dyDescent="0.25">
      <c r="B286" s="204" t="s">
        <v>734</v>
      </c>
      <c r="C286" s="178" t="s">
        <v>1206</v>
      </c>
      <c r="D286" s="179" t="s">
        <v>1260</v>
      </c>
      <c r="E286" s="171">
        <v>211</v>
      </c>
      <c r="F286" s="172"/>
      <c r="G286" s="150"/>
    </row>
    <row r="287" spans="2:7" x14ac:dyDescent="0.25">
      <c r="B287" s="204" t="s">
        <v>734</v>
      </c>
      <c r="C287" s="178" t="s">
        <v>1207</v>
      </c>
      <c r="D287" s="179" t="s">
        <v>1258</v>
      </c>
      <c r="E287" s="171">
        <v>123</v>
      </c>
      <c r="F287" s="172"/>
      <c r="G287" s="150"/>
    </row>
    <row r="288" spans="2:7" x14ac:dyDescent="0.25">
      <c r="B288" s="204" t="s">
        <v>734</v>
      </c>
      <c r="C288" s="178" t="s">
        <v>1208</v>
      </c>
      <c r="D288" s="179" t="s">
        <v>1260</v>
      </c>
      <c r="E288" s="171">
        <v>280</v>
      </c>
      <c r="F288" s="172"/>
      <c r="G288" s="150"/>
    </row>
    <row r="289" spans="2:7" x14ac:dyDescent="0.25">
      <c r="B289" s="204" t="s">
        <v>734</v>
      </c>
      <c r="C289" s="178" t="s">
        <v>1209</v>
      </c>
      <c r="D289" s="179" t="s">
        <v>1258</v>
      </c>
      <c r="E289" s="171">
        <v>196</v>
      </c>
      <c r="F289" s="172"/>
      <c r="G289" s="150"/>
    </row>
    <row r="290" spans="2:7" x14ac:dyDescent="0.25">
      <c r="B290" s="204" t="s">
        <v>734</v>
      </c>
      <c r="C290" s="178" t="s">
        <v>1210</v>
      </c>
      <c r="D290" s="179" t="s">
        <v>1258</v>
      </c>
      <c r="E290" s="171">
        <v>15</v>
      </c>
      <c r="F290" s="172"/>
      <c r="G290" s="150"/>
    </row>
    <row r="291" spans="2:7" x14ac:dyDescent="0.25">
      <c r="B291" s="204" t="s">
        <v>734</v>
      </c>
      <c r="C291" s="178" t="s">
        <v>1211</v>
      </c>
      <c r="D291" s="179" t="s">
        <v>1258</v>
      </c>
      <c r="E291" s="171">
        <v>251</v>
      </c>
      <c r="F291" s="172"/>
      <c r="G291" s="150"/>
    </row>
    <row r="292" spans="2:7" x14ac:dyDescent="0.25">
      <c r="B292" s="204" t="s">
        <v>734</v>
      </c>
      <c r="C292" s="178" t="s">
        <v>1212</v>
      </c>
      <c r="D292" s="179" t="s">
        <v>1258</v>
      </c>
      <c r="E292" s="171">
        <v>71</v>
      </c>
      <c r="F292" s="172"/>
      <c r="G292" s="150"/>
    </row>
    <row r="293" spans="2:7" x14ac:dyDescent="0.25">
      <c r="B293" s="204" t="s">
        <v>734</v>
      </c>
      <c r="C293" s="178" t="s">
        <v>411</v>
      </c>
      <c r="D293" s="179" t="s">
        <v>1258</v>
      </c>
      <c r="E293" s="171">
        <v>73</v>
      </c>
      <c r="F293" s="172"/>
      <c r="G293" s="150"/>
    </row>
    <row r="294" spans="2:7" x14ac:dyDescent="0.25">
      <c r="B294" s="204" t="s">
        <v>734</v>
      </c>
      <c r="C294" s="178" t="s">
        <v>1213</v>
      </c>
      <c r="D294" s="179" t="s">
        <v>1258</v>
      </c>
      <c r="E294" s="171">
        <v>38</v>
      </c>
      <c r="F294" s="172"/>
      <c r="G294" s="150"/>
    </row>
    <row r="295" spans="2:7" x14ac:dyDescent="0.25">
      <c r="B295" s="204" t="s">
        <v>734</v>
      </c>
      <c r="C295" s="178" t="s">
        <v>960</v>
      </c>
      <c r="D295" s="179" t="s">
        <v>1258</v>
      </c>
      <c r="E295" s="171">
        <v>20</v>
      </c>
      <c r="F295" s="172"/>
      <c r="G295" s="150"/>
    </row>
    <row r="296" spans="2:7" x14ac:dyDescent="0.25">
      <c r="B296" s="204" t="s">
        <v>734</v>
      </c>
      <c r="C296" s="178" t="s">
        <v>1214</v>
      </c>
      <c r="D296" s="179" t="s">
        <v>1258</v>
      </c>
      <c r="E296" s="171">
        <v>46</v>
      </c>
      <c r="F296" s="172"/>
      <c r="G296" s="150"/>
    </row>
    <row r="297" spans="2:7" x14ac:dyDescent="0.25">
      <c r="B297" s="204" t="s">
        <v>734</v>
      </c>
      <c r="C297" s="178" t="s">
        <v>1215</v>
      </c>
      <c r="D297" s="179" t="s">
        <v>1258</v>
      </c>
      <c r="E297" s="171">
        <v>6</v>
      </c>
      <c r="F297" s="172"/>
      <c r="G297" s="150"/>
    </row>
    <row r="298" spans="2:7" x14ac:dyDescent="0.25">
      <c r="B298" s="204" t="s">
        <v>734</v>
      </c>
      <c r="C298" s="178" t="s">
        <v>1216</v>
      </c>
      <c r="D298" s="179" t="s">
        <v>1258</v>
      </c>
      <c r="E298" s="171">
        <v>26</v>
      </c>
      <c r="F298" s="172"/>
      <c r="G298" s="150"/>
    </row>
    <row r="299" spans="2:7" x14ac:dyDescent="0.25">
      <c r="B299" s="204" t="s">
        <v>734</v>
      </c>
      <c r="C299" s="178" t="s">
        <v>1217</v>
      </c>
      <c r="D299" s="179" t="s">
        <v>1260</v>
      </c>
      <c r="E299" s="171">
        <v>111</v>
      </c>
      <c r="F299" s="172"/>
      <c r="G299" s="150"/>
    </row>
    <row r="300" spans="2:7" x14ac:dyDescent="0.25">
      <c r="B300" s="204" t="s">
        <v>734</v>
      </c>
      <c r="C300" s="178" t="s">
        <v>1218</v>
      </c>
      <c r="D300" s="179" t="s">
        <v>1259</v>
      </c>
      <c r="E300" s="171">
        <v>21</v>
      </c>
      <c r="F300" s="172"/>
      <c r="G300" s="150"/>
    </row>
    <row r="301" spans="2:7" x14ac:dyDescent="0.25">
      <c r="B301" s="204" t="s">
        <v>734</v>
      </c>
      <c r="C301" s="178" t="s">
        <v>1219</v>
      </c>
      <c r="D301" s="179" t="s">
        <v>1260</v>
      </c>
      <c r="E301" s="171">
        <v>17</v>
      </c>
      <c r="F301" s="172"/>
      <c r="G301" s="150"/>
    </row>
    <row r="302" spans="2:7" x14ac:dyDescent="0.25">
      <c r="B302" s="204" t="s">
        <v>734</v>
      </c>
      <c r="C302" s="178" t="s">
        <v>1220</v>
      </c>
      <c r="D302" s="179" t="s">
        <v>1258</v>
      </c>
      <c r="E302" s="171">
        <v>72</v>
      </c>
      <c r="F302" s="172"/>
      <c r="G302" s="150"/>
    </row>
    <row r="303" spans="2:7" x14ac:dyDescent="0.25">
      <c r="B303" s="204" t="s">
        <v>734</v>
      </c>
      <c r="C303" s="178" t="s">
        <v>1221</v>
      </c>
      <c r="D303" s="179" t="s">
        <v>1258</v>
      </c>
      <c r="E303" s="171">
        <v>217</v>
      </c>
      <c r="F303" s="172"/>
      <c r="G303" s="150"/>
    </row>
    <row r="304" spans="2:7" x14ac:dyDescent="0.25">
      <c r="B304" s="204" t="s">
        <v>734</v>
      </c>
      <c r="C304" s="178" t="s">
        <v>1222</v>
      </c>
      <c r="D304" s="179" t="s">
        <v>1258</v>
      </c>
      <c r="E304" s="171">
        <v>84</v>
      </c>
      <c r="F304" s="172"/>
      <c r="G304" s="150"/>
    </row>
    <row r="305" spans="2:7" x14ac:dyDescent="0.25">
      <c r="B305" s="204" t="s">
        <v>734</v>
      </c>
      <c r="C305" s="178" t="s">
        <v>1223</v>
      </c>
      <c r="D305" s="179" t="s">
        <v>1259</v>
      </c>
      <c r="E305" s="171">
        <v>33</v>
      </c>
      <c r="F305" s="172"/>
      <c r="G305" s="150"/>
    </row>
    <row r="306" spans="2:7" x14ac:dyDescent="0.25">
      <c r="B306" s="204" t="s">
        <v>734</v>
      </c>
      <c r="C306" s="178" t="s">
        <v>1224</v>
      </c>
      <c r="D306" s="179" t="s">
        <v>1258</v>
      </c>
      <c r="E306" s="171">
        <v>27</v>
      </c>
      <c r="F306" s="172"/>
      <c r="G306" s="150"/>
    </row>
    <row r="307" spans="2:7" x14ac:dyDescent="0.25">
      <c r="B307" s="204" t="s">
        <v>734</v>
      </c>
      <c r="C307" s="178" t="s">
        <v>1225</v>
      </c>
      <c r="D307" s="179" t="s">
        <v>1258</v>
      </c>
      <c r="E307" s="171">
        <v>41</v>
      </c>
      <c r="F307" s="172"/>
      <c r="G307" s="150"/>
    </row>
    <row r="308" spans="2:7" x14ac:dyDescent="0.25">
      <c r="B308" s="204" t="s">
        <v>734</v>
      </c>
      <c r="C308" s="178" t="s">
        <v>1226</v>
      </c>
      <c r="D308" s="179" t="s">
        <v>1258</v>
      </c>
      <c r="E308" s="171">
        <v>27</v>
      </c>
      <c r="F308" s="172"/>
      <c r="G308" s="150"/>
    </row>
    <row r="309" spans="2:7" x14ac:dyDescent="0.25">
      <c r="B309" s="204" t="s">
        <v>734</v>
      </c>
      <c r="C309" s="178" t="s">
        <v>1227</v>
      </c>
      <c r="D309" s="179" t="s">
        <v>1258</v>
      </c>
      <c r="E309" s="171">
        <v>26</v>
      </c>
      <c r="F309" s="172"/>
      <c r="G309" s="150"/>
    </row>
    <row r="310" spans="2:7" x14ac:dyDescent="0.25">
      <c r="B310" s="204" t="s">
        <v>734</v>
      </c>
      <c r="C310" s="178" t="s">
        <v>273</v>
      </c>
      <c r="D310" s="179" t="s">
        <v>1258</v>
      </c>
      <c r="E310" s="171">
        <v>55</v>
      </c>
      <c r="F310" s="172"/>
      <c r="G310" s="150"/>
    </row>
    <row r="311" spans="2:7" x14ac:dyDescent="0.25">
      <c r="B311" s="204" t="s">
        <v>734</v>
      </c>
      <c r="C311" s="178" t="s">
        <v>858</v>
      </c>
      <c r="D311" s="179" t="s">
        <v>1258</v>
      </c>
      <c r="E311" s="171">
        <v>33</v>
      </c>
      <c r="F311" s="172"/>
      <c r="G311" s="150"/>
    </row>
    <row r="312" spans="2:7" x14ac:dyDescent="0.25">
      <c r="B312" s="204" t="s">
        <v>734</v>
      </c>
      <c r="C312" s="178" t="s">
        <v>1228</v>
      </c>
      <c r="D312" s="179" t="s">
        <v>1258</v>
      </c>
      <c r="E312" s="171">
        <v>13</v>
      </c>
      <c r="F312" s="172"/>
      <c r="G312" s="150"/>
    </row>
    <row r="313" spans="2:7" x14ac:dyDescent="0.25">
      <c r="B313" s="204" t="s">
        <v>734</v>
      </c>
      <c r="C313" s="178" t="s">
        <v>1229</v>
      </c>
      <c r="D313" s="179" t="s">
        <v>1258</v>
      </c>
      <c r="E313" s="171">
        <v>49</v>
      </c>
      <c r="F313" s="172"/>
      <c r="G313" s="150"/>
    </row>
    <row r="314" spans="2:7" x14ac:dyDescent="0.25">
      <c r="B314" s="204" t="s">
        <v>734</v>
      </c>
      <c r="C314" s="178" t="s">
        <v>1230</v>
      </c>
      <c r="D314" s="179" t="s">
        <v>1258</v>
      </c>
      <c r="E314" s="171">
        <v>27</v>
      </c>
      <c r="F314" s="172"/>
      <c r="G314" s="150"/>
    </row>
    <row r="315" spans="2:7" x14ac:dyDescent="0.25">
      <c r="B315" s="204" t="s">
        <v>734</v>
      </c>
      <c r="C315" s="178" t="s">
        <v>1231</v>
      </c>
      <c r="D315" s="179" t="s">
        <v>1260</v>
      </c>
      <c r="E315" s="171">
        <v>53</v>
      </c>
      <c r="F315" s="172"/>
      <c r="G315" s="150"/>
    </row>
    <row r="316" spans="2:7" x14ac:dyDescent="0.25">
      <c r="B316" s="204" t="s">
        <v>734</v>
      </c>
      <c r="C316" s="178" t="s">
        <v>1232</v>
      </c>
      <c r="D316" s="179" t="s">
        <v>1258</v>
      </c>
      <c r="E316" s="171">
        <v>27</v>
      </c>
      <c r="F316" s="172"/>
      <c r="G316" s="150"/>
    </row>
    <row r="317" spans="2:7" x14ac:dyDescent="0.25">
      <c r="B317" s="204" t="s">
        <v>734</v>
      </c>
      <c r="C317" s="178" t="s">
        <v>1233</v>
      </c>
      <c r="D317" s="179" t="s">
        <v>1258</v>
      </c>
      <c r="E317" s="171">
        <v>48</v>
      </c>
      <c r="F317" s="172"/>
      <c r="G317" s="150"/>
    </row>
    <row r="318" spans="2:7" x14ac:dyDescent="0.25">
      <c r="B318" s="204" t="s">
        <v>734</v>
      </c>
      <c r="C318" s="178" t="s">
        <v>1234</v>
      </c>
      <c r="D318" s="179" t="s">
        <v>1260</v>
      </c>
      <c r="E318" s="171">
        <v>25</v>
      </c>
      <c r="F318" s="172"/>
      <c r="G318" s="150"/>
    </row>
    <row r="319" spans="2:7" x14ac:dyDescent="0.25">
      <c r="B319" s="204" t="s">
        <v>734</v>
      </c>
      <c r="C319" s="178" t="s">
        <v>1235</v>
      </c>
      <c r="D319" s="179" t="s">
        <v>1258</v>
      </c>
      <c r="E319" s="171">
        <v>34</v>
      </c>
      <c r="F319" s="172"/>
      <c r="G319" s="150"/>
    </row>
    <row r="320" spans="2:7" x14ac:dyDescent="0.25">
      <c r="B320" s="204" t="s">
        <v>734</v>
      </c>
      <c r="C320" s="178" t="s">
        <v>1236</v>
      </c>
      <c r="D320" s="179" t="s">
        <v>1258</v>
      </c>
      <c r="E320" s="171">
        <v>17</v>
      </c>
      <c r="F320" s="172"/>
      <c r="G320" s="150"/>
    </row>
    <row r="321" spans="2:7" x14ac:dyDescent="0.25">
      <c r="B321" s="204" t="s">
        <v>734</v>
      </c>
      <c r="C321" s="178" t="s">
        <v>1237</v>
      </c>
      <c r="D321" s="179" t="s">
        <v>1260</v>
      </c>
      <c r="E321" s="171">
        <v>1</v>
      </c>
      <c r="F321" s="172"/>
      <c r="G321" s="150"/>
    </row>
    <row r="322" spans="2:7" x14ac:dyDescent="0.25">
      <c r="B322" s="204" t="s">
        <v>734</v>
      </c>
      <c r="C322" s="178" t="s">
        <v>1238</v>
      </c>
      <c r="D322" s="179" t="s">
        <v>1258</v>
      </c>
      <c r="E322" s="171">
        <v>1</v>
      </c>
      <c r="F322" s="172"/>
      <c r="G322" s="150"/>
    </row>
    <row r="323" spans="2:7" x14ac:dyDescent="0.25">
      <c r="B323" s="204" t="s">
        <v>734</v>
      </c>
      <c r="C323" s="178" t="s">
        <v>1239</v>
      </c>
      <c r="D323" s="179" t="s">
        <v>1258</v>
      </c>
      <c r="E323" s="171">
        <v>32</v>
      </c>
      <c r="F323" s="172"/>
      <c r="G323" s="150"/>
    </row>
    <row r="324" spans="2:7" x14ac:dyDescent="0.25">
      <c r="B324" s="204" t="s">
        <v>734</v>
      </c>
      <c r="C324" s="178" t="s">
        <v>1240</v>
      </c>
      <c r="D324" s="179" t="s">
        <v>1258</v>
      </c>
      <c r="E324" s="171">
        <v>30</v>
      </c>
      <c r="F324" s="172"/>
      <c r="G324" s="150"/>
    </row>
    <row r="325" spans="2:7" x14ac:dyDescent="0.25">
      <c r="B325" s="204" t="s">
        <v>734</v>
      </c>
      <c r="C325" s="178" t="s">
        <v>1241</v>
      </c>
      <c r="D325" s="179" t="s">
        <v>1260</v>
      </c>
      <c r="E325" s="171">
        <v>21</v>
      </c>
      <c r="F325" s="172"/>
      <c r="G325" s="150"/>
    </row>
    <row r="326" spans="2:7" x14ac:dyDescent="0.25">
      <c r="B326" s="204" t="s">
        <v>734</v>
      </c>
      <c r="C326" s="178" t="s">
        <v>1242</v>
      </c>
      <c r="D326" s="179" t="s">
        <v>1258</v>
      </c>
      <c r="E326" s="171">
        <v>22</v>
      </c>
      <c r="F326" s="172"/>
      <c r="G326" s="150"/>
    </row>
    <row r="327" spans="2:7" x14ac:dyDescent="0.25">
      <c r="B327" s="204" t="s">
        <v>734</v>
      </c>
      <c r="C327" s="178" t="s">
        <v>1243</v>
      </c>
      <c r="D327" s="179" t="s">
        <v>1258</v>
      </c>
      <c r="E327" s="171">
        <v>19</v>
      </c>
      <c r="F327" s="172"/>
      <c r="G327" s="150"/>
    </row>
    <row r="328" spans="2:7" x14ac:dyDescent="0.25">
      <c r="B328" s="204" t="s">
        <v>734</v>
      </c>
      <c r="C328" s="178" t="s">
        <v>1244</v>
      </c>
      <c r="D328" s="179" t="s">
        <v>1258</v>
      </c>
      <c r="E328" s="171">
        <v>2</v>
      </c>
      <c r="F328" s="172"/>
      <c r="G328" s="150"/>
    </row>
    <row r="329" spans="2:7" x14ac:dyDescent="0.25">
      <c r="B329" s="204" t="s">
        <v>734</v>
      </c>
      <c r="C329" s="178" t="s">
        <v>1245</v>
      </c>
      <c r="D329" s="179" t="s">
        <v>1260</v>
      </c>
      <c r="E329" s="171">
        <v>28</v>
      </c>
      <c r="F329" s="172"/>
      <c r="G329" s="150"/>
    </row>
    <row r="330" spans="2:7" x14ac:dyDescent="0.25">
      <c r="B330" s="204" t="s">
        <v>734</v>
      </c>
      <c r="C330" s="178" t="s">
        <v>1246</v>
      </c>
      <c r="D330" s="179" t="s">
        <v>1258</v>
      </c>
      <c r="E330" s="171">
        <v>30</v>
      </c>
      <c r="F330" s="172"/>
      <c r="G330" s="150"/>
    </row>
    <row r="331" spans="2:7" x14ac:dyDescent="0.25">
      <c r="B331" s="204" t="s">
        <v>734</v>
      </c>
      <c r="C331" s="178" t="s">
        <v>1247</v>
      </c>
      <c r="D331" s="179" t="s">
        <v>1258</v>
      </c>
      <c r="E331" s="171">
        <v>60</v>
      </c>
      <c r="F331" s="172"/>
      <c r="G331" s="150"/>
    </row>
    <row r="332" spans="2:7" x14ac:dyDescent="0.25">
      <c r="B332" s="204" t="s">
        <v>734</v>
      </c>
      <c r="C332" s="178" t="s">
        <v>1248</v>
      </c>
      <c r="D332" s="179" t="s">
        <v>1258</v>
      </c>
      <c r="E332" s="171">
        <v>19</v>
      </c>
      <c r="F332" s="172"/>
      <c r="G332" s="150"/>
    </row>
    <row r="333" spans="2:7" x14ac:dyDescent="0.25">
      <c r="B333" s="204" t="s">
        <v>734</v>
      </c>
      <c r="C333" s="178" t="s">
        <v>1249</v>
      </c>
      <c r="D333" s="179" t="s">
        <v>1260</v>
      </c>
      <c r="E333" s="171">
        <v>8</v>
      </c>
      <c r="F333" s="172"/>
      <c r="G333" s="150"/>
    </row>
    <row r="334" spans="2:7" x14ac:dyDescent="0.25">
      <c r="B334" s="204" t="s">
        <v>734</v>
      </c>
      <c r="C334" s="178" t="s">
        <v>1250</v>
      </c>
      <c r="D334" s="179" t="s">
        <v>1258</v>
      </c>
      <c r="E334" s="171">
        <v>4</v>
      </c>
      <c r="F334" s="172"/>
      <c r="G334" s="150"/>
    </row>
    <row r="335" spans="2:7" x14ac:dyDescent="0.25">
      <c r="B335" s="204" t="s">
        <v>734</v>
      </c>
      <c r="C335" s="178" t="s">
        <v>1251</v>
      </c>
      <c r="D335" s="179" t="s">
        <v>1258</v>
      </c>
      <c r="E335" s="171">
        <v>19</v>
      </c>
      <c r="F335" s="172"/>
      <c r="G335" s="150"/>
    </row>
    <row r="336" spans="2:7" x14ac:dyDescent="0.25">
      <c r="B336" s="204" t="s">
        <v>734</v>
      </c>
      <c r="C336" s="178" t="s">
        <v>1252</v>
      </c>
      <c r="D336" s="179" t="s">
        <v>1260</v>
      </c>
      <c r="E336" s="171">
        <v>0</v>
      </c>
      <c r="F336" s="172"/>
      <c r="G336" s="150"/>
    </row>
    <row r="337" spans="2:11" x14ac:dyDescent="0.25">
      <c r="B337" s="204" t="s">
        <v>734</v>
      </c>
      <c r="C337" s="178" t="s">
        <v>1253</v>
      </c>
      <c r="D337" s="179" t="s">
        <v>1258</v>
      </c>
      <c r="E337" s="171">
        <v>15</v>
      </c>
      <c r="F337" s="172"/>
      <c r="G337" s="150"/>
    </row>
    <row r="338" spans="2:11" x14ac:dyDescent="0.25">
      <c r="B338" s="204" t="s">
        <v>734</v>
      </c>
      <c r="C338" s="178" t="s">
        <v>1254</v>
      </c>
      <c r="D338" s="179" t="s">
        <v>1260</v>
      </c>
      <c r="E338" s="171">
        <v>25</v>
      </c>
      <c r="F338" s="172"/>
      <c r="G338" s="150"/>
    </row>
    <row r="339" spans="2:11" x14ac:dyDescent="0.25">
      <c r="B339" s="204" t="s">
        <v>734</v>
      </c>
      <c r="C339" s="178" t="s">
        <v>1255</v>
      </c>
      <c r="D339" s="179" t="s">
        <v>1260</v>
      </c>
      <c r="E339" s="171">
        <v>24</v>
      </c>
      <c r="F339" s="172"/>
      <c r="G339" s="150"/>
    </row>
    <row r="340" spans="2:11" x14ac:dyDescent="0.25">
      <c r="B340" s="204" t="s">
        <v>734</v>
      </c>
      <c r="C340" s="178" t="s">
        <v>1209</v>
      </c>
      <c r="D340" s="179" t="s">
        <v>1258</v>
      </c>
      <c r="E340" s="171">
        <v>10</v>
      </c>
      <c r="F340" s="172"/>
      <c r="G340" s="150"/>
    </row>
    <row r="341" spans="2:11" x14ac:dyDescent="0.25">
      <c r="B341" s="204" t="s">
        <v>734</v>
      </c>
      <c r="C341" s="178" t="s">
        <v>1256</v>
      </c>
      <c r="D341" s="179" t="s">
        <v>1260</v>
      </c>
      <c r="E341" s="171">
        <v>7</v>
      </c>
      <c r="F341" s="172"/>
      <c r="G341" s="150"/>
    </row>
    <row r="342" spans="2:11" x14ac:dyDescent="0.25">
      <c r="B342" s="203" t="s">
        <v>7</v>
      </c>
      <c r="C342" s="137" t="s">
        <v>132</v>
      </c>
      <c r="D342" s="52" t="s">
        <v>1260</v>
      </c>
      <c r="E342" s="143">
        <v>10</v>
      </c>
      <c r="F342" s="175" t="s">
        <v>1289</v>
      </c>
      <c r="G342" s="180"/>
      <c r="I342" s="265" t="s">
        <v>133</v>
      </c>
      <c r="J342" s="266"/>
      <c r="K342" s="113" t="s">
        <v>120</v>
      </c>
    </row>
    <row r="343" spans="2:11" x14ac:dyDescent="0.25">
      <c r="B343" s="203" t="s">
        <v>7</v>
      </c>
      <c r="C343" s="138" t="s">
        <v>134</v>
      </c>
      <c r="D343" s="2" t="s">
        <v>1259</v>
      </c>
      <c r="E343" s="45">
        <v>17</v>
      </c>
      <c r="F343" s="175" t="s">
        <v>1289</v>
      </c>
      <c r="G343" s="154"/>
      <c r="I343" s="42" t="s">
        <v>122</v>
      </c>
      <c r="J343" s="43">
        <v>14</v>
      </c>
      <c r="K343" s="37">
        <v>0.77780000000000005</v>
      </c>
    </row>
    <row r="344" spans="2:11" x14ac:dyDescent="0.25">
      <c r="B344" s="203" t="s">
        <v>7</v>
      </c>
      <c r="C344" s="138" t="s">
        <v>135</v>
      </c>
      <c r="D344" s="2" t="s">
        <v>1258</v>
      </c>
      <c r="E344" s="45">
        <v>28</v>
      </c>
      <c r="F344" s="175" t="s">
        <v>1289</v>
      </c>
      <c r="G344" s="154"/>
      <c r="I344" s="60" t="s">
        <v>124</v>
      </c>
      <c r="J344" s="61">
        <v>4</v>
      </c>
      <c r="K344" s="36">
        <v>0.22</v>
      </c>
    </row>
    <row r="345" spans="2:11" x14ac:dyDescent="0.25">
      <c r="B345" s="203" t="s">
        <v>7</v>
      </c>
      <c r="C345" s="138" t="s">
        <v>136</v>
      </c>
      <c r="D345" s="2" t="s">
        <v>1258</v>
      </c>
      <c r="E345" s="45">
        <v>12</v>
      </c>
      <c r="F345" s="175" t="s">
        <v>1289</v>
      </c>
      <c r="G345" s="154"/>
      <c r="I345" s="46" t="s">
        <v>31</v>
      </c>
      <c r="J345" s="47">
        <f>SUM(J343:J344)</f>
        <v>18</v>
      </c>
      <c r="K345" s="34">
        <v>1</v>
      </c>
    </row>
    <row r="346" spans="2:11" x14ac:dyDescent="0.25">
      <c r="B346" s="203" t="s">
        <v>7</v>
      </c>
      <c r="C346" s="138" t="s">
        <v>137</v>
      </c>
      <c r="D346" s="2" t="s">
        <v>1258</v>
      </c>
      <c r="E346" s="45">
        <v>32</v>
      </c>
      <c r="F346" s="175" t="s">
        <v>1289</v>
      </c>
      <c r="G346" s="154"/>
    </row>
    <row r="347" spans="2:11" x14ac:dyDescent="0.25">
      <c r="B347" s="203" t="s">
        <v>7</v>
      </c>
      <c r="C347" s="138" t="s">
        <v>138</v>
      </c>
      <c r="D347" s="2" t="s">
        <v>1258</v>
      </c>
      <c r="E347" s="45">
        <v>21</v>
      </c>
      <c r="F347" s="175" t="s">
        <v>1288</v>
      </c>
      <c r="G347" s="160"/>
    </row>
    <row r="348" spans="2:11" x14ac:dyDescent="0.25">
      <c r="B348" s="203" t="s">
        <v>7</v>
      </c>
      <c r="C348" s="138" t="s">
        <v>139</v>
      </c>
      <c r="D348" s="2" t="s">
        <v>1258</v>
      </c>
      <c r="E348" s="45">
        <v>15</v>
      </c>
      <c r="F348" s="175" t="s">
        <v>1288</v>
      </c>
      <c r="G348" s="160"/>
    </row>
    <row r="349" spans="2:11" x14ac:dyDescent="0.25">
      <c r="B349" s="203" t="s">
        <v>7</v>
      </c>
      <c r="C349" s="138" t="s">
        <v>140</v>
      </c>
      <c r="D349" s="2" t="s">
        <v>1259</v>
      </c>
      <c r="E349" s="45">
        <v>9</v>
      </c>
      <c r="F349" s="175" t="s">
        <v>1289</v>
      </c>
      <c r="G349" s="154"/>
    </row>
    <row r="350" spans="2:11" x14ac:dyDescent="0.25">
      <c r="B350" s="203" t="s">
        <v>7</v>
      </c>
      <c r="C350" s="138" t="s">
        <v>141</v>
      </c>
      <c r="D350" s="2" t="s">
        <v>1258</v>
      </c>
      <c r="E350" s="45">
        <v>20</v>
      </c>
      <c r="F350" s="175" t="s">
        <v>1289</v>
      </c>
      <c r="G350" s="154"/>
    </row>
    <row r="351" spans="2:11" x14ac:dyDescent="0.25">
      <c r="B351" s="203" t="s">
        <v>7</v>
      </c>
      <c r="C351" s="138" t="s">
        <v>142</v>
      </c>
      <c r="D351" s="2" t="s">
        <v>1258</v>
      </c>
      <c r="E351" s="45">
        <v>15</v>
      </c>
      <c r="F351" s="175" t="s">
        <v>1289</v>
      </c>
      <c r="G351" s="154"/>
    </row>
    <row r="352" spans="2:11" x14ac:dyDescent="0.25">
      <c r="B352" s="203" t="s">
        <v>7</v>
      </c>
      <c r="C352" s="138" t="s">
        <v>143</v>
      </c>
      <c r="D352" s="2" t="s">
        <v>1258</v>
      </c>
      <c r="E352" s="45">
        <v>2</v>
      </c>
      <c r="F352" s="175" t="s">
        <v>1289</v>
      </c>
      <c r="G352" s="154"/>
    </row>
    <row r="353" spans="2:11" x14ac:dyDescent="0.25">
      <c r="B353" s="203" t="s">
        <v>7</v>
      </c>
      <c r="C353" s="138" t="s">
        <v>144</v>
      </c>
      <c r="D353" s="2" t="s">
        <v>1258</v>
      </c>
      <c r="E353" s="45">
        <v>46</v>
      </c>
      <c r="F353" s="175" t="s">
        <v>1289</v>
      </c>
      <c r="G353" s="154"/>
    </row>
    <row r="354" spans="2:11" x14ac:dyDescent="0.25">
      <c r="B354" s="203" t="s">
        <v>7</v>
      </c>
      <c r="C354" s="138" t="s">
        <v>145</v>
      </c>
      <c r="D354" s="2" t="s">
        <v>1258</v>
      </c>
      <c r="E354" s="45">
        <v>21</v>
      </c>
      <c r="F354" s="175" t="s">
        <v>1289</v>
      </c>
      <c r="G354" s="154"/>
    </row>
    <row r="355" spans="2:11" x14ac:dyDescent="0.25">
      <c r="B355" s="203" t="s">
        <v>7</v>
      </c>
      <c r="C355" s="138" t="s">
        <v>146</v>
      </c>
      <c r="D355" s="2" t="s">
        <v>1258</v>
      </c>
      <c r="E355" s="45">
        <v>6</v>
      </c>
      <c r="F355" s="175" t="s">
        <v>1288</v>
      </c>
      <c r="G355" s="160"/>
    </row>
    <row r="356" spans="2:11" x14ac:dyDescent="0.25">
      <c r="B356" s="203" t="s">
        <v>7</v>
      </c>
      <c r="C356" s="138" t="s">
        <v>147</v>
      </c>
      <c r="D356" s="2" t="s">
        <v>1258</v>
      </c>
      <c r="E356" s="45">
        <v>4</v>
      </c>
      <c r="F356" s="175" t="s">
        <v>1289</v>
      </c>
      <c r="G356" s="154"/>
    </row>
    <row r="357" spans="2:11" x14ac:dyDescent="0.25">
      <c r="B357" s="203" t="s">
        <v>7</v>
      </c>
      <c r="C357" s="138" t="s">
        <v>148</v>
      </c>
      <c r="D357" s="2"/>
      <c r="E357" s="45" t="s">
        <v>149</v>
      </c>
      <c r="F357" s="175" t="s">
        <v>1288</v>
      </c>
      <c r="G357" s="160"/>
    </row>
    <row r="358" spans="2:11" x14ac:dyDescent="0.25">
      <c r="B358" s="203" t="s">
        <v>7</v>
      </c>
      <c r="C358" s="138" t="s">
        <v>150</v>
      </c>
      <c r="D358" s="2" t="s">
        <v>1258</v>
      </c>
      <c r="E358" s="45" t="s">
        <v>149</v>
      </c>
      <c r="F358" s="175" t="s">
        <v>1289</v>
      </c>
      <c r="G358" s="154"/>
    </row>
    <row r="359" spans="2:11" x14ac:dyDescent="0.25">
      <c r="B359" s="203" t="s">
        <v>7</v>
      </c>
      <c r="C359" s="138" t="s">
        <v>151</v>
      </c>
      <c r="D359" s="2"/>
      <c r="E359" s="45" t="s">
        <v>152</v>
      </c>
      <c r="F359" s="175" t="s">
        <v>1289</v>
      </c>
      <c r="G359" s="154"/>
    </row>
    <row r="360" spans="2:11" x14ac:dyDescent="0.25">
      <c r="B360" s="204" t="s">
        <v>8</v>
      </c>
      <c r="C360" s="178" t="s">
        <v>153</v>
      </c>
      <c r="D360" s="179" t="s">
        <v>1259</v>
      </c>
      <c r="E360" s="171">
        <v>2</v>
      </c>
      <c r="F360" s="172" t="s">
        <v>1289</v>
      </c>
      <c r="G360" s="150"/>
      <c r="I360" s="265" t="s">
        <v>154</v>
      </c>
      <c r="J360" s="266"/>
      <c r="K360" s="113" t="s">
        <v>120</v>
      </c>
    </row>
    <row r="361" spans="2:11" x14ac:dyDescent="0.25">
      <c r="B361" s="204" t="s">
        <v>8</v>
      </c>
      <c r="C361" s="178" t="s">
        <v>155</v>
      </c>
      <c r="D361" s="179" t="s">
        <v>1258</v>
      </c>
      <c r="E361" s="171">
        <v>16</v>
      </c>
      <c r="F361" s="172" t="s">
        <v>1289</v>
      </c>
      <c r="G361" s="150"/>
      <c r="I361" s="42" t="s">
        <v>122</v>
      </c>
      <c r="J361" s="43">
        <v>67</v>
      </c>
      <c r="K361" s="62">
        <v>0.94</v>
      </c>
    </row>
    <row r="362" spans="2:11" x14ac:dyDescent="0.25">
      <c r="B362" s="204" t="s">
        <v>8</v>
      </c>
      <c r="C362" s="178" t="s">
        <v>156</v>
      </c>
      <c r="D362" s="179" t="s">
        <v>1258</v>
      </c>
      <c r="E362" s="171">
        <v>67</v>
      </c>
      <c r="F362" s="172" t="s">
        <v>1289</v>
      </c>
      <c r="G362" s="150"/>
      <c r="I362" s="40" t="s">
        <v>124</v>
      </c>
      <c r="J362" s="44">
        <v>4</v>
      </c>
      <c r="K362" s="63">
        <v>0.06</v>
      </c>
    </row>
    <row r="363" spans="2:11" x14ac:dyDescent="0.25">
      <c r="B363" s="204" t="s">
        <v>8</v>
      </c>
      <c r="C363" s="178" t="s">
        <v>157</v>
      </c>
      <c r="D363" s="179" t="s">
        <v>1258</v>
      </c>
      <c r="E363" s="171">
        <v>6</v>
      </c>
      <c r="F363" s="172" t="s">
        <v>1289</v>
      </c>
      <c r="G363" s="150"/>
      <c r="I363" s="46" t="s">
        <v>31</v>
      </c>
      <c r="J363" s="47">
        <f>SUM(J361:J362)</f>
        <v>71</v>
      </c>
      <c r="K363" s="48">
        <v>1</v>
      </c>
    </row>
    <row r="364" spans="2:11" x14ac:dyDescent="0.25">
      <c r="B364" s="204" t="s">
        <v>8</v>
      </c>
      <c r="C364" s="178" t="s">
        <v>158</v>
      </c>
      <c r="D364" s="179" t="s">
        <v>1258</v>
      </c>
      <c r="E364" s="171">
        <v>29</v>
      </c>
      <c r="F364" s="172" t="s">
        <v>1289</v>
      </c>
      <c r="G364" s="150"/>
    </row>
    <row r="365" spans="2:11" x14ac:dyDescent="0.25">
      <c r="B365" s="204" t="s">
        <v>8</v>
      </c>
      <c r="C365" s="178" t="s">
        <v>159</v>
      </c>
      <c r="D365" s="179" t="s">
        <v>1260</v>
      </c>
      <c r="E365" s="171">
        <v>34</v>
      </c>
      <c r="F365" s="172" t="s">
        <v>1289</v>
      </c>
      <c r="G365" s="150"/>
    </row>
    <row r="366" spans="2:11" ht="15.75" customHeight="1" x14ac:dyDescent="0.25">
      <c r="B366" s="204" t="s">
        <v>8</v>
      </c>
      <c r="C366" s="178" t="s">
        <v>160</v>
      </c>
      <c r="D366" s="179" t="s">
        <v>1259</v>
      </c>
      <c r="E366" s="171">
        <v>179</v>
      </c>
      <c r="F366" s="172" t="s">
        <v>1289</v>
      </c>
      <c r="G366" s="150"/>
      <c r="I366" t="s">
        <v>1266</v>
      </c>
      <c r="J366" t="s">
        <v>1270</v>
      </c>
    </row>
    <row r="367" spans="2:11" ht="15.75" customHeight="1" x14ac:dyDescent="0.25">
      <c r="B367" s="204" t="s">
        <v>8</v>
      </c>
      <c r="C367" s="178" t="s">
        <v>161</v>
      </c>
      <c r="D367" s="179" t="s">
        <v>1258</v>
      </c>
      <c r="E367" s="171">
        <v>40</v>
      </c>
      <c r="F367" s="172" t="s">
        <v>1289</v>
      </c>
      <c r="G367" s="150"/>
      <c r="I367" s="130" t="s">
        <v>1258</v>
      </c>
      <c r="J367">
        <v>1611</v>
      </c>
    </row>
    <row r="368" spans="2:11" x14ac:dyDescent="0.25">
      <c r="B368" s="204" t="s">
        <v>8</v>
      </c>
      <c r="C368" s="178" t="s">
        <v>162</v>
      </c>
      <c r="D368" s="179" t="s">
        <v>1258</v>
      </c>
      <c r="E368" s="171">
        <v>59</v>
      </c>
      <c r="F368" s="172" t="s">
        <v>1289</v>
      </c>
      <c r="G368" s="150"/>
      <c r="I368" s="130" t="s">
        <v>1259</v>
      </c>
      <c r="J368">
        <v>607</v>
      </c>
    </row>
    <row r="369" spans="2:10" x14ac:dyDescent="0.25">
      <c r="B369" s="204" t="s">
        <v>8</v>
      </c>
      <c r="C369" s="178" t="s">
        <v>163</v>
      </c>
      <c r="D369" s="179" t="s">
        <v>1260</v>
      </c>
      <c r="E369" s="171">
        <v>5</v>
      </c>
      <c r="F369" s="172" t="s">
        <v>1289</v>
      </c>
      <c r="G369" s="150"/>
      <c r="I369" s="130" t="s">
        <v>1260</v>
      </c>
      <c r="J369">
        <v>42</v>
      </c>
    </row>
    <row r="370" spans="2:10" x14ac:dyDescent="0.25">
      <c r="B370" s="204" t="s">
        <v>8</v>
      </c>
      <c r="C370" s="178" t="s">
        <v>164</v>
      </c>
      <c r="D370" s="179" t="s">
        <v>1259</v>
      </c>
      <c r="E370" s="171">
        <v>64</v>
      </c>
      <c r="F370" s="172" t="s">
        <v>1289</v>
      </c>
      <c r="G370" s="150"/>
      <c r="I370" s="130" t="s">
        <v>1265</v>
      </c>
      <c r="J370">
        <v>2260</v>
      </c>
    </row>
    <row r="371" spans="2:10" x14ac:dyDescent="0.25">
      <c r="B371" s="204" t="s">
        <v>8</v>
      </c>
      <c r="C371" s="178" t="s">
        <v>165</v>
      </c>
      <c r="D371" s="179" t="s">
        <v>1258</v>
      </c>
      <c r="E371" s="171">
        <v>34</v>
      </c>
      <c r="F371" s="172" t="s">
        <v>1289</v>
      </c>
      <c r="G371" s="150"/>
    </row>
    <row r="372" spans="2:10" x14ac:dyDescent="0.25">
      <c r="B372" s="204" t="s">
        <v>8</v>
      </c>
      <c r="C372" s="178" t="s">
        <v>166</v>
      </c>
      <c r="D372" s="179" t="s">
        <v>1259</v>
      </c>
      <c r="E372" s="171">
        <v>10</v>
      </c>
      <c r="F372" s="172" t="s">
        <v>1289</v>
      </c>
      <c r="G372" s="150"/>
    </row>
    <row r="373" spans="2:10" x14ac:dyDescent="0.25">
      <c r="B373" s="204" t="s">
        <v>8</v>
      </c>
      <c r="C373" s="178" t="s">
        <v>167</v>
      </c>
      <c r="D373" s="179" t="s">
        <v>1258</v>
      </c>
      <c r="E373" s="171">
        <v>3</v>
      </c>
      <c r="F373" s="172" t="s">
        <v>1289</v>
      </c>
      <c r="G373" s="150"/>
    </row>
    <row r="374" spans="2:10" x14ac:dyDescent="0.25">
      <c r="B374" s="204" t="s">
        <v>8</v>
      </c>
      <c r="C374" s="178" t="s">
        <v>168</v>
      </c>
      <c r="D374" s="179" t="s">
        <v>1258</v>
      </c>
      <c r="E374" s="171">
        <v>42</v>
      </c>
      <c r="F374" s="172" t="s">
        <v>1288</v>
      </c>
      <c r="G374" s="151"/>
    </row>
    <row r="375" spans="2:10" x14ac:dyDescent="0.25">
      <c r="B375" s="204" t="s">
        <v>8</v>
      </c>
      <c r="C375" s="178" t="s">
        <v>169</v>
      </c>
      <c r="D375" s="179" t="s">
        <v>1258</v>
      </c>
      <c r="E375" s="171">
        <v>91</v>
      </c>
      <c r="F375" s="172" t="s">
        <v>1289</v>
      </c>
      <c r="G375" s="150"/>
    </row>
    <row r="376" spans="2:10" ht="15.75" customHeight="1" x14ac:dyDescent="0.25">
      <c r="B376" s="204" t="s">
        <v>8</v>
      </c>
      <c r="C376" s="178" t="s">
        <v>170</v>
      </c>
      <c r="D376" s="179" t="s">
        <v>1258</v>
      </c>
      <c r="E376" s="171">
        <v>3</v>
      </c>
      <c r="F376" s="172" t="s">
        <v>1289</v>
      </c>
      <c r="G376" s="150"/>
    </row>
    <row r="377" spans="2:10" x14ac:dyDescent="0.25">
      <c r="B377" s="204" t="s">
        <v>8</v>
      </c>
      <c r="C377" s="178" t="s">
        <v>171</v>
      </c>
      <c r="D377" s="179" t="s">
        <v>1258</v>
      </c>
      <c r="E377" s="171">
        <v>66</v>
      </c>
      <c r="F377" s="172" t="s">
        <v>1289</v>
      </c>
      <c r="G377" s="150"/>
    </row>
    <row r="378" spans="2:10" x14ac:dyDescent="0.25">
      <c r="B378" s="204" t="s">
        <v>8</v>
      </c>
      <c r="C378" s="178" t="s">
        <v>172</v>
      </c>
      <c r="D378" s="179" t="s">
        <v>1258</v>
      </c>
      <c r="E378" s="171">
        <v>6</v>
      </c>
      <c r="F378" s="172" t="s">
        <v>1289</v>
      </c>
      <c r="G378" s="150"/>
    </row>
    <row r="379" spans="2:10" x14ac:dyDescent="0.25">
      <c r="B379" s="204" t="s">
        <v>8</v>
      </c>
      <c r="C379" s="178" t="s">
        <v>173</v>
      </c>
      <c r="D379" s="179" t="s">
        <v>1258</v>
      </c>
      <c r="E379" s="171">
        <v>15</v>
      </c>
      <c r="F379" s="172" t="s">
        <v>1289</v>
      </c>
      <c r="G379" s="150"/>
    </row>
    <row r="380" spans="2:10" x14ac:dyDescent="0.25">
      <c r="B380" s="204" t="s">
        <v>8</v>
      </c>
      <c r="C380" s="178" t="s">
        <v>174</v>
      </c>
      <c r="D380" s="179" t="s">
        <v>1259</v>
      </c>
      <c r="E380" s="171">
        <v>33</v>
      </c>
      <c r="F380" s="172" t="s">
        <v>1289</v>
      </c>
      <c r="G380" s="150"/>
    </row>
    <row r="381" spans="2:10" x14ac:dyDescent="0.25">
      <c r="B381" s="204" t="s">
        <v>8</v>
      </c>
      <c r="C381" s="178" t="s">
        <v>175</v>
      </c>
      <c r="D381" s="179" t="s">
        <v>1259</v>
      </c>
      <c r="E381" s="171">
        <v>24</v>
      </c>
      <c r="F381" s="172" t="s">
        <v>1289</v>
      </c>
      <c r="G381" s="150"/>
    </row>
    <row r="382" spans="2:10" x14ac:dyDescent="0.25">
      <c r="B382" s="204" t="s">
        <v>8</v>
      </c>
      <c r="C382" s="178" t="s">
        <v>176</v>
      </c>
      <c r="D382" s="179" t="s">
        <v>1258</v>
      </c>
      <c r="E382" s="171">
        <v>56</v>
      </c>
      <c r="F382" s="172" t="s">
        <v>1289</v>
      </c>
      <c r="G382" s="150"/>
    </row>
    <row r="383" spans="2:10" x14ac:dyDescent="0.25">
      <c r="B383" s="204" t="s">
        <v>8</v>
      </c>
      <c r="C383" s="178" t="s">
        <v>177</v>
      </c>
      <c r="D383" s="179" t="s">
        <v>1259</v>
      </c>
      <c r="E383" s="171">
        <v>28</v>
      </c>
      <c r="F383" s="172" t="s">
        <v>1289</v>
      </c>
      <c r="G383" s="150"/>
    </row>
    <row r="384" spans="2:10" x14ac:dyDescent="0.25">
      <c r="B384" s="204" t="s">
        <v>8</v>
      </c>
      <c r="C384" s="178" t="s">
        <v>178</v>
      </c>
      <c r="D384" s="179" t="s">
        <v>1259</v>
      </c>
      <c r="E384" s="171">
        <v>3</v>
      </c>
      <c r="F384" s="172" t="s">
        <v>1289</v>
      </c>
      <c r="G384" s="150"/>
    </row>
    <row r="385" spans="2:7" x14ac:dyDescent="0.25">
      <c r="B385" s="204" t="s">
        <v>8</v>
      </c>
      <c r="C385" s="178" t="s">
        <v>179</v>
      </c>
      <c r="D385" s="179" t="s">
        <v>1259</v>
      </c>
      <c r="E385" s="171">
        <v>111</v>
      </c>
      <c r="F385" s="172" t="s">
        <v>1289</v>
      </c>
      <c r="G385" s="150"/>
    </row>
    <row r="386" spans="2:7" x14ac:dyDescent="0.25">
      <c r="B386" s="204" t="s">
        <v>8</v>
      </c>
      <c r="C386" s="178" t="s">
        <v>180</v>
      </c>
      <c r="D386" s="179" t="s">
        <v>1258</v>
      </c>
      <c r="E386" s="171">
        <v>19</v>
      </c>
      <c r="F386" s="172" t="s">
        <v>1289</v>
      </c>
      <c r="G386" s="150"/>
    </row>
    <row r="387" spans="2:7" x14ac:dyDescent="0.25">
      <c r="B387" s="204" t="s">
        <v>8</v>
      </c>
      <c r="C387" s="178" t="s">
        <v>181</v>
      </c>
      <c r="D387" s="179" t="s">
        <v>1259</v>
      </c>
      <c r="E387" s="171">
        <v>6</v>
      </c>
      <c r="F387" s="172" t="s">
        <v>1289</v>
      </c>
      <c r="G387" s="150"/>
    </row>
    <row r="388" spans="2:7" x14ac:dyDescent="0.25">
      <c r="B388" s="204" t="s">
        <v>8</v>
      </c>
      <c r="C388" s="178" t="s">
        <v>182</v>
      </c>
      <c r="D388" s="179" t="s">
        <v>1258</v>
      </c>
      <c r="E388" s="171">
        <v>13</v>
      </c>
      <c r="F388" s="172" t="s">
        <v>1289</v>
      </c>
      <c r="G388" s="150"/>
    </row>
    <row r="389" spans="2:7" x14ac:dyDescent="0.25">
      <c r="B389" s="204" t="s">
        <v>8</v>
      </c>
      <c r="C389" s="178" t="s">
        <v>183</v>
      </c>
      <c r="D389" s="179" t="s">
        <v>1258</v>
      </c>
      <c r="E389" s="171">
        <v>13</v>
      </c>
      <c r="F389" s="172" t="s">
        <v>1288</v>
      </c>
      <c r="G389" s="151"/>
    </row>
    <row r="390" spans="2:7" x14ac:dyDescent="0.25">
      <c r="B390" s="204" t="s">
        <v>8</v>
      </c>
      <c r="C390" s="178" t="s">
        <v>184</v>
      </c>
      <c r="D390" s="179" t="s">
        <v>1258</v>
      </c>
      <c r="E390" s="171">
        <v>60</v>
      </c>
      <c r="F390" s="172" t="s">
        <v>1289</v>
      </c>
      <c r="G390" s="150"/>
    </row>
    <row r="391" spans="2:7" x14ac:dyDescent="0.25">
      <c r="B391" s="204" t="s">
        <v>8</v>
      </c>
      <c r="C391" s="178" t="s">
        <v>185</v>
      </c>
      <c r="D391" s="179" t="s">
        <v>1258</v>
      </c>
      <c r="E391" s="171">
        <v>1</v>
      </c>
      <c r="F391" s="172" t="s">
        <v>1289</v>
      </c>
      <c r="G391" s="150"/>
    </row>
    <row r="392" spans="2:7" x14ac:dyDescent="0.25">
      <c r="B392" s="204" t="s">
        <v>8</v>
      </c>
      <c r="C392" s="178" t="s">
        <v>186</v>
      </c>
      <c r="D392" s="179" t="s">
        <v>1258</v>
      </c>
      <c r="E392" s="171">
        <v>8</v>
      </c>
      <c r="F392" s="172" t="s">
        <v>1289</v>
      </c>
      <c r="G392" s="150"/>
    </row>
    <row r="393" spans="2:7" x14ac:dyDescent="0.25">
      <c r="B393" s="204" t="s">
        <v>8</v>
      </c>
      <c r="C393" s="178" t="s">
        <v>187</v>
      </c>
      <c r="D393" s="179" t="s">
        <v>1258</v>
      </c>
      <c r="E393" s="171">
        <v>21</v>
      </c>
      <c r="F393" s="172" t="s">
        <v>1289</v>
      </c>
      <c r="G393" s="150"/>
    </row>
    <row r="394" spans="2:7" x14ac:dyDescent="0.25">
      <c r="B394" s="204" t="s">
        <v>8</v>
      </c>
      <c r="C394" s="178" t="s">
        <v>188</v>
      </c>
      <c r="D394" s="179" t="s">
        <v>1258</v>
      </c>
      <c r="E394" s="171">
        <v>26</v>
      </c>
      <c r="F394" s="172" t="s">
        <v>1289</v>
      </c>
      <c r="G394" s="150"/>
    </row>
    <row r="395" spans="2:7" x14ac:dyDescent="0.25">
      <c r="B395" s="204" t="s">
        <v>8</v>
      </c>
      <c r="C395" s="178" t="s">
        <v>189</v>
      </c>
      <c r="D395" s="179" t="s">
        <v>1258</v>
      </c>
      <c r="E395" s="171">
        <v>8</v>
      </c>
      <c r="F395" s="172" t="s">
        <v>1289</v>
      </c>
      <c r="G395" s="150"/>
    </row>
    <row r="396" spans="2:7" x14ac:dyDescent="0.25">
      <c r="B396" s="204" t="s">
        <v>8</v>
      </c>
      <c r="C396" s="178" t="s">
        <v>190</v>
      </c>
      <c r="D396" s="179" t="s">
        <v>1258</v>
      </c>
      <c r="E396" s="171">
        <v>53</v>
      </c>
      <c r="F396" s="172" t="s">
        <v>1289</v>
      </c>
      <c r="G396" s="150"/>
    </row>
    <row r="397" spans="2:7" x14ac:dyDescent="0.25">
      <c r="B397" s="204" t="s">
        <v>8</v>
      </c>
      <c r="C397" s="178" t="s">
        <v>191</v>
      </c>
      <c r="D397" s="179" t="s">
        <v>1258</v>
      </c>
      <c r="E397" s="171">
        <v>3</v>
      </c>
      <c r="F397" s="172" t="s">
        <v>1289</v>
      </c>
      <c r="G397" s="150"/>
    </row>
    <row r="398" spans="2:7" x14ac:dyDescent="0.25">
      <c r="B398" s="204" t="s">
        <v>8</v>
      </c>
      <c r="C398" s="178" t="s">
        <v>192</v>
      </c>
      <c r="D398" s="179" t="s">
        <v>1258</v>
      </c>
      <c r="E398" s="171">
        <v>34</v>
      </c>
      <c r="F398" s="172" t="s">
        <v>1289</v>
      </c>
      <c r="G398" s="150"/>
    </row>
    <row r="399" spans="2:7" x14ac:dyDescent="0.25">
      <c r="B399" s="204" t="s">
        <v>8</v>
      </c>
      <c r="C399" s="178" t="s">
        <v>193</v>
      </c>
      <c r="D399" s="179" t="s">
        <v>1258</v>
      </c>
      <c r="E399" s="171">
        <v>3</v>
      </c>
      <c r="F399" s="172" t="s">
        <v>1288</v>
      </c>
      <c r="G399" s="151"/>
    </row>
    <row r="400" spans="2:7" x14ac:dyDescent="0.25">
      <c r="B400" s="204" t="s">
        <v>8</v>
      </c>
      <c r="C400" s="178" t="s">
        <v>194</v>
      </c>
      <c r="D400" s="179" t="s">
        <v>1258</v>
      </c>
      <c r="E400" s="171">
        <v>3</v>
      </c>
      <c r="F400" s="172" t="s">
        <v>1289</v>
      </c>
      <c r="G400" s="150"/>
    </row>
    <row r="401" spans="2:7" x14ac:dyDescent="0.25">
      <c r="B401" s="204" t="s">
        <v>8</v>
      </c>
      <c r="C401" s="178" t="s">
        <v>195</v>
      </c>
      <c r="D401" s="179" t="s">
        <v>1259</v>
      </c>
      <c r="E401" s="171">
        <v>79</v>
      </c>
      <c r="F401" s="172" t="s">
        <v>1289</v>
      </c>
      <c r="G401" s="150"/>
    </row>
    <row r="402" spans="2:7" x14ac:dyDescent="0.25">
      <c r="B402" s="204" t="s">
        <v>8</v>
      </c>
      <c r="C402" s="178" t="s">
        <v>196</v>
      </c>
      <c r="D402" s="179" t="s">
        <v>1258</v>
      </c>
      <c r="E402" s="171">
        <v>10</v>
      </c>
      <c r="F402" s="172" t="s">
        <v>1289</v>
      </c>
      <c r="G402" s="150"/>
    </row>
    <row r="403" spans="2:7" x14ac:dyDescent="0.25">
      <c r="B403" s="204" t="s">
        <v>8</v>
      </c>
      <c r="C403" s="178" t="s">
        <v>197</v>
      </c>
      <c r="D403" s="179" t="s">
        <v>1258</v>
      </c>
      <c r="E403" s="171">
        <v>65</v>
      </c>
      <c r="F403" s="172" t="s">
        <v>1289</v>
      </c>
      <c r="G403" s="150"/>
    </row>
    <row r="404" spans="2:7" x14ac:dyDescent="0.25">
      <c r="B404" s="204" t="s">
        <v>8</v>
      </c>
      <c r="C404" s="178" t="s">
        <v>198</v>
      </c>
      <c r="D404" s="179" t="s">
        <v>1258</v>
      </c>
      <c r="E404" s="171">
        <v>42</v>
      </c>
      <c r="F404" s="172" t="s">
        <v>1289</v>
      </c>
      <c r="G404" s="150"/>
    </row>
    <row r="405" spans="2:7" x14ac:dyDescent="0.25">
      <c r="B405" s="204" t="s">
        <v>8</v>
      </c>
      <c r="C405" s="178" t="s">
        <v>199</v>
      </c>
      <c r="D405" s="179" t="s">
        <v>1258</v>
      </c>
      <c r="E405" s="171">
        <v>20</v>
      </c>
      <c r="F405" s="172" t="s">
        <v>1289</v>
      </c>
      <c r="G405" s="150"/>
    </row>
    <row r="406" spans="2:7" x14ac:dyDescent="0.25">
      <c r="B406" s="204" t="s">
        <v>8</v>
      </c>
      <c r="C406" s="178" t="s">
        <v>200</v>
      </c>
      <c r="D406" s="179" t="s">
        <v>1260</v>
      </c>
      <c r="E406" s="171">
        <v>1</v>
      </c>
      <c r="F406" s="172" t="s">
        <v>1289</v>
      </c>
      <c r="G406" s="150"/>
    </row>
    <row r="407" spans="2:7" x14ac:dyDescent="0.25">
      <c r="B407" s="204" t="s">
        <v>8</v>
      </c>
      <c r="C407" s="178" t="s">
        <v>201</v>
      </c>
      <c r="D407" s="179" t="s">
        <v>1258</v>
      </c>
      <c r="E407" s="171">
        <v>55</v>
      </c>
      <c r="F407" s="172" t="s">
        <v>1289</v>
      </c>
      <c r="G407" s="150"/>
    </row>
    <row r="408" spans="2:7" x14ac:dyDescent="0.25">
      <c r="B408" s="204" t="s">
        <v>8</v>
      </c>
      <c r="C408" s="178" t="s">
        <v>202</v>
      </c>
      <c r="D408" s="179" t="s">
        <v>1258</v>
      </c>
      <c r="E408" s="171">
        <v>3</v>
      </c>
      <c r="F408" s="172" t="s">
        <v>1289</v>
      </c>
      <c r="G408" s="150"/>
    </row>
    <row r="409" spans="2:7" x14ac:dyDescent="0.25">
      <c r="B409" s="204" t="s">
        <v>8</v>
      </c>
      <c r="C409" s="178" t="s">
        <v>203</v>
      </c>
      <c r="D409" s="179" t="s">
        <v>1259</v>
      </c>
      <c r="E409" s="171">
        <v>15</v>
      </c>
      <c r="F409" s="172" t="s">
        <v>1289</v>
      </c>
      <c r="G409" s="150"/>
    </row>
    <row r="410" spans="2:7" x14ac:dyDescent="0.25">
      <c r="B410" s="204" t="s">
        <v>8</v>
      </c>
      <c r="C410" s="178" t="s">
        <v>204</v>
      </c>
      <c r="D410" s="179" t="s">
        <v>1258</v>
      </c>
      <c r="E410" s="171">
        <v>37</v>
      </c>
      <c r="F410" s="172" t="s">
        <v>1289</v>
      </c>
      <c r="G410" s="150"/>
    </row>
    <row r="411" spans="2:7" x14ac:dyDescent="0.25">
      <c r="B411" s="204" t="s">
        <v>8</v>
      </c>
      <c r="C411" s="178" t="s">
        <v>205</v>
      </c>
      <c r="D411" s="179" t="s">
        <v>1258</v>
      </c>
      <c r="E411" s="171">
        <v>17</v>
      </c>
      <c r="F411" s="172" t="s">
        <v>1289</v>
      </c>
      <c r="G411" s="150"/>
    </row>
    <row r="412" spans="2:7" x14ac:dyDescent="0.25">
      <c r="B412" s="204" t="s">
        <v>8</v>
      </c>
      <c r="C412" s="178" t="s">
        <v>206</v>
      </c>
      <c r="D412" s="179" t="s">
        <v>1258</v>
      </c>
      <c r="E412" s="171">
        <v>54</v>
      </c>
      <c r="F412" s="172" t="s">
        <v>1289</v>
      </c>
      <c r="G412" s="150"/>
    </row>
    <row r="413" spans="2:7" x14ac:dyDescent="0.25">
      <c r="B413" s="204" t="s">
        <v>8</v>
      </c>
      <c r="C413" s="178" t="s">
        <v>207</v>
      </c>
      <c r="D413" s="179" t="s">
        <v>1258</v>
      </c>
      <c r="E413" s="171">
        <v>65</v>
      </c>
      <c r="F413" s="172" t="s">
        <v>1289</v>
      </c>
      <c r="G413" s="150"/>
    </row>
    <row r="414" spans="2:7" x14ac:dyDescent="0.25">
      <c r="B414" s="204" t="s">
        <v>8</v>
      </c>
      <c r="C414" s="178" t="s">
        <v>208</v>
      </c>
      <c r="D414" s="179" t="s">
        <v>1259</v>
      </c>
      <c r="E414" s="171">
        <v>2</v>
      </c>
      <c r="F414" s="172" t="s">
        <v>1289</v>
      </c>
      <c r="G414" s="150"/>
    </row>
    <row r="415" spans="2:7" x14ac:dyDescent="0.25">
      <c r="B415" s="204" t="s">
        <v>8</v>
      </c>
      <c r="C415" s="178" t="s">
        <v>209</v>
      </c>
      <c r="D415" s="179" t="s">
        <v>1258</v>
      </c>
      <c r="E415" s="171">
        <v>70</v>
      </c>
      <c r="F415" s="172" t="s">
        <v>1289</v>
      </c>
      <c r="G415" s="150"/>
    </row>
    <row r="416" spans="2:7" x14ac:dyDescent="0.25">
      <c r="B416" s="204" t="s">
        <v>8</v>
      </c>
      <c r="C416" s="178" t="s">
        <v>210</v>
      </c>
      <c r="D416" s="179" t="s">
        <v>1259</v>
      </c>
      <c r="E416" s="171">
        <v>18</v>
      </c>
      <c r="F416" s="172" t="s">
        <v>1289</v>
      </c>
      <c r="G416" s="150"/>
    </row>
    <row r="417" spans="2:11" x14ac:dyDescent="0.25">
      <c r="B417" s="204" t="s">
        <v>8</v>
      </c>
      <c r="C417" s="178" t="s">
        <v>211</v>
      </c>
      <c r="D417" s="179" t="s">
        <v>1258</v>
      </c>
      <c r="E417" s="171">
        <v>22</v>
      </c>
      <c r="F417" s="172" t="s">
        <v>1289</v>
      </c>
      <c r="G417" s="150"/>
    </row>
    <row r="418" spans="2:11" x14ac:dyDescent="0.25">
      <c r="B418" s="204" t="s">
        <v>8</v>
      </c>
      <c r="C418" s="178" t="s">
        <v>212</v>
      </c>
      <c r="D418" s="179" t="s">
        <v>1258</v>
      </c>
      <c r="E418" s="171">
        <v>6</v>
      </c>
      <c r="F418" s="172" t="s">
        <v>1289</v>
      </c>
      <c r="G418" s="150"/>
    </row>
    <row r="419" spans="2:11" x14ac:dyDescent="0.25">
      <c r="B419" s="204" t="s">
        <v>8</v>
      </c>
      <c r="C419" s="178" t="s">
        <v>213</v>
      </c>
      <c r="D419" s="179" t="s">
        <v>1260</v>
      </c>
      <c r="E419" s="171">
        <v>2</v>
      </c>
      <c r="F419" s="172" t="s">
        <v>1289</v>
      </c>
      <c r="G419" s="150"/>
    </row>
    <row r="420" spans="2:11" x14ac:dyDescent="0.25">
      <c r="B420" s="204" t="s">
        <v>8</v>
      </c>
      <c r="C420" s="178" t="s">
        <v>214</v>
      </c>
      <c r="D420" s="179" t="s">
        <v>1259</v>
      </c>
      <c r="E420" s="171">
        <v>7</v>
      </c>
      <c r="F420" s="172" t="s">
        <v>1289</v>
      </c>
      <c r="G420" s="150"/>
    </row>
    <row r="421" spans="2:11" x14ac:dyDescent="0.25">
      <c r="B421" s="204" t="s">
        <v>8</v>
      </c>
      <c r="C421" s="178" t="s">
        <v>215</v>
      </c>
      <c r="D421" s="179" t="s">
        <v>1258</v>
      </c>
      <c r="E421" s="171">
        <v>34</v>
      </c>
      <c r="F421" s="172" t="s">
        <v>1289</v>
      </c>
      <c r="G421" s="150"/>
    </row>
    <row r="422" spans="2:11" x14ac:dyDescent="0.25">
      <c r="B422" s="204" t="s">
        <v>8</v>
      </c>
      <c r="C422" s="178" t="s">
        <v>216</v>
      </c>
      <c r="D422" s="179" t="s">
        <v>1258</v>
      </c>
      <c r="E422" s="171">
        <v>134</v>
      </c>
      <c r="F422" s="172" t="s">
        <v>1289</v>
      </c>
      <c r="G422" s="150"/>
    </row>
    <row r="423" spans="2:11" x14ac:dyDescent="0.25">
      <c r="B423" s="204" t="s">
        <v>8</v>
      </c>
      <c r="C423" s="178" t="s">
        <v>217</v>
      </c>
      <c r="D423" s="179" t="s">
        <v>1258</v>
      </c>
      <c r="E423" s="171">
        <v>15</v>
      </c>
      <c r="F423" s="172" t="s">
        <v>1288</v>
      </c>
      <c r="G423" s="151"/>
    </row>
    <row r="424" spans="2:11" x14ac:dyDescent="0.25">
      <c r="B424" s="204" t="s">
        <v>8</v>
      </c>
      <c r="C424" s="178" t="s">
        <v>218</v>
      </c>
      <c r="D424" s="179" t="s">
        <v>1258</v>
      </c>
      <c r="E424" s="171">
        <v>3</v>
      </c>
      <c r="F424" s="172" t="s">
        <v>1289</v>
      </c>
      <c r="G424" s="150"/>
    </row>
    <row r="425" spans="2:11" x14ac:dyDescent="0.25">
      <c r="B425" s="204" t="s">
        <v>8</v>
      </c>
      <c r="C425" s="178" t="s">
        <v>219</v>
      </c>
      <c r="D425" s="179" t="s">
        <v>1259</v>
      </c>
      <c r="E425" s="171">
        <v>26</v>
      </c>
      <c r="F425" s="172" t="s">
        <v>1289</v>
      </c>
      <c r="G425" s="150"/>
    </row>
    <row r="426" spans="2:11" x14ac:dyDescent="0.25">
      <c r="B426" s="204" t="s">
        <v>8</v>
      </c>
      <c r="C426" s="178" t="s">
        <v>220</v>
      </c>
      <c r="D426" s="179" t="s">
        <v>1258</v>
      </c>
      <c r="E426" s="171">
        <v>35</v>
      </c>
      <c r="F426" s="172" t="s">
        <v>1289</v>
      </c>
      <c r="G426" s="150"/>
    </row>
    <row r="427" spans="2:11" x14ac:dyDescent="0.25">
      <c r="B427" s="204" t="s">
        <v>8</v>
      </c>
      <c r="C427" s="178" t="s">
        <v>221</v>
      </c>
      <c r="D427" s="179" t="s">
        <v>1259</v>
      </c>
      <c r="E427" s="171">
        <v>2</v>
      </c>
      <c r="F427" s="172" t="s">
        <v>1289</v>
      </c>
      <c r="G427" s="150"/>
    </row>
    <row r="428" spans="2:11" x14ac:dyDescent="0.25">
      <c r="B428" s="204" t="s">
        <v>8</v>
      </c>
      <c r="C428" s="178" t="s">
        <v>222</v>
      </c>
      <c r="D428" s="179" t="s">
        <v>1258</v>
      </c>
      <c r="E428" s="171">
        <v>25</v>
      </c>
      <c r="F428" s="172" t="s">
        <v>1289</v>
      </c>
      <c r="G428" s="150"/>
    </row>
    <row r="429" spans="2:11" x14ac:dyDescent="0.25">
      <c r="B429" s="204" t="s">
        <v>8</v>
      </c>
      <c r="C429" s="178" t="s">
        <v>223</v>
      </c>
      <c r="D429" s="179" t="s">
        <v>1258</v>
      </c>
      <c r="E429" s="171">
        <v>98</v>
      </c>
      <c r="F429" s="172" t="s">
        <v>1289</v>
      </c>
      <c r="G429" s="150"/>
    </row>
    <row r="430" spans="2:11" x14ac:dyDescent="0.25">
      <c r="B430" s="204" t="s">
        <v>8</v>
      </c>
      <c r="C430" s="178" t="s">
        <v>224</v>
      </c>
      <c r="D430" s="179" t="s">
        <v>1258</v>
      </c>
      <c r="E430" s="171">
        <v>3</v>
      </c>
      <c r="F430" s="172" t="s">
        <v>1289</v>
      </c>
      <c r="G430" s="150"/>
    </row>
    <row r="431" spans="2:11" x14ac:dyDescent="0.25">
      <c r="B431" s="203" t="s">
        <v>736</v>
      </c>
      <c r="C431" s="138" t="s">
        <v>797</v>
      </c>
      <c r="D431" s="2" t="s">
        <v>1258</v>
      </c>
      <c r="E431" s="45">
        <v>6</v>
      </c>
      <c r="F431" s="175" t="s">
        <v>1289</v>
      </c>
      <c r="G431" s="154"/>
      <c r="I431" s="265" t="s">
        <v>801</v>
      </c>
      <c r="J431" s="266"/>
      <c r="K431" s="113" t="s">
        <v>120</v>
      </c>
    </row>
    <row r="432" spans="2:11" x14ac:dyDescent="0.25">
      <c r="B432" s="203" t="s">
        <v>736</v>
      </c>
      <c r="C432" s="138" t="s">
        <v>798</v>
      </c>
      <c r="D432" s="2" t="s">
        <v>1258</v>
      </c>
      <c r="E432" s="45">
        <v>1</v>
      </c>
      <c r="F432" s="175" t="s">
        <v>1289</v>
      </c>
      <c r="G432" s="154"/>
      <c r="I432" s="42" t="s">
        <v>122</v>
      </c>
      <c r="J432" s="43">
        <v>3</v>
      </c>
      <c r="K432" s="64">
        <v>0.75</v>
      </c>
    </row>
    <row r="433" spans="2:11" x14ac:dyDescent="0.25">
      <c r="B433" s="203" t="s">
        <v>736</v>
      </c>
      <c r="C433" s="138" t="s">
        <v>799</v>
      </c>
      <c r="D433" s="2" t="s">
        <v>1258</v>
      </c>
      <c r="E433" s="45">
        <v>136</v>
      </c>
      <c r="F433" s="175" t="s">
        <v>1288</v>
      </c>
      <c r="G433" s="160"/>
      <c r="I433" s="40" t="s">
        <v>124</v>
      </c>
      <c r="J433" s="44">
        <v>1</v>
      </c>
      <c r="K433" s="7">
        <v>0.25</v>
      </c>
    </row>
    <row r="434" spans="2:11" x14ac:dyDescent="0.25">
      <c r="B434" s="203" t="s">
        <v>736</v>
      </c>
      <c r="C434" s="138" t="s">
        <v>800</v>
      </c>
      <c r="D434" s="2" t="s">
        <v>1258</v>
      </c>
      <c r="E434" s="45">
        <v>1</v>
      </c>
      <c r="F434" s="175" t="s">
        <v>1289</v>
      </c>
      <c r="G434" s="154"/>
      <c r="I434" s="46" t="s">
        <v>31</v>
      </c>
      <c r="J434" s="47">
        <f>SUM(J432:J433)</f>
        <v>4</v>
      </c>
      <c r="K434" s="48">
        <v>1</v>
      </c>
    </row>
    <row r="435" spans="2:11" x14ac:dyDescent="0.25">
      <c r="B435" s="204" t="s">
        <v>739</v>
      </c>
      <c r="C435" s="178" t="s">
        <v>904</v>
      </c>
      <c r="D435" s="179" t="s">
        <v>1258</v>
      </c>
      <c r="E435" s="181"/>
      <c r="F435" s="172" t="s">
        <v>1289</v>
      </c>
      <c r="G435" s="182"/>
    </row>
    <row r="436" spans="2:11" x14ac:dyDescent="0.25">
      <c r="B436" s="204" t="s">
        <v>739</v>
      </c>
      <c r="C436" s="178" t="s">
        <v>905</v>
      </c>
      <c r="D436" s="179" t="s">
        <v>1260</v>
      </c>
      <c r="E436" s="181"/>
      <c r="F436" s="172" t="s">
        <v>1289</v>
      </c>
      <c r="G436" s="182"/>
      <c r="I436" s="265" t="s">
        <v>932</v>
      </c>
      <c r="J436" s="266"/>
      <c r="K436" s="113" t="s">
        <v>120</v>
      </c>
    </row>
    <row r="437" spans="2:11" x14ac:dyDescent="0.25">
      <c r="B437" s="204" t="s">
        <v>739</v>
      </c>
      <c r="C437" s="178" t="s">
        <v>906</v>
      </c>
      <c r="D437" s="179" t="s">
        <v>1260</v>
      </c>
      <c r="E437" s="181"/>
      <c r="F437" s="172" t="s">
        <v>1289</v>
      </c>
      <c r="G437" s="182"/>
      <c r="I437" s="42" t="s">
        <v>122</v>
      </c>
      <c r="J437" s="43">
        <v>27</v>
      </c>
      <c r="K437" s="64">
        <v>0.93</v>
      </c>
    </row>
    <row r="438" spans="2:11" x14ac:dyDescent="0.25">
      <c r="B438" s="204" t="s">
        <v>739</v>
      </c>
      <c r="C438" s="178" t="s">
        <v>907</v>
      </c>
      <c r="D438" s="179" t="s">
        <v>1258</v>
      </c>
      <c r="E438" s="181"/>
      <c r="F438" s="172" t="s">
        <v>1289</v>
      </c>
      <c r="G438" s="182"/>
      <c r="I438" s="40" t="s">
        <v>124</v>
      </c>
      <c r="J438" s="44">
        <v>2</v>
      </c>
      <c r="K438" s="7">
        <v>7.0000000000000007E-2</v>
      </c>
    </row>
    <row r="439" spans="2:11" x14ac:dyDescent="0.25">
      <c r="B439" s="204" t="s">
        <v>739</v>
      </c>
      <c r="C439" s="178" t="s">
        <v>908</v>
      </c>
      <c r="D439" s="179" t="s">
        <v>1260</v>
      </c>
      <c r="E439" s="181"/>
      <c r="F439" s="172" t="s">
        <v>1289</v>
      </c>
      <c r="G439" s="182"/>
      <c r="I439" s="46" t="s">
        <v>31</v>
      </c>
      <c r="J439" s="47">
        <v>29</v>
      </c>
      <c r="K439" s="48">
        <v>1</v>
      </c>
    </row>
    <row r="440" spans="2:11" x14ac:dyDescent="0.25">
      <c r="B440" s="204" t="s">
        <v>739</v>
      </c>
      <c r="C440" s="178" t="s">
        <v>909</v>
      </c>
      <c r="D440" s="179" t="s">
        <v>1260</v>
      </c>
      <c r="E440" s="181"/>
      <c r="F440" s="172" t="s">
        <v>1288</v>
      </c>
      <c r="G440" s="150"/>
    </row>
    <row r="441" spans="2:11" x14ac:dyDescent="0.25">
      <c r="B441" s="204" t="s">
        <v>739</v>
      </c>
      <c r="C441" s="178" t="s">
        <v>910</v>
      </c>
      <c r="D441" s="179" t="s">
        <v>1260</v>
      </c>
      <c r="E441" s="181"/>
      <c r="F441" s="172" t="s">
        <v>1289</v>
      </c>
      <c r="G441" s="182"/>
    </row>
    <row r="442" spans="2:11" x14ac:dyDescent="0.25">
      <c r="B442" s="204" t="s">
        <v>739</v>
      </c>
      <c r="C442" s="178" t="s">
        <v>911</v>
      </c>
      <c r="D442" s="179" t="s">
        <v>1258</v>
      </c>
      <c r="E442" s="181"/>
      <c r="F442" s="172" t="s">
        <v>1289</v>
      </c>
      <c r="G442" s="182"/>
    </row>
    <row r="443" spans="2:11" x14ac:dyDescent="0.25">
      <c r="B443" s="204" t="s">
        <v>739</v>
      </c>
      <c r="C443" s="178" t="s">
        <v>1261</v>
      </c>
      <c r="D443" s="179" t="s">
        <v>1259</v>
      </c>
      <c r="E443" s="181"/>
      <c r="F443" s="172" t="s">
        <v>1289</v>
      </c>
      <c r="G443" s="182"/>
    </row>
    <row r="444" spans="2:11" x14ac:dyDescent="0.25">
      <c r="B444" s="204" t="s">
        <v>739</v>
      </c>
      <c r="C444" s="178" t="s">
        <v>912</v>
      </c>
      <c r="D444" s="179" t="s">
        <v>1258</v>
      </c>
      <c r="E444" s="181"/>
      <c r="F444" s="172" t="s">
        <v>1289</v>
      </c>
      <c r="G444" s="182"/>
    </row>
    <row r="445" spans="2:11" x14ac:dyDescent="0.25">
      <c r="B445" s="204" t="s">
        <v>739</v>
      </c>
      <c r="C445" s="178" t="s">
        <v>913</v>
      </c>
      <c r="D445" s="179" t="s">
        <v>1260</v>
      </c>
      <c r="E445" s="181"/>
      <c r="F445" s="172" t="s">
        <v>1289</v>
      </c>
      <c r="G445" s="182"/>
    </row>
    <row r="446" spans="2:11" x14ac:dyDescent="0.25">
      <c r="B446" s="204" t="s">
        <v>739</v>
      </c>
      <c r="C446" s="178" t="s">
        <v>914</v>
      </c>
      <c r="D446" s="179" t="s">
        <v>1258</v>
      </c>
      <c r="E446" s="181"/>
      <c r="F446" s="172" t="s">
        <v>1289</v>
      </c>
      <c r="G446" s="182"/>
    </row>
    <row r="447" spans="2:11" x14ac:dyDescent="0.25">
      <c r="B447" s="204" t="s">
        <v>739</v>
      </c>
      <c r="C447" s="178" t="s">
        <v>915</v>
      </c>
      <c r="D447" s="179" t="s">
        <v>1258</v>
      </c>
      <c r="E447" s="181"/>
      <c r="F447" s="172" t="s">
        <v>1289</v>
      </c>
      <c r="G447" s="182"/>
    </row>
    <row r="448" spans="2:11" x14ac:dyDescent="0.25">
      <c r="B448" s="204" t="s">
        <v>739</v>
      </c>
      <c r="C448" s="178" t="s">
        <v>916</v>
      </c>
      <c r="D448" s="179" t="s">
        <v>1258</v>
      </c>
      <c r="E448" s="181"/>
      <c r="F448" s="172" t="s">
        <v>1289</v>
      </c>
      <c r="G448" s="182"/>
    </row>
    <row r="449" spans="2:11" x14ac:dyDescent="0.25">
      <c r="B449" s="204" t="s">
        <v>739</v>
      </c>
      <c r="C449" s="178" t="s">
        <v>917</v>
      </c>
      <c r="D449" s="179" t="s">
        <v>1258</v>
      </c>
      <c r="E449" s="181"/>
      <c r="F449" s="172" t="s">
        <v>1289</v>
      </c>
      <c r="G449" s="182"/>
    </row>
    <row r="450" spans="2:11" x14ac:dyDescent="0.25">
      <c r="B450" s="204" t="s">
        <v>739</v>
      </c>
      <c r="C450" s="178" t="s">
        <v>918</v>
      </c>
      <c r="D450" s="179" t="s">
        <v>1258</v>
      </c>
      <c r="E450" s="181"/>
      <c r="F450" s="172" t="s">
        <v>1289</v>
      </c>
      <c r="G450" s="182"/>
    </row>
    <row r="451" spans="2:11" x14ac:dyDescent="0.25">
      <c r="B451" s="204" t="s">
        <v>739</v>
      </c>
      <c r="C451" s="178" t="s">
        <v>919</v>
      </c>
      <c r="D451" s="179" t="s">
        <v>1258</v>
      </c>
      <c r="E451" s="181"/>
      <c r="F451" s="172" t="s">
        <v>1289</v>
      </c>
      <c r="G451" s="182"/>
    </row>
    <row r="452" spans="2:11" x14ac:dyDescent="0.25">
      <c r="B452" s="204" t="s">
        <v>739</v>
      </c>
      <c r="C452" s="178" t="s">
        <v>920</v>
      </c>
      <c r="D452" s="179" t="s">
        <v>1258</v>
      </c>
      <c r="E452" s="181"/>
      <c r="F452" s="172" t="s">
        <v>1289</v>
      </c>
      <c r="G452" s="182"/>
    </row>
    <row r="453" spans="2:11" x14ac:dyDescent="0.25">
      <c r="B453" s="204" t="s">
        <v>739</v>
      </c>
      <c r="C453" s="178" t="s">
        <v>921</v>
      </c>
      <c r="D453" s="179" t="s">
        <v>1258</v>
      </c>
      <c r="E453" s="181"/>
      <c r="F453" s="172" t="s">
        <v>1289</v>
      </c>
      <c r="G453" s="182"/>
    </row>
    <row r="454" spans="2:11" x14ac:dyDescent="0.25">
      <c r="B454" s="204" t="s">
        <v>739</v>
      </c>
      <c r="C454" s="178" t="s">
        <v>922</v>
      </c>
      <c r="D454" s="179" t="s">
        <v>1258</v>
      </c>
      <c r="E454" s="181"/>
      <c r="F454" s="172" t="s">
        <v>1289</v>
      </c>
      <c r="G454" s="182"/>
    </row>
    <row r="455" spans="2:11" x14ac:dyDescent="0.25">
      <c r="B455" s="204" t="s">
        <v>739</v>
      </c>
      <c r="C455" s="178" t="s">
        <v>923</v>
      </c>
      <c r="D455" s="179" t="s">
        <v>1258</v>
      </c>
      <c r="E455" s="181"/>
      <c r="F455" s="172" t="s">
        <v>1289</v>
      </c>
      <c r="G455" s="182"/>
    </row>
    <row r="456" spans="2:11" x14ac:dyDescent="0.25">
      <c r="B456" s="204" t="s">
        <v>739</v>
      </c>
      <c r="C456" s="178" t="s">
        <v>924</v>
      </c>
      <c r="D456" s="179" t="s">
        <v>1258</v>
      </c>
      <c r="E456" s="181"/>
      <c r="F456" s="172" t="s">
        <v>1288</v>
      </c>
      <c r="G456" s="150"/>
    </row>
    <row r="457" spans="2:11" x14ac:dyDescent="0.25">
      <c r="B457" s="204" t="s">
        <v>739</v>
      </c>
      <c r="C457" s="178" t="s">
        <v>925</v>
      </c>
      <c r="D457" s="179" t="s">
        <v>1258</v>
      </c>
      <c r="E457" s="181"/>
      <c r="F457" s="172" t="s">
        <v>1289</v>
      </c>
      <c r="G457" s="182"/>
    </row>
    <row r="458" spans="2:11" x14ac:dyDescent="0.25">
      <c r="B458" s="204" t="s">
        <v>739</v>
      </c>
      <c r="C458" s="178" t="s">
        <v>926</v>
      </c>
      <c r="D458" s="179" t="s">
        <v>1258</v>
      </c>
      <c r="E458" s="181"/>
      <c r="F458" s="172" t="s">
        <v>1289</v>
      </c>
      <c r="G458" s="182"/>
    </row>
    <row r="459" spans="2:11" x14ac:dyDescent="0.25">
      <c r="B459" s="204" t="s">
        <v>739</v>
      </c>
      <c r="C459" s="178" t="s">
        <v>927</v>
      </c>
      <c r="D459" s="179" t="s">
        <v>1258</v>
      </c>
      <c r="E459" s="181"/>
      <c r="F459" s="172" t="s">
        <v>1289</v>
      </c>
      <c r="G459" s="182"/>
    </row>
    <row r="460" spans="2:11" x14ac:dyDescent="0.25">
      <c r="B460" s="204" t="s">
        <v>739</v>
      </c>
      <c r="C460" s="178" t="s">
        <v>928</v>
      </c>
      <c r="D460" s="179" t="s">
        <v>1258</v>
      </c>
      <c r="E460" s="181"/>
      <c r="F460" s="172" t="s">
        <v>1289</v>
      </c>
      <c r="G460" s="182"/>
    </row>
    <row r="461" spans="2:11" x14ac:dyDescent="0.25">
      <c r="B461" s="204" t="s">
        <v>739</v>
      </c>
      <c r="C461" s="178" t="s">
        <v>929</v>
      </c>
      <c r="D461" s="179" t="s">
        <v>1258</v>
      </c>
      <c r="E461" s="181"/>
      <c r="F461" s="172" t="s">
        <v>1289</v>
      </c>
      <c r="G461" s="182"/>
    </row>
    <row r="462" spans="2:11" x14ac:dyDescent="0.25">
      <c r="B462" s="204" t="s">
        <v>739</v>
      </c>
      <c r="C462" s="178" t="s">
        <v>930</v>
      </c>
      <c r="D462" s="179" t="s">
        <v>1258</v>
      </c>
      <c r="E462" s="181"/>
      <c r="F462" s="172" t="s">
        <v>1289</v>
      </c>
      <c r="G462" s="182"/>
    </row>
    <row r="463" spans="2:11" x14ac:dyDescent="0.25">
      <c r="B463" s="204" t="s">
        <v>739</v>
      </c>
      <c r="C463" s="178" t="s">
        <v>931</v>
      </c>
      <c r="D463" s="179" t="s">
        <v>1258</v>
      </c>
      <c r="E463" s="181"/>
      <c r="F463" s="172" t="s">
        <v>1289</v>
      </c>
      <c r="G463" s="182"/>
    </row>
    <row r="464" spans="2:11" x14ac:dyDescent="0.25">
      <c r="B464" s="203" t="s">
        <v>225</v>
      </c>
      <c r="C464" s="137" t="s">
        <v>226</v>
      </c>
      <c r="D464" s="52" t="s">
        <v>1258</v>
      </c>
      <c r="E464" s="143">
        <v>416</v>
      </c>
      <c r="F464" s="175" t="s">
        <v>1289</v>
      </c>
      <c r="G464" s="180"/>
      <c r="I464" s="265" t="s">
        <v>227</v>
      </c>
      <c r="J464" s="266"/>
      <c r="K464" s="113" t="s">
        <v>120</v>
      </c>
    </row>
    <row r="465" spans="2:11" x14ac:dyDescent="0.25">
      <c r="B465" s="203" t="s">
        <v>225</v>
      </c>
      <c r="C465" s="138" t="s">
        <v>228</v>
      </c>
      <c r="D465" s="2" t="s">
        <v>1258</v>
      </c>
      <c r="E465" s="45">
        <v>644</v>
      </c>
      <c r="F465" s="175" t="s">
        <v>1288</v>
      </c>
      <c r="G465" s="154"/>
      <c r="I465" s="42" t="s">
        <v>122</v>
      </c>
      <c r="J465" s="43">
        <v>9</v>
      </c>
      <c r="K465" s="64">
        <v>0.32</v>
      </c>
    </row>
    <row r="466" spans="2:11" x14ac:dyDescent="0.25">
      <c r="B466" s="203" t="s">
        <v>225</v>
      </c>
      <c r="C466" s="138" t="s">
        <v>229</v>
      </c>
      <c r="D466" s="2" t="s">
        <v>1259</v>
      </c>
      <c r="E466" s="45">
        <v>397</v>
      </c>
      <c r="F466" s="175" t="s">
        <v>1288</v>
      </c>
      <c r="G466" s="154"/>
      <c r="I466" s="40" t="s">
        <v>124</v>
      </c>
      <c r="J466" s="44">
        <v>19</v>
      </c>
      <c r="K466" s="7">
        <v>0.68</v>
      </c>
    </row>
    <row r="467" spans="2:11" x14ac:dyDescent="0.25">
      <c r="B467" s="203" t="s">
        <v>225</v>
      </c>
      <c r="C467" s="138" t="s">
        <v>230</v>
      </c>
      <c r="D467" s="2" t="s">
        <v>1258</v>
      </c>
      <c r="E467" s="45">
        <v>120</v>
      </c>
      <c r="F467" s="175" t="s">
        <v>1288</v>
      </c>
      <c r="G467" s="154"/>
      <c r="I467" s="46" t="s">
        <v>31</v>
      </c>
      <c r="J467" s="47">
        <f>SUM(J465:J466)</f>
        <v>28</v>
      </c>
      <c r="K467" s="48">
        <v>1</v>
      </c>
    </row>
    <row r="468" spans="2:11" x14ac:dyDescent="0.25">
      <c r="B468" s="203" t="s">
        <v>225</v>
      </c>
      <c r="C468" s="138" t="s">
        <v>231</v>
      </c>
      <c r="D468" s="2" t="s">
        <v>1258</v>
      </c>
      <c r="E468" s="45">
        <v>45</v>
      </c>
      <c r="F468" s="175" t="s">
        <v>1288</v>
      </c>
      <c r="G468" s="154"/>
    </row>
    <row r="469" spans="2:11" x14ac:dyDescent="0.25">
      <c r="B469" s="203" t="s">
        <v>225</v>
      </c>
      <c r="C469" s="138" t="s">
        <v>232</v>
      </c>
      <c r="D469" s="2" t="s">
        <v>1258</v>
      </c>
      <c r="E469" s="45">
        <v>232</v>
      </c>
      <c r="F469" s="175" t="s">
        <v>1288</v>
      </c>
      <c r="G469" s="154"/>
    </row>
    <row r="470" spans="2:11" x14ac:dyDescent="0.25">
      <c r="B470" s="203" t="s">
        <v>225</v>
      </c>
      <c r="C470" s="138" t="s">
        <v>233</v>
      </c>
      <c r="D470" s="2" t="s">
        <v>1259</v>
      </c>
      <c r="E470" s="45">
        <v>188</v>
      </c>
      <c r="F470" s="175" t="s">
        <v>1288</v>
      </c>
      <c r="G470" s="154"/>
      <c r="I470" t="s">
        <v>1266</v>
      </c>
      <c r="J470" t="s">
        <v>1278</v>
      </c>
    </row>
    <row r="471" spans="2:11" x14ac:dyDescent="0.25">
      <c r="B471" s="203" t="s">
        <v>225</v>
      </c>
      <c r="C471" s="138" t="s">
        <v>234</v>
      </c>
      <c r="D471" s="2" t="s">
        <v>1259</v>
      </c>
      <c r="E471" s="45">
        <v>24</v>
      </c>
      <c r="F471" s="175" t="s">
        <v>1288</v>
      </c>
      <c r="G471" s="154"/>
      <c r="I471" s="130" t="s">
        <v>1258</v>
      </c>
      <c r="J471">
        <v>3946</v>
      </c>
    </row>
    <row r="472" spans="2:11" x14ac:dyDescent="0.25">
      <c r="B472" s="203" t="s">
        <v>225</v>
      </c>
      <c r="C472" s="138" t="s">
        <v>235</v>
      </c>
      <c r="D472" s="2" t="s">
        <v>1258</v>
      </c>
      <c r="E472" s="45">
        <v>350</v>
      </c>
      <c r="F472" s="175" t="s">
        <v>1289</v>
      </c>
      <c r="G472" s="154"/>
      <c r="I472" s="130" t="s">
        <v>1259</v>
      </c>
      <c r="J472">
        <v>1200</v>
      </c>
    </row>
    <row r="473" spans="2:11" x14ac:dyDescent="0.25">
      <c r="B473" s="203" t="s">
        <v>225</v>
      </c>
      <c r="C473" s="138" t="s">
        <v>236</v>
      </c>
      <c r="D473" s="2" t="s">
        <v>1258</v>
      </c>
      <c r="E473" s="45">
        <v>268</v>
      </c>
      <c r="F473" s="175" t="s">
        <v>1289</v>
      </c>
      <c r="G473" s="154"/>
      <c r="I473" s="130" t="s">
        <v>1265</v>
      </c>
      <c r="J473">
        <v>5146</v>
      </c>
    </row>
    <row r="474" spans="2:11" x14ac:dyDescent="0.25">
      <c r="B474" s="203" t="s">
        <v>225</v>
      </c>
      <c r="C474" s="138" t="s">
        <v>237</v>
      </c>
      <c r="D474" s="2" t="s">
        <v>1259</v>
      </c>
      <c r="E474" s="45">
        <v>274</v>
      </c>
      <c r="F474" s="175" t="s">
        <v>1289</v>
      </c>
      <c r="G474" s="154"/>
    </row>
    <row r="475" spans="2:11" x14ac:dyDescent="0.25">
      <c r="B475" s="203" t="s">
        <v>225</v>
      </c>
      <c r="C475" s="138" t="s">
        <v>238</v>
      </c>
      <c r="D475" s="2" t="s">
        <v>1259</v>
      </c>
      <c r="E475" s="45">
        <v>202</v>
      </c>
      <c r="F475" s="175" t="s">
        <v>1288</v>
      </c>
      <c r="G475" s="154"/>
    </row>
    <row r="476" spans="2:11" x14ac:dyDescent="0.25">
      <c r="B476" s="203" t="s">
        <v>225</v>
      </c>
      <c r="C476" s="138" t="s">
        <v>239</v>
      </c>
      <c r="D476" s="2" t="s">
        <v>1258</v>
      </c>
      <c r="E476" s="45">
        <v>265</v>
      </c>
      <c r="F476" s="175" t="s">
        <v>1288</v>
      </c>
      <c r="G476" s="154"/>
    </row>
    <row r="477" spans="2:11" x14ac:dyDescent="0.25">
      <c r="B477" s="203" t="s">
        <v>225</v>
      </c>
      <c r="C477" s="138" t="s">
        <v>240</v>
      </c>
      <c r="D477" s="2" t="s">
        <v>1258</v>
      </c>
      <c r="E477" s="45">
        <v>303</v>
      </c>
      <c r="F477" s="175" t="s">
        <v>1288</v>
      </c>
      <c r="G477" s="154"/>
    </row>
    <row r="478" spans="2:11" x14ac:dyDescent="0.25">
      <c r="B478" s="203" t="s">
        <v>225</v>
      </c>
      <c r="C478" s="138" t="s">
        <v>241</v>
      </c>
      <c r="D478" s="2" t="s">
        <v>1258</v>
      </c>
      <c r="E478" s="45">
        <v>1</v>
      </c>
      <c r="F478" s="175" t="s">
        <v>1289</v>
      </c>
      <c r="G478" s="154"/>
    </row>
    <row r="479" spans="2:11" x14ac:dyDescent="0.25">
      <c r="B479" s="203" t="s">
        <v>225</v>
      </c>
      <c r="C479" s="138" t="s">
        <v>242</v>
      </c>
      <c r="D479" s="2" t="s">
        <v>1258</v>
      </c>
      <c r="E479" s="45">
        <v>458</v>
      </c>
      <c r="F479" s="175" t="s">
        <v>1288</v>
      </c>
      <c r="G479" s="154"/>
    </row>
    <row r="480" spans="2:11" x14ac:dyDescent="0.25">
      <c r="B480" s="203" t="s">
        <v>225</v>
      </c>
      <c r="C480" s="138" t="s">
        <v>243</v>
      </c>
      <c r="D480" s="2" t="s">
        <v>1259</v>
      </c>
      <c r="E480" s="45">
        <v>109</v>
      </c>
      <c r="F480" s="175" t="s">
        <v>1289</v>
      </c>
      <c r="G480" s="154"/>
    </row>
    <row r="481" spans="2:11" x14ac:dyDescent="0.25">
      <c r="B481" s="203" t="s">
        <v>225</v>
      </c>
      <c r="C481" s="138" t="s">
        <v>244</v>
      </c>
      <c r="D481" s="2" t="s">
        <v>1258</v>
      </c>
      <c r="E481" s="45">
        <v>175</v>
      </c>
      <c r="F481" s="175" t="s">
        <v>1288</v>
      </c>
      <c r="G481" s="154"/>
    </row>
    <row r="482" spans="2:11" x14ac:dyDescent="0.25">
      <c r="B482" s="203" t="s">
        <v>225</v>
      </c>
      <c r="C482" s="138" t="s">
        <v>245</v>
      </c>
      <c r="D482" s="2" t="s">
        <v>1258</v>
      </c>
      <c r="E482" s="45">
        <v>231</v>
      </c>
      <c r="F482" s="175" t="s">
        <v>1288</v>
      </c>
      <c r="G482" s="154"/>
    </row>
    <row r="483" spans="2:11" x14ac:dyDescent="0.25">
      <c r="B483" s="203" t="s">
        <v>225</v>
      </c>
      <c r="C483" s="138" t="s">
        <v>246</v>
      </c>
      <c r="D483" s="2" t="s">
        <v>1258</v>
      </c>
      <c r="E483" s="45">
        <v>1</v>
      </c>
      <c r="F483" s="175" t="s">
        <v>1289</v>
      </c>
      <c r="G483" s="154"/>
    </row>
    <row r="484" spans="2:11" x14ac:dyDescent="0.25">
      <c r="B484" s="203" t="s">
        <v>225</v>
      </c>
      <c r="C484" s="138" t="s">
        <v>247</v>
      </c>
      <c r="D484" s="2" t="s">
        <v>1258</v>
      </c>
      <c r="E484" s="45">
        <v>124</v>
      </c>
      <c r="F484" s="175" t="s">
        <v>1288</v>
      </c>
      <c r="G484" s="154"/>
    </row>
    <row r="485" spans="2:11" x14ac:dyDescent="0.25">
      <c r="B485" s="203" t="s">
        <v>225</v>
      </c>
      <c r="C485" s="138" t="s">
        <v>248</v>
      </c>
      <c r="D485" s="2" t="s">
        <v>1258</v>
      </c>
      <c r="E485" s="45">
        <v>4</v>
      </c>
      <c r="F485" s="175" t="s">
        <v>1289</v>
      </c>
      <c r="G485" s="154"/>
    </row>
    <row r="486" spans="2:11" x14ac:dyDescent="0.25">
      <c r="B486" s="203" t="s">
        <v>225</v>
      </c>
      <c r="C486" s="138" t="s">
        <v>249</v>
      </c>
      <c r="D486" s="2" t="s">
        <v>1258</v>
      </c>
      <c r="E486" s="45">
        <v>116</v>
      </c>
      <c r="F486" s="175" t="s">
        <v>1289</v>
      </c>
      <c r="G486" s="154"/>
    </row>
    <row r="487" spans="2:11" x14ac:dyDescent="0.25">
      <c r="B487" s="203" t="s">
        <v>225</v>
      </c>
      <c r="C487" s="138" t="s">
        <v>250</v>
      </c>
      <c r="D487" s="2" t="s">
        <v>1258</v>
      </c>
      <c r="E487" s="45">
        <v>298</v>
      </c>
      <c r="F487" s="175" t="s">
        <v>1288</v>
      </c>
      <c r="G487" s="154"/>
    </row>
    <row r="488" spans="2:11" x14ac:dyDescent="0.25">
      <c r="B488" s="203" t="s">
        <v>225</v>
      </c>
      <c r="C488" s="138" t="s">
        <v>251</v>
      </c>
      <c r="D488" s="2" t="s">
        <v>1258</v>
      </c>
      <c r="E488" s="45">
        <v>13</v>
      </c>
      <c r="F488" s="175" t="s">
        <v>1288</v>
      </c>
      <c r="G488" s="154"/>
    </row>
    <row r="489" spans="2:11" x14ac:dyDescent="0.25">
      <c r="B489" s="203" t="s">
        <v>225</v>
      </c>
      <c r="C489" s="138" t="s">
        <v>252</v>
      </c>
      <c r="D489" s="2" t="s">
        <v>1258</v>
      </c>
      <c r="E489" s="45">
        <v>267</v>
      </c>
      <c r="F489" s="175" t="s">
        <v>1288</v>
      </c>
      <c r="G489" s="154"/>
    </row>
    <row r="490" spans="2:11" x14ac:dyDescent="0.25">
      <c r="B490" s="203" t="s">
        <v>225</v>
      </c>
      <c r="C490" s="138" t="s">
        <v>253</v>
      </c>
      <c r="D490" s="2" t="s">
        <v>1259</v>
      </c>
      <c r="E490" s="45">
        <v>6</v>
      </c>
      <c r="F490" s="175" t="s">
        <v>1288</v>
      </c>
      <c r="G490" s="154"/>
    </row>
    <row r="491" spans="2:11" x14ac:dyDescent="0.25">
      <c r="B491" s="203" t="s">
        <v>225</v>
      </c>
      <c r="C491" s="138" t="s">
        <v>254</v>
      </c>
      <c r="D491" s="2" t="s">
        <v>1258</v>
      </c>
      <c r="E491" s="45">
        <v>31</v>
      </c>
      <c r="F491" s="175" t="s">
        <v>1288</v>
      </c>
      <c r="G491" s="154"/>
    </row>
    <row r="492" spans="2:11" x14ac:dyDescent="0.25">
      <c r="B492" s="204" t="s">
        <v>11</v>
      </c>
      <c r="C492" s="183" t="s">
        <v>255</v>
      </c>
      <c r="D492" s="184" t="s">
        <v>1258</v>
      </c>
      <c r="E492" s="185">
        <v>62</v>
      </c>
      <c r="F492" s="172" t="s">
        <v>1288</v>
      </c>
      <c r="G492" s="167"/>
      <c r="I492" s="265" t="s">
        <v>256</v>
      </c>
      <c r="J492" s="266"/>
      <c r="K492" s="113" t="s">
        <v>23</v>
      </c>
    </row>
    <row r="493" spans="2:11" x14ac:dyDescent="0.25">
      <c r="B493" s="204" t="s">
        <v>11</v>
      </c>
      <c r="C493" s="155" t="s">
        <v>257</v>
      </c>
      <c r="D493" s="147" t="s">
        <v>1258</v>
      </c>
      <c r="E493" s="148">
        <v>25</v>
      </c>
      <c r="F493" s="149" t="s">
        <v>1289</v>
      </c>
      <c r="G493" s="151"/>
      <c r="I493" s="42" t="s">
        <v>122</v>
      </c>
      <c r="J493" s="43">
        <v>21</v>
      </c>
      <c r="K493" s="62">
        <v>0.72</v>
      </c>
    </row>
    <row r="494" spans="2:11" x14ac:dyDescent="0.25">
      <c r="B494" s="204" t="s">
        <v>11</v>
      </c>
      <c r="C494" s="155" t="s">
        <v>258</v>
      </c>
      <c r="D494" s="147" t="s">
        <v>1258</v>
      </c>
      <c r="E494" s="148">
        <v>51</v>
      </c>
      <c r="F494" s="149" t="s">
        <v>1289</v>
      </c>
      <c r="G494" s="151"/>
      <c r="I494" s="40" t="s">
        <v>124</v>
      </c>
      <c r="J494" s="44">
        <v>8</v>
      </c>
      <c r="K494" s="63">
        <v>0.28000000000000003</v>
      </c>
    </row>
    <row r="495" spans="2:11" x14ac:dyDescent="0.25">
      <c r="B495" s="204" t="s">
        <v>11</v>
      </c>
      <c r="C495" s="155" t="s">
        <v>259</v>
      </c>
      <c r="D495" s="147" t="s">
        <v>1259</v>
      </c>
      <c r="E495" s="148">
        <v>29</v>
      </c>
      <c r="F495" s="149" t="s">
        <v>1289</v>
      </c>
      <c r="G495" s="151"/>
      <c r="I495" s="46" t="s">
        <v>31</v>
      </c>
      <c r="J495" s="47">
        <f>SUM(J493:J494)</f>
        <v>29</v>
      </c>
      <c r="K495" s="48">
        <v>1</v>
      </c>
    </row>
    <row r="496" spans="2:11" ht="16.5" customHeight="1" x14ac:dyDescent="0.25">
      <c r="B496" s="204" t="s">
        <v>11</v>
      </c>
      <c r="C496" s="155" t="s">
        <v>260</v>
      </c>
      <c r="D496" s="147" t="s">
        <v>1258</v>
      </c>
      <c r="E496" s="148">
        <v>77</v>
      </c>
      <c r="F496" s="149" t="s">
        <v>1289</v>
      </c>
      <c r="G496" s="151"/>
    </row>
    <row r="497" spans="2:10" x14ac:dyDescent="0.25">
      <c r="B497" s="204" t="s">
        <v>11</v>
      </c>
      <c r="C497" s="155" t="s">
        <v>261</v>
      </c>
      <c r="D497" s="147" t="s">
        <v>1259</v>
      </c>
      <c r="E497" s="148">
        <v>40</v>
      </c>
      <c r="F497" s="149" t="s">
        <v>1288</v>
      </c>
      <c r="G497" s="151"/>
    </row>
    <row r="498" spans="2:10" x14ac:dyDescent="0.25">
      <c r="B498" s="204" t="s">
        <v>11</v>
      </c>
      <c r="C498" s="155" t="s">
        <v>262</v>
      </c>
      <c r="D498" s="147" t="s">
        <v>1258</v>
      </c>
      <c r="E498" s="148">
        <v>58</v>
      </c>
      <c r="F498" s="149" t="s">
        <v>1289</v>
      </c>
      <c r="G498" s="151"/>
      <c r="I498" t="s">
        <v>1266</v>
      </c>
      <c r="J498" t="s">
        <v>1277</v>
      </c>
    </row>
    <row r="499" spans="2:10" ht="15" customHeight="1" x14ac:dyDescent="0.25">
      <c r="B499" s="204" t="s">
        <v>11</v>
      </c>
      <c r="C499" s="155" t="s">
        <v>263</v>
      </c>
      <c r="D499" s="147" t="s">
        <v>1258</v>
      </c>
      <c r="E499" s="148">
        <v>29</v>
      </c>
      <c r="F499" s="149" t="s">
        <v>1289</v>
      </c>
      <c r="G499" s="151"/>
      <c r="I499" s="130" t="s">
        <v>1258</v>
      </c>
      <c r="J499">
        <v>731</v>
      </c>
    </row>
    <row r="500" spans="2:10" x14ac:dyDescent="0.25">
      <c r="B500" s="204" t="s">
        <v>11</v>
      </c>
      <c r="C500" s="155" t="s">
        <v>264</v>
      </c>
      <c r="D500" s="147" t="s">
        <v>1259</v>
      </c>
      <c r="E500" s="148">
        <v>27</v>
      </c>
      <c r="F500" s="149" t="s">
        <v>1289</v>
      </c>
      <c r="G500" s="151"/>
      <c r="I500" s="130" t="s">
        <v>1259</v>
      </c>
      <c r="J500">
        <v>235</v>
      </c>
    </row>
    <row r="501" spans="2:10" x14ac:dyDescent="0.25">
      <c r="B501" s="204" t="s">
        <v>11</v>
      </c>
      <c r="C501" s="155" t="s">
        <v>265</v>
      </c>
      <c r="D501" s="147" t="s">
        <v>1258</v>
      </c>
      <c r="E501" s="148">
        <v>22</v>
      </c>
      <c r="F501" s="149" t="s">
        <v>1289</v>
      </c>
      <c r="G501" s="151"/>
      <c r="I501" s="130" t="s">
        <v>1260</v>
      </c>
      <c r="J501">
        <v>11</v>
      </c>
    </row>
    <row r="502" spans="2:10" x14ac:dyDescent="0.25">
      <c r="B502" s="204" t="s">
        <v>11</v>
      </c>
      <c r="C502" s="155" t="s">
        <v>266</v>
      </c>
      <c r="D502" s="147" t="s">
        <v>1258</v>
      </c>
      <c r="E502" s="148">
        <v>30</v>
      </c>
      <c r="F502" s="149" t="s">
        <v>1288</v>
      </c>
      <c r="G502" s="151"/>
      <c r="I502" s="130" t="s">
        <v>1265</v>
      </c>
      <c r="J502">
        <v>977</v>
      </c>
    </row>
    <row r="503" spans="2:10" x14ac:dyDescent="0.25">
      <c r="B503" s="204" t="s">
        <v>11</v>
      </c>
      <c r="C503" s="155" t="s">
        <v>267</v>
      </c>
      <c r="D503" s="147" t="s">
        <v>1258</v>
      </c>
      <c r="E503" s="148">
        <v>49</v>
      </c>
      <c r="F503" s="149" t="s">
        <v>1289</v>
      </c>
      <c r="G503" s="151"/>
    </row>
    <row r="504" spans="2:10" x14ac:dyDescent="0.25">
      <c r="B504" s="204" t="s">
        <v>11</v>
      </c>
      <c r="C504" s="155" t="s">
        <v>268</v>
      </c>
      <c r="D504" s="147" t="s">
        <v>1258</v>
      </c>
      <c r="E504" s="148">
        <v>0</v>
      </c>
      <c r="F504" s="149" t="s">
        <v>1288</v>
      </c>
      <c r="G504" s="151"/>
    </row>
    <row r="505" spans="2:10" x14ac:dyDescent="0.25">
      <c r="B505" s="204" t="s">
        <v>11</v>
      </c>
      <c r="C505" s="155" t="s">
        <v>269</v>
      </c>
      <c r="D505" s="147" t="s">
        <v>1258</v>
      </c>
      <c r="E505" s="148">
        <v>65</v>
      </c>
      <c r="F505" s="149" t="s">
        <v>1289</v>
      </c>
      <c r="G505" s="151"/>
    </row>
    <row r="506" spans="2:10" x14ac:dyDescent="0.25">
      <c r="B506" s="204" t="s">
        <v>11</v>
      </c>
      <c r="C506" s="155" t="s">
        <v>270</v>
      </c>
      <c r="D506" s="147" t="s">
        <v>1258</v>
      </c>
      <c r="E506" s="148">
        <v>0</v>
      </c>
      <c r="F506" s="149" t="s">
        <v>1288</v>
      </c>
      <c r="G506" s="151"/>
    </row>
    <row r="507" spans="2:10" x14ac:dyDescent="0.25">
      <c r="B507" s="204" t="s">
        <v>11</v>
      </c>
      <c r="C507" s="155" t="s">
        <v>271</v>
      </c>
      <c r="D507" s="147" t="s">
        <v>1258</v>
      </c>
      <c r="E507" s="148">
        <v>33</v>
      </c>
      <c r="F507" s="149" t="s">
        <v>1289</v>
      </c>
      <c r="G507" s="151"/>
    </row>
    <row r="508" spans="2:10" x14ac:dyDescent="0.25">
      <c r="B508" s="204" t="s">
        <v>11</v>
      </c>
      <c r="C508" s="155" t="s">
        <v>272</v>
      </c>
      <c r="D508" s="147" t="s">
        <v>1258</v>
      </c>
      <c r="E508" s="148">
        <v>52</v>
      </c>
      <c r="F508" s="149" t="s">
        <v>1289</v>
      </c>
      <c r="G508" s="151"/>
    </row>
    <row r="509" spans="2:10" x14ac:dyDescent="0.25">
      <c r="B509" s="204" t="s">
        <v>11</v>
      </c>
      <c r="C509" s="155" t="s">
        <v>273</v>
      </c>
      <c r="D509" s="147" t="s">
        <v>1258</v>
      </c>
      <c r="E509" s="148">
        <v>11</v>
      </c>
      <c r="F509" s="149" t="s">
        <v>1289</v>
      </c>
      <c r="G509" s="151"/>
    </row>
    <row r="510" spans="2:10" x14ac:dyDescent="0.25">
      <c r="B510" s="204" t="s">
        <v>11</v>
      </c>
      <c r="C510" s="155" t="s">
        <v>274</v>
      </c>
      <c r="D510" s="147" t="s">
        <v>1259</v>
      </c>
      <c r="E510" s="148">
        <v>34</v>
      </c>
      <c r="F510" s="149" t="s">
        <v>1288</v>
      </c>
      <c r="G510" s="151"/>
    </row>
    <row r="511" spans="2:10" x14ac:dyDescent="0.25">
      <c r="B511" s="204" t="s">
        <v>11</v>
      </c>
      <c r="C511" s="155" t="s">
        <v>275</v>
      </c>
      <c r="D511" s="147" t="s">
        <v>1259</v>
      </c>
      <c r="E511" s="148">
        <v>28</v>
      </c>
      <c r="F511" s="149" t="s">
        <v>1288</v>
      </c>
      <c r="G511" s="151"/>
    </row>
    <row r="512" spans="2:10" x14ac:dyDescent="0.25">
      <c r="B512" s="204" t="s">
        <v>11</v>
      </c>
      <c r="C512" s="186" t="s">
        <v>276</v>
      </c>
      <c r="D512" s="147" t="s">
        <v>1258</v>
      </c>
      <c r="E512" s="148">
        <v>69</v>
      </c>
      <c r="F512" s="149" t="s">
        <v>1289</v>
      </c>
      <c r="G512" s="151"/>
    </row>
    <row r="513" spans="2:11" x14ac:dyDescent="0.25">
      <c r="B513" s="204" t="s">
        <v>11</v>
      </c>
      <c r="C513" s="155" t="s">
        <v>277</v>
      </c>
      <c r="D513" s="147" t="s">
        <v>1260</v>
      </c>
      <c r="E513" s="148">
        <v>0</v>
      </c>
      <c r="F513" s="149" t="s">
        <v>1289</v>
      </c>
      <c r="G513" s="151"/>
    </row>
    <row r="514" spans="2:11" x14ac:dyDescent="0.25">
      <c r="B514" s="204" t="s">
        <v>11</v>
      </c>
      <c r="C514" s="155" t="s">
        <v>278</v>
      </c>
      <c r="D514" s="147" t="s">
        <v>1258</v>
      </c>
      <c r="E514" s="148">
        <v>9</v>
      </c>
      <c r="F514" s="149" t="s">
        <v>1289</v>
      </c>
      <c r="G514" s="151"/>
    </row>
    <row r="515" spans="2:11" x14ac:dyDescent="0.25">
      <c r="B515" s="204" t="s">
        <v>11</v>
      </c>
      <c r="C515" s="155" t="s">
        <v>279</v>
      </c>
      <c r="D515" s="147" t="s">
        <v>1259</v>
      </c>
      <c r="E515" s="148">
        <v>20</v>
      </c>
      <c r="F515" s="149" t="s">
        <v>1289</v>
      </c>
      <c r="G515" s="151"/>
    </row>
    <row r="516" spans="2:11" x14ac:dyDescent="0.25">
      <c r="B516" s="204" t="s">
        <v>11</v>
      </c>
      <c r="C516" s="155" t="s">
        <v>280</v>
      </c>
      <c r="D516" s="147" t="s">
        <v>1260</v>
      </c>
      <c r="E516" s="148">
        <v>11</v>
      </c>
      <c r="F516" s="149" t="s">
        <v>1289</v>
      </c>
      <c r="G516" s="151"/>
    </row>
    <row r="517" spans="2:11" x14ac:dyDescent="0.25">
      <c r="B517" s="204" t="s">
        <v>11</v>
      </c>
      <c r="C517" s="155" t="s">
        <v>281</v>
      </c>
      <c r="D517" s="147" t="s">
        <v>1258</v>
      </c>
      <c r="E517" s="148">
        <v>151</v>
      </c>
      <c r="F517" s="149" t="s">
        <v>1288</v>
      </c>
      <c r="G517" s="151"/>
    </row>
    <row r="518" spans="2:11" x14ac:dyDescent="0.25">
      <c r="B518" s="204" t="s">
        <v>11</v>
      </c>
      <c r="C518" s="155" t="s">
        <v>282</v>
      </c>
      <c r="D518" s="147" t="s">
        <v>1258</v>
      </c>
      <c r="E518" s="148">
        <v>0</v>
      </c>
      <c r="F518" s="149" t="s">
        <v>1289</v>
      </c>
      <c r="G518" s="151"/>
    </row>
    <row r="519" spans="2:11" x14ac:dyDescent="0.25">
      <c r="B519" s="204" t="s">
        <v>11</v>
      </c>
      <c r="C519" s="155" t="s">
        <v>283</v>
      </c>
      <c r="D519" s="147" t="s">
        <v>1258</v>
      </c>
      <c r="E519" s="148">
        <v>0</v>
      </c>
      <c r="F519" s="149" t="s">
        <v>1289</v>
      </c>
      <c r="G519" s="151"/>
    </row>
    <row r="520" spans="2:11" x14ac:dyDescent="0.25">
      <c r="B520" s="204" t="s">
        <v>11</v>
      </c>
      <c r="C520" s="183" t="s">
        <v>284</v>
      </c>
      <c r="D520" s="184" t="s">
        <v>1259</v>
      </c>
      <c r="E520" s="185">
        <v>57</v>
      </c>
      <c r="F520" s="149" t="s">
        <v>1289</v>
      </c>
      <c r="G520" s="167"/>
    </row>
    <row r="521" spans="2:11" ht="15" customHeight="1" x14ac:dyDescent="0.25">
      <c r="B521" s="203" t="s">
        <v>740</v>
      </c>
      <c r="C521" s="134" t="s">
        <v>775</v>
      </c>
      <c r="D521" s="49" t="s">
        <v>1258</v>
      </c>
      <c r="E521" s="115">
        <v>2</v>
      </c>
      <c r="F521" s="158" t="s">
        <v>1289</v>
      </c>
      <c r="G521" s="159"/>
      <c r="I521" s="265" t="s">
        <v>793</v>
      </c>
      <c r="J521" s="266"/>
      <c r="K521" s="113" t="s">
        <v>23</v>
      </c>
    </row>
    <row r="522" spans="2:11" x14ac:dyDescent="0.25">
      <c r="B522" s="203" t="s">
        <v>740</v>
      </c>
      <c r="C522" s="134" t="s">
        <v>776</v>
      </c>
      <c r="D522" s="49" t="s">
        <v>1258</v>
      </c>
      <c r="E522" s="115">
        <v>11</v>
      </c>
      <c r="F522" s="158" t="s">
        <v>1289</v>
      </c>
      <c r="G522" s="159"/>
      <c r="I522" s="42" t="s">
        <v>122</v>
      </c>
      <c r="J522" s="43">
        <v>15</v>
      </c>
      <c r="K522" s="62">
        <v>0.83</v>
      </c>
    </row>
    <row r="523" spans="2:11" x14ac:dyDescent="0.25">
      <c r="B523" s="203" t="s">
        <v>740</v>
      </c>
      <c r="C523" s="134" t="s">
        <v>777</v>
      </c>
      <c r="D523" s="49" t="s">
        <v>1258</v>
      </c>
      <c r="E523" s="115">
        <v>0</v>
      </c>
      <c r="F523" s="158" t="s">
        <v>1289</v>
      </c>
      <c r="G523" s="159"/>
      <c r="I523" s="40" t="s">
        <v>124</v>
      </c>
      <c r="J523" s="44">
        <v>3</v>
      </c>
      <c r="K523" s="63">
        <v>0.17</v>
      </c>
    </row>
    <row r="524" spans="2:11" ht="15" customHeight="1" x14ac:dyDescent="0.25">
      <c r="B524" s="203" t="s">
        <v>740</v>
      </c>
      <c r="C524" s="134" t="s">
        <v>778</v>
      </c>
      <c r="D524" s="49" t="s">
        <v>1258</v>
      </c>
      <c r="E524" s="115">
        <v>0</v>
      </c>
      <c r="F524" s="158" t="s">
        <v>1289</v>
      </c>
      <c r="G524" s="159"/>
      <c r="I524" s="46" t="s">
        <v>31</v>
      </c>
      <c r="J524" s="47">
        <f>SUM(J522:J523)</f>
        <v>18</v>
      </c>
      <c r="K524" s="48">
        <v>1</v>
      </c>
    </row>
    <row r="525" spans="2:11" ht="15" customHeight="1" x14ac:dyDescent="0.25">
      <c r="B525" s="203" t="s">
        <v>740</v>
      </c>
      <c r="C525" s="134" t="s">
        <v>779</v>
      </c>
      <c r="D525" s="49" t="s">
        <v>1259</v>
      </c>
      <c r="E525" s="115">
        <v>24</v>
      </c>
      <c r="F525" s="158" t="s">
        <v>1289</v>
      </c>
      <c r="G525" s="159"/>
    </row>
    <row r="526" spans="2:11" x14ac:dyDescent="0.25">
      <c r="B526" s="203" t="s">
        <v>740</v>
      </c>
      <c r="C526" s="134" t="s">
        <v>780</v>
      </c>
      <c r="D526" s="49" t="s">
        <v>1258</v>
      </c>
      <c r="E526" s="115">
        <v>1</v>
      </c>
      <c r="F526" s="158" t="s">
        <v>1289</v>
      </c>
      <c r="G526" s="159"/>
    </row>
    <row r="527" spans="2:11" ht="15" customHeight="1" x14ac:dyDescent="0.25">
      <c r="B527" s="203" t="s">
        <v>740</v>
      </c>
      <c r="C527" s="134" t="s">
        <v>781</v>
      </c>
      <c r="D527" s="49" t="s">
        <v>1259</v>
      </c>
      <c r="E527" s="115">
        <v>0</v>
      </c>
      <c r="F527" s="158" t="s">
        <v>1289</v>
      </c>
      <c r="G527" s="159"/>
    </row>
    <row r="528" spans="2:11" x14ac:dyDescent="0.25">
      <c r="B528" s="203" t="s">
        <v>740</v>
      </c>
      <c r="C528" s="134" t="s">
        <v>782</v>
      </c>
      <c r="D528" s="49" t="s">
        <v>1258</v>
      </c>
      <c r="E528" s="115">
        <v>14</v>
      </c>
      <c r="F528" s="158" t="s">
        <v>1289</v>
      </c>
      <c r="G528" s="159"/>
    </row>
    <row r="529" spans="2:11" x14ac:dyDescent="0.25">
      <c r="B529" s="203" t="s">
        <v>740</v>
      </c>
      <c r="C529" s="134" t="s">
        <v>783</v>
      </c>
      <c r="D529" s="49" t="s">
        <v>1258</v>
      </c>
      <c r="E529" s="115">
        <v>1</v>
      </c>
      <c r="F529" s="158" t="s">
        <v>1289</v>
      </c>
      <c r="G529" s="159"/>
    </row>
    <row r="530" spans="2:11" x14ac:dyDescent="0.25">
      <c r="B530" s="203" t="s">
        <v>740</v>
      </c>
      <c r="C530" s="134" t="s">
        <v>784</v>
      </c>
      <c r="D530" s="49" t="s">
        <v>1258</v>
      </c>
      <c r="E530" s="115">
        <v>3</v>
      </c>
      <c r="F530" s="158" t="s">
        <v>1288</v>
      </c>
      <c r="G530" s="160"/>
    </row>
    <row r="531" spans="2:11" x14ac:dyDescent="0.25">
      <c r="B531" s="203" t="s">
        <v>740</v>
      </c>
      <c r="C531" s="134" t="s">
        <v>785</v>
      </c>
      <c r="D531" s="49" t="s">
        <v>1258</v>
      </c>
      <c r="E531" s="115">
        <v>1</v>
      </c>
      <c r="F531" s="158" t="s">
        <v>1289</v>
      </c>
      <c r="G531" s="159"/>
    </row>
    <row r="532" spans="2:11" x14ac:dyDescent="0.25">
      <c r="B532" s="203" t="s">
        <v>740</v>
      </c>
      <c r="C532" s="134" t="s">
        <v>786</v>
      </c>
      <c r="D532" s="49" t="s">
        <v>1258</v>
      </c>
      <c r="E532" s="115">
        <v>2</v>
      </c>
      <c r="F532" s="158" t="s">
        <v>1288</v>
      </c>
      <c r="G532" s="160"/>
    </row>
    <row r="533" spans="2:11" x14ac:dyDescent="0.25">
      <c r="B533" s="203" t="s">
        <v>740</v>
      </c>
      <c r="C533" s="134" t="s">
        <v>787</v>
      </c>
      <c r="D533" s="49"/>
      <c r="E533" s="115">
        <v>0</v>
      </c>
      <c r="F533" s="158" t="s">
        <v>1289</v>
      </c>
      <c r="G533" s="159"/>
    </row>
    <row r="534" spans="2:11" x14ac:dyDescent="0.25">
      <c r="B534" s="203" t="s">
        <v>740</v>
      </c>
      <c r="C534" s="134" t="s">
        <v>788</v>
      </c>
      <c r="D534" s="49" t="s">
        <v>1258</v>
      </c>
      <c r="E534" s="115">
        <v>8</v>
      </c>
      <c r="F534" s="158" t="s">
        <v>1289</v>
      </c>
      <c r="G534" s="159"/>
    </row>
    <row r="535" spans="2:11" x14ac:dyDescent="0.25">
      <c r="B535" s="203" t="s">
        <v>740</v>
      </c>
      <c r="C535" s="134" t="s">
        <v>789</v>
      </c>
      <c r="D535" s="49" t="s">
        <v>1258</v>
      </c>
      <c r="E535" s="115">
        <v>1</v>
      </c>
      <c r="F535" s="158" t="s">
        <v>1289</v>
      </c>
      <c r="G535" s="159"/>
    </row>
    <row r="536" spans="2:11" ht="15" customHeight="1" x14ac:dyDescent="0.25">
      <c r="B536" s="203" t="s">
        <v>740</v>
      </c>
      <c r="C536" s="134" t="s">
        <v>790</v>
      </c>
      <c r="D536" s="49" t="s">
        <v>1258</v>
      </c>
      <c r="E536" s="115">
        <v>1</v>
      </c>
      <c r="F536" s="158" t="s">
        <v>1289</v>
      </c>
      <c r="G536" s="159"/>
    </row>
    <row r="537" spans="2:11" x14ac:dyDescent="0.25">
      <c r="B537" s="203" t="s">
        <v>740</v>
      </c>
      <c r="C537" s="134" t="s">
        <v>791</v>
      </c>
      <c r="D537" s="49" t="s">
        <v>1258</v>
      </c>
      <c r="E537" s="115">
        <v>1</v>
      </c>
      <c r="F537" s="158" t="s">
        <v>1288</v>
      </c>
      <c r="G537" s="160"/>
    </row>
    <row r="538" spans="2:11" x14ac:dyDescent="0.25">
      <c r="B538" s="203" t="s">
        <v>740</v>
      </c>
      <c r="C538" s="134" t="s">
        <v>792</v>
      </c>
      <c r="D538" s="49" t="s">
        <v>1258</v>
      </c>
      <c r="E538" s="115">
        <v>1</v>
      </c>
      <c r="F538" s="158" t="s">
        <v>1289</v>
      </c>
      <c r="G538" s="159"/>
    </row>
    <row r="539" spans="2:11" x14ac:dyDescent="0.25">
      <c r="B539" s="204" t="s">
        <v>664</v>
      </c>
      <c r="C539" s="155" t="s">
        <v>665</v>
      </c>
      <c r="D539" s="147" t="s">
        <v>1258</v>
      </c>
      <c r="E539" s="148">
        <v>82</v>
      </c>
      <c r="F539" s="149" t="s">
        <v>1289</v>
      </c>
      <c r="G539" s="151"/>
      <c r="I539" s="265" t="s">
        <v>670</v>
      </c>
      <c r="J539" s="266"/>
      <c r="K539" s="113" t="s">
        <v>23</v>
      </c>
    </row>
    <row r="540" spans="2:11" x14ac:dyDescent="0.25">
      <c r="B540" s="204" t="s">
        <v>664</v>
      </c>
      <c r="C540" s="155" t="s">
        <v>666</v>
      </c>
      <c r="D540" s="147" t="s">
        <v>1258</v>
      </c>
      <c r="E540" s="148">
        <v>14</v>
      </c>
      <c r="F540" s="149" t="s">
        <v>1289</v>
      </c>
      <c r="G540" s="151"/>
      <c r="I540" s="42" t="s">
        <v>122</v>
      </c>
      <c r="J540" s="43">
        <v>3</v>
      </c>
      <c r="K540" s="62">
        <v>0.6</v>
      </c>
    </row>
    <row r="541" spans="2:11" x14ac:dyDescent="0.25">
      <c r="B541" s="204" t="s">
        <v>664</v>
      </c>
      <c r="C541" s="155" t="s">
        <v>667</v>
      </c>
      <c r="D541" s="147" t="s">
        <v>1258</v>
      </c>
      <c r="E541" s="148">
        <v>12</v>
      </c>
      <c r="F541" s="149" t="s">
        <v>1288</v>
      </c>
      <c r="G541" s="151"/>
      <c r="I541" s="40" t="s">
        <v>124</v>
      </c>
      <c r="J541" s="44">
        <v>2</v>
      </c>
      <c r="K541" s="63">
        <v>0.4</v>
      </c>
    </row>
    <row r="542" spans="2:11" x14ac:dyDescent="0.25">
      <c r="B542" s="204" t="s">
        <v>664</v>
      </c>
      <c r="C542" s="155" t="s">
        <v>668</v>
      </c>
      <c r="D542" s="147" t="s">
        <v>1259</v>
      </c>
      <c r="E542" s="148">
        <v>8</v>
      </c>
      <c r="F542" s="149" t="s">
        <v>1289</v>
      </c>
      <c r="G542" s="151"/>
      <c r="I542" s="46" t="s">
        <v>31</v>
      </c>
      <c r="J542" s="47">
        <f>SUM(J540:J541)</f>
        <v>5</v>
      </c>
      <c r="K542" s="48">
        <v>1</v>
      </c>
    </row>
    <row r="543" spans="2:11" x14ac:dyDescent="0.25">
      <c r="B543" s="204" t="s">
        <v>664</v>
      </c>
      <c r="C543" s="155" t="s">
        <v>669</v>
      </c>
      <c r="D543" s="147" t="s">
        <v>1258</v>
      </c>
      <c r="E543" s="148">
        <v>0</v>
      </c>
      <c r="F543" s="149" t="s">
        <v>1288</v>
      </c>
      <c r="G543" s="151"/>
    </row>
    <row r="544" spans="2:11" x14ac:dyDescent="0.25">
      <c r="B544" s="203" t="s">
        <v>741</v>
      </c>
      <c r="C544" s="134" t="s">
        <v>933</v>
      </c>
      <c r="D544" s="49" t="s">
        <v>1258</v>
      </c>
      <c r="E544" s="115">
        <v>25</v>
      </c>
      <c r="F544" s="158" t="s">
        <v>1289</v>
      </c>
      <c r="G544" s="159"/>
      <c r="I544" s="265" t="s">
        <v>1034</v>
      </c>
      <c r="J544" s="266"/>
      <c r="K544" s="113" t="s">
        <v>23</v>
      </c>
    </row>
    <row r="545" spans="2:11" x14ac:dyDescent="0.25">
      <c r="B545" s="203" t="s">
        <v>741</v>
      </c>
      <c r="C545" s="134" t="s">
        <v>1029</v>
      </c>
      <c r="D545" s="49" t="s">
        <v>1258</v>
      </c>
      <c r="E545" s="115">
        <v>18</v>
      </c>
      <c r="F545" s="158" t="s">
        <v>1288</v>
      </c>
      <c r="G545" s="160"/>
      <c r="I545" s="42" t="s">
        <v>122</v>
      </c>
      <c r="J545" s="43">
        <v>69</v>
      </c>
      <c r="K545" s="62">
        <v>0.75</v>
      </c>
    </row>
    <row r="546" spans="2:11" x14ac:dyDescent="0.25">
      <c r="B546" s="203" t="s">
        <v>741</v>
      </c>
      <c r="C546" s="134" t="s">
        <v>946</v>
      </c>
      <c r="D546" s="49" t="s">
        <v>1258</v>
      </c>
      <c r="E546" s="115">
        <v>10</v>
      </c>
      <c r="F546" s="158" t="s">
        <v>1288</v>
      </c>
      <c r="G546" s="160"/>
      <c r="I546" s="40" t="s">
        <v>124</v>
      </c>
      <c r="J546" s="44">
        <v>23</v>
      </c>
      <c r="K546" s="63">
        <v>0.25</v>
      </c>
    </row>
    <row r="547" spans="2:11" x14ac:dyDescent="0.25">
      <c r="B547" s="203" t="s">
        <v>741</v>
      </c>
      <c r="C547" s="134" t="s">
        <v>1030</v>
      </c>
      <c r="D547" s="49" t="s">
        <v>1258</v>
      </c>
      <c r="E547" s="115">
        <v>60</v>
      </c>
      <c r="F547" s="158" t="s">
        <v>1288</v>
      </c>
      <c r="G547" s="160"/>
      <c r="I547" s="46" t="s">
        <v>31</v>
      </c>
      <c r="J547" s="47">
        <v>92</v>
      </c>
      <c r="K547" s="48">
        <v>1</v>
      </c>
    </row>
    <row r="548" spans="2:11" x14ac:dyDescent="0.25">
      <c r="B548" s="203" t="s">
        <v>741</v>
      </c>
      <c r="C548" s="134" t="s">
        <v>947</v>
      </c>
      <c r="D548" s="49" t="s">
        <v>1259</v>
      </c>
      <c r="E548" s="115">
        <v>13</v>
      </c>
      <c r="F548" s="158" t="s">
        <v>1288</v>
      </c>
      <c r="G548" s="160"/>
    </row>
    <row r="549" spans="2:11" x14ac:dyDescent="0.25">
      <c r="B549" s="203" t="s">
        <v>741</v>
      </c>
      <c r="C549" s="134" t="s">
        <v>1031</v>
      </c>
      <c r="D549" s="49" t="s">
        <v>1258</v>
      </c>
      <c r="E549" s="115">
        <v>52</v>
      </c>
      <c r="F549" s="158" t="s">
        <v>1289</v>
      </c>
      <c r="G549" s="159"/>
    </row>
    <row r="550" spans="2:11" x14ac:dyDescent="0.25">
      <c r="B550" s="203" t="s">
        <v>741</v>
      </c>
      <c r="C550" s="134" t="s">
        <v>948</v>
      </c>
      <c r="D550" s="49" t="s">
        <v>1258</v>
      </c>
      <c r="E550" s="115">
        <v>35</v>
      </c>
      <c r="F550" s="158" t="s">
        <v>1289</v>
      </c>
      <c r="G550" s="159"/>
      <c r="I550" t="s">
        <v>1266</v>
      </c>
      <c r="J550" t="s">
        <v>1275</v>
      </c>
    </row>
    <row r="551" spans="2:11" x14ac:dyDescent="0.25">
      <c r="B551" s="203" t="s">
        <v>741</v>
      </c>
      <c r="C551" s="134" t="s">
        <v>949</v>
      </c>
      <c r="D551" s="49" t="s">
        <v>1258</v>
      </c>
      <c r="E551" s="115">
        <v>42</v>
      </c>
      <c r="F551" s="158" t="s">
        <v>1289</v>
      </c>
      <c r="G551" s="159"/>
      <c r="I551" s="130" t="s">
        <v>1258</v>
      </c>
      <c r="J551">
        <v>1812</v>
      </c>
    </row>
    <row r="552" spans="2:11" x14ac:dyDescent="0.25">
      <c r="B552" s="203" t="s">
        <v>741</v>
      </c>
      <c r="C552" s="134" t="s">
        <v>950</v>
      </c>
      <c r="D552" s="49" t="s">
        <v>1258</v>
      </c>
      <c r="E552" s="115"/>
      <c r="F552" s="158" t="s">
        <v>1288</v>
      </c>
      <c r="G552" s="160"/>
      <c r="I552" s="130" t="s">
        <v>1259</v>
      </c>
      <c r="J552">
        <v>307</v>
      </c>
    </row>
    <row r="553" spans="2:11" x14ac:dyDescent="0.25">
      <c r="B553" s="203" t="s">
        <v>741</v>
      </c>
      <c r="C553" s="134" t="s">
        <v>951</v>
      </c>
      <c r="D553" s="49" t="s">
        <v>1258</v>
      </c>
      <c r="E553" s="115">
        <v>4</v>
      </c>
      <c r="F553" s="158" t="s">
        <v>1289</v>
      </c>
      <c r="G553" s="159"/>
      <c r="I553" s="130" t="s">
        <v>1260</v>
      </c>
      <c r="J553">
        <v>213</v>
      </c>
    </row>
    <row r="554" spans="2:11" x14ac:dyDescent="0.25">
      <c r="B554" s="203" t="s">
        <v>741</v>
      </c>
      <c r="C554" s="134" t="s">
        <v>530</v>
      </c>
      <c r="D554" s="49" t="s">
        <v>1258</v>
      </c>
      <c r="E554" s="115">
        <v>10</v>
      </c>
      <c r="F554" s="158" t="s">
        <v>1289</v>
      </c>
      <c r="G554" s="159"/>
      <c r="I554" s="130" t="s">
        <v>1264</v>
      </c>
      <c r="J554">
        <v>22</v>
      </c>
    </row>
    <row r="555" spans="2:11" x14ac:dyDescent="0.25">
      <c r="B555" s="203" t="s">
        <v>741</v>
      </c>
      <c r="C555" s="134" t="s">
        <v>952</v>
      </c>
      <c r="D555" s="49" t="s">
        <v>1258</v>
      </c>
      <c r="E555" s="115">
        <v>37</v>
      </c>
      <c r="F555" s="158" t="s">
        <v>1289</v>
      </c>
      <c r="G555" s="159"/>
      <c r="I555" s="130" t="s">
        <v>1265</v>
      </c>
      <c r="J555">
        <v>2354</v>
      </c>
    </row>
    <row r="556" spans="2:11" x14ac:dyDescent="0.25">
      <c r="B556" s="203" t="s">
        <v>741</v>
      </c>
      <c r="C556" s="134" t="s">
        <v>953</v>
      </c>
      <c r="D556" s="49" t="s">
        <v>1260</v>
      </c>
      <c r="E556" s="115">
        <v>3</v>
      </c>
      <c r="F556" s="158" t="s">
        <v>1289</v>
      </c>
      <c r="G556" s="159"/>
    </row>
    <row r="557" spans="2:11" x14ac:dyDescent="0.25">
      <c r="B557" s="203" t="s">
        <v>741</v>
      </c>
      <c r="C557" s="134" t="s">
        <v>954</v>
      </c>
      <c r="D557" s="49" t="s">
        <v>1258</v>
      </c>
      <c r="E557" s="115">
        <v>20</v>
      </c>
      <c r="F557" s="158" t="s">
        <v>1289</v>
      </c>
      <c r="G557" s="159"/>
    </row>
    <row r="558" spans="2:11" x14ac:dyDescent="0.25">
      <c r="B558" s="203" t="s">
        <v>741</v>
      </c>
      <c r="C558" s="134" t="s">
        <v>955</v>
      </c>
      <c r="D558" s="49" t="s">
        <v>1258</v>
      </c>
      <c r="E558" s="115">
        <v>93</v>
      </c>
      <c r="F558" s="158" t="s">
        <v>1289</v>
      </c>
      <c r="G558" s="159"/>
    </row>
    <row r="559" spans="2:11" x14ac:dyDescent="0.25">
      <c r="B559" s="203" t="s">
        <v>741</v>
      </c>
      <c r="C559" s="134" t="s">
        <v>956</v>
      </c>
      <c r="D559" s="49" t="s">
        <v>1258</v>
      </c>
      <c r="E559" s="115">
        <v>22</v>
      </c>
      <c r="F559" s="158" t="s">
        <v>1289</v>
      </c>
      <c r="G559" s="159"/>
    </row>
    <row r="560" spans="2:11" x14ac:dyDescent="0.25">
      <c r="B560" s="203" t="s">
        <v>741</v>
      </c>
      <c r="C560" s="134" t="s">
        <v>957</v>
      </c>
      <c r="D560" s="49" t="s">
        <v>1258</v>
      </c>
      <c r="E560" s="115">
        <v>5</v>
      </c>
      <c r="F560" s="158" t="s">
        <v>1288</v>
      </c>
      <c r="G560" s="160"/>
    </row>
    <row r="561" spans="2:7" x14ac:dyDescent="0.25">
      <c r="B561" s="203" t="s">
        <v>741</v>
      </c>
      <c r="C561" s="134" t="s">
        <v>958</v>
      </c>
      <c r="D561" s="49" t="s">
        <v>1258</v>
      </c>
      <c r="E561" s="115">
        <v>75</v>
      </c>
      <c r="F561" s="158" t="s">
        <v>1288</v>
      </c>
      <c r="G561" s="160"/>
    </row>
    <row r="562" spans="2:7" x14ac:dyDescent="0.25">
      <c r="B562" s="203" t="s">
        <v>741</v>
      </c>
      <c r="C562" s="134" t="s">
        <v>959</v>
      </c>
      <c r="D562" s="49"/>
      <c r="E562" s="115">
        <v>22</v>
      </c>
      <c r="F562" s="158" t="s">
        <v>1288</v>
      </c>
      <c r="G562" s="160"/>
    </row>
    <row r="563" spans="2:7" x14ac:dyDescent="0.25">
      <c r="B563" s="203" t="s">
        <v>741</v>
      </c>
      <c r="C563" s="134" t="s">
        <v>960</v>
      </c>
      <c r="D563" s="49" t="s">
        <v>1258</v>
      </c>
      <c r="E563" s="115"/>
      <c r="F563" s="158" t="s">
        <v>1289</v>
      </c>
      <c r="G563" s="159"/>
    </row>
    <row r="564" spans="2:7" x14ac:dyDescent="0.25">
      <c r="B564" s="203" t="s">
        <v>741</v>
      </c>
      <c r="C564" s="134" t="s">
        <v>961</v>
      </c>
      <c r="D564" s="49" t="s">
        <v>1258</v>
      </c>
      <c r="E564" s="115">
        <v>65</v>
      </c>
      <c r="F564" s="158" t="s">
        <v>1289</v>
      </c>
      <c r="G564" s="159"/>
    </row>
    <row r="565" spans="2:7" x14ac:dyDescent="0.25">
      <c r="B565" s="203" t="s">
        <v>741</v>
      </c>
      <c r="C565" s="134" t="s">
        <v>962</v>
      </c>
      <c r="D565" s="49" t="s">
        <v>1258</v>
      </c>
      <c r="E565" s="115">
        <v>56</v>
      </c>
      <c r="F565" s="158" t="s">
        <v>1289</v>
      </c>
      <c r="G565" s="159"/>
    </row>
    <row r="566" spans="2:7" x14ac:dyDescent="0.25">
      <c r="B566" s="203" t="s">
        <v>741</v>
      </c>
      <c r="C566" s="134" t="s">
        <v>963</v>
      </c>
      <c r="D566" s="49" t="s">
        <v>1258</v>
      </c>
      <c r="E566" s="115">
        <v>52</v>
      </c>
      <c r="F566" s="158" t="s">
        <v>1289</v>
      </c>
      <c r="G566" s="159"/>
    </row>
    <row r="567" spans="2:7" x14ac:dyDescent="0.25">
      <c r="B567" s="203" t="s">
        <v>741</v>
      </c>
      <c r="C567" s="134" t="s">
        <v>964</v>
      </c>
      <c r="D567" s="49" t="s">
        <v>1258</v>
      </c>
      <c r="E567" s="115">
        <v>22</v>
      </c>
      <c r="F567" s="158" t="s">
        <v>1289</v>
      </c>
      <c r="G567" s="159"/>
    </row>
    <row r="568" spans="2:7" x14ac:dyDescent="0.25">
      <c r="B568" s="203" t="s">
        <v>741</v>
      </c>
      <c r="C568" s="134" t="s">
        <v>965</v>
      </c>
      <c r="D568" s="49" t="s">
        <v>1258</v>
      </c>
      <c r="E568" s="115">
        <v>13</v>
      </c>
      <c r="F568" s="158" t="s">
        <v>1289</v>
      </c>
      <c r="G568" s="159"/>
    </row>
    <row r="569" spans="2:7" x14ac:dyDescent="0.25">
      <c r="B569" s="203" t="s">
        <v>741</v>
      </c>
      <c r="C569" s="134" t="s">
        <v>966</v>
      </c>
      <c r="D569" s="49" t="s">
        <v>1260</v>
      </c>
      <c r="E569" s="115">
        <v>19</v>
      </c>
      <c r="F569" s="158" t="s">
        <v>1288</v>
      </c>
      <c r="G569" s="160"/>
    </row>
    <row r="570" spans="2:7" x14ac:dyDescent="0.25">
      <c r="B570" s="203" t="s">
        <v>741</v>
      </c>
      <c r="C570" s="134" t="s">
        <v>967</v>
      </c>
      <c r="D570" s="49" t="s">
        <v>1258</v>
      </c>
      <c r="E570" s="115">
        <v>18</v>
      </c>
      <c r="F570" s="158" t="s">
        <v>1289</v>
      </c>
      <c r="G570" s="159"/>
    </row>
    <row r="571" spans="2:7" x14ac:dyDescent="0.25">
      <c r="B571" s="203" t="s">
        <v>741</v>
      </c>
      <c r="C571" s="134" t="s">
        <v>968</v>
      </c>
      <c r="D571" s="49" t="s">
        <v>1258</v>
      </c>
      <c r="E571" s="115">
        <v>22</v>
      </c>
      <c r="F571" s="158" t="s">
        <v>1289</v>
      </c>
      <c r="G571" s="159"/>
    </row>
    <row r="572" spans="2:7" x14ac:dyDescent="0.25">
      <c r="B572" s="203" t="s">
        <v>741</v>
      </c>
      <c r="C572" s="134" t="s">
        <v>969</v>
      </c>
      <c r="D572" s="49" t="s">
        <v>1258</v>
      </c>
      <c r="E572" s="115">
        <v>10</v>
      </c>
      <c r="F572" s="158" t="s">
        <v>1288</v>
      </c>
      <c r="G572" s="160"/>
    </row>
    <row r="573" spans="2:7" x14ac:dyDescent="0.25">
      <c r="B573" s="203" t="s">
        <v>741</v>
      </c>
      <c r="C573" s="134" t="s">
        <v>970</v>
      </c>
      <c r="D573" s="49" t="s">
        <v>1258</v>
      </c>
      <c r="E573" s="115">
        <v>42</v>
      </c>
      <c r="F573" s="158" t="s">
        <v>1288</v>
      </c>
      <c r="G573" s="160"/>
    </row>
    <row r="574" spans="2:7" x14ac:dyDescent="0.25">
      <c r="B574" s="203" t="s">
        <v>741</v>
      </c>
      <c r="C574" s="134" t="s">
        <v>971</v>
      </c>
      <c r="D574" s="49" t="s">
        <v>1258</v>
      </c>
      <c r="E574" s="115">
        <v>8</v>
      </c>
      <c r="F574" s="158" t="s">
        <v>1289</v>
      </c>
      <c r="G574" s="159"/>
    </row>
    <row r="575" spans="2:7" x14ac:dyDescent="0.25">
      <c r="B575" s="203" t="s">
        <v>741</v>
      </c>
      <c r="C575" s="134" t="s">
        <v>972</v>
      </c>
      <c r="D575" s="49" t="s">
        <v>1259</v>
      </c>
      <c r="E575" s="115">
        <v>5</v>
      </c>
      <c r="F575" s="158" t="s">
        <v>1289</v>
      </c>
      <c r="G575" s="159"/>
    </row>
    <row r="576" spans="2:7" x14ac:dyDescent="0.25">
      <c r="B576" s="203" t="s">
        <v>741</v>
      </c>
      <c r="C576" s="134" t="s">
        <v>973</v>
      </c>
      <c r="D576" s="49" t="s">
        <v>1258</v>
      </c>
      <c r="E576" s="115">
        <v>26</v>
      </c>
      <c r="F576" s="158" t="s">
        <v>1289</v>
      </c>
      <c r="G576" s="159"/>
    </row>
    <row r="577" spans="2:7" x14ac:dyDescent="0.25">
      <c r="B577" s="203" t="s">
        <v>741</v>
      </c>
      <c r="C577" s="134" t="s">
        <v>974</v>
      </c>
      <c r="D577" s="49" t="s">
        <v>1259</v>
      </c>
      <c r="E577" s="115">
        <v>3</v>
      </c>
      <c r="F577" s="158" t="s">
        <v>1289</v>
      </c>
      <c r="G577" s="159"/>
    </row>
    <row r="578" spans="2:7" x14ac:dyDescent="0.25">
      <c r="B578" s="203" t="s">
        <v>741</v>
      </c>
      <c r="C578" s="134" t="s">
        <v>1033</v>
      </c>
      <c r="D578" s="49" t="s">
        <v>1260</v>
      </c>
      <c r="E578" s="115">
        <v>0</v>
      </c>
      <c r="F578" s="158" t="s">
        <v>1289</v>
      </c>
      <c r="G578" s="159"/>
    </row>
    <row r="579" spans="2:7" x14ac:dyDescent="0.25">
      <c r="B579" s="203" t="s">
        <v>741</v>
      </c>
      <c r="C579" s="134" t="s">
        <v>975</v>
      </c>
      <c r="D579" s="49" t="s">
        <v>1259</v>
      </c>
      <c r="E579" s="115">
        <v>48</v>
      </c>
      <c r="F579" s="158" t="s">
        <v>1289</v>
      </c>
      <c r="G579" s="159"/>
    </row>
    <row r="580" spans="2:7" x14ac:dyDescent="0.25">
      <c r="B580" s="203" t="s">
        <v>741</v>
      </c>
      <c r="C580" s="134" t="s">
        <v>76</v>
      </c>
      <c r="D580" s="49" t="s">
        <v>1259</v>
      </c>
      <c r="E580" s="115">
        <v>7</v>
      </c>
      <c r="F580" s="158" t="s">
        <v>1289</v>
      </c>
      <c r="G580" s="159"/>
    </row>
    <row r="581" spans="2:7" x14ac:dyDescent="0.25">
      <c r="B581" s="203" t="s">
        <v>741</v>
      </c>
      <c r="C581" s="134" t="s">
        <v>1032</v>
      </c>
      <c r="D581" s="49" t="s">
        <v>1259</v>
      </c>
      <c r="E581" s="115">
        <v>0</v>
      </c>
      <c r="F581" s="158" t="s">
        <v>1289</v>
      </c>
      <c r="G581" s="159"/>
    </row>
    <row r="582" spans="2:7" x14ac:dyDescent="0.25">
      <c r="B582" s="203" t="s">
        <v>741</v>
      </c>
      <c r="C582" s="134" t="s">
        <v>976</v>
      </c>
      <c r="D582" s="49" t="s">
        <v>1258</v>
      </c>
      <c r="E582" s="115">
        <v>15</v>
      </c>
      <c r="F582" s="158" t="s">
        <v>1289</v>
      </c>
      <c r="G582" s="159"/>
    </row>
    <row r="583" spans="2:7" x14ac:dyDescent="0.25">
      <c r="B583" s="203" t="s">
        <v>741</v>
      </c>
      <c r="C583" s="134" t="s">
        <v>977</v>
      </c>
      <c r="D583" s="49" t="s">
        <v>1258</v>
      </c>
      <c r="E583" s="115">
        <v>23</v>
      </c>
      <c r="F583" s="158" t="s">
        <v>1289</v>
      </c>
      <c r="G583" s="159"/>
    </row>
    <row r="584" spans="2:7" x14ac:dyDescent="0.25">
      <c r="B584" s="203" t="s">
        <v>741</v>
      </c>
      <c r="C584" s="134" t="s">
        <v>978</v>
      </c>
      <c r="D584" s="49" t="s">
        <v>1258</v>
      </c>
      <c r="E584" s="115">
        <v>15</v>
      </c>
      <c r="F584" s="158" t="s">
        <v>1288</v>
      </c>
      <c r="G584" s="160"/>
    </row>
    <row r="585" spans="2:7" x14ac:dyDescent="0.25">
      <c r="B585" s="203" t="s">
        <v>741</v>
      </c>
      <c r="C585" s="134" t="s">
        <v>979</v>
      </c>
      <c r="D585" s="49" t="s">
        <v>1258</v>
      </c>
      <c r="E585" s="115">
        <v>25</v>
      </c>
      <c r="F585" s="158" t="s">
        <v>1289</v>
      </c>
      <c r="G585" s="159"/>
    </row>
    <row r="586" spans="2:7" x14ac:dyDescent="0.25">
      <c r="B586" s="203" t="s">
        <v>741</v>
      </c>
      <c r="C586" s="134" t="s">
        <v>980</v>
      </c>
      <c r="D586" s="49" t="s">
        <v>1258</v>
      </c>
      <c r="E586" s="115">
        <v>24</v>
      </c>
      <c r="F586" s="158" t="s">
        <v>1289</v>
      </c>
      <c r="G586" s="159"/>
    </row>
    <row r="587" spans="2:7" x14ac:dyDescent="0.25">
      <c r="B587" s="203" t="s">
        <v>741</v>
      </c>
      <c r="C587" s="134" t="s">
        <v>981</v>
      </c>
      <c r="D587" s="49" t="s">
        <v>1258</v>
      </c>
      <c r="E587" s="115">
        <v>20</v>
      </c>
      <c r="F587" s="158" t="s">
        <v>1288</v>
      </c>
      <c r="G587" s="160"/>
    </row>
    <row r="588" spans="2:7" x14ac:dyDescent="0.25">
      <c r="B588" s="203" t="s">
        <v>741</v>
      </c>
      <c r="C588" s="134" t="s">
        <v>982</v>
      </c>
      <c r="D588" s="49" t="s">
        <v>1259</v>
      </c>
      <c r="E588" s="115">
        <v>4</v>
      </c>
      <c r="F588" s="158" t="s">
        <v>1289</v>
      </c>
      <c r="G588" s="159"/>
    </row>
    <row r="589" spans="2:7" x14ac:dyDescent="0.25">
      <c r="B589" s="203" t="s">
        <v>741</v>
      </c>
      <c r="C589" s="134" t="s">
        <v>983</v>
      </c>
      <c r="D589" s="49" t="s">
        <v>1259</v>
      </c>
      <c r="E589" s="115">
        <v>35</v>
      </c>
      <c r="F589" s="158" t="s">
        <v>1288</v>
      </c>
      <c r="G589" s="160"/>
    </row>
    <row r="590" spans="2:7" x14ac:dyDescent="0.25">
      <c r="B590" s="203" t="s">
        <v>741</v>
      </c>
      <c r="C590" s="134" t="s">
        <v>984</v>
      </c>
      <c r="D590" s="49" t="s">
        <v>1258</v>
      </c>
      <c r="E590" s="115">
        <v>15</v>
      </c>
      <c r="F590" s="158" t="s">
        <v>1288</v>
      </c>
      <c r="G590" s="160"/>
    </row>
    <row r="591" spans="2:7" x14ac:dyDescent="0.25">
      <c r="B591" s="203" t="s">
        <v>741</v>
      </c>
      <c r="C591" s="134" t="s">
        <v>985</v>
      </c>
      <c r="D591" s="49" t="s">
        <v>1260</v>
      </c>
      <c r="E591" s="115">
        <v>43</v>
      </c>
      <c r="F591" s="158" t="s">
        <v>1289</v>
      </c>
      <c r="G591" s="159"/>
    </row>
    <row r="592" spans="2:7" x14ac:dyDescent="0.25">
      <c r="B592" s="203" t="s">
        <v>741</v>
      </c>
      <c r="C592" s="134" t="s">
        <v>986</v>
      </c>
      <c r="D592" s="49" t="s">
        <v>1260</v>
      </c>
      <c r="E592" s="115">
        <v>47</v>
      </c>
      <c r="F592" s="158" t="s">
        <v>1289</v>
      </c>
      <c r="G592" s="159"/>
    </row>
    <row r="593" spans="2:7" x14ac:dyDescent="0.25">
      <c r="B593" s="203" t="s">
        <v>741</v>
      </c>
      <c r="C593" s="134" t="s">
        <v>987</v>
      </c>
      <c r="D593" s="49" t="s">
        <v>1259</v>
      </c>
      <c r="E593" s="115">
        <v>14</v>
      </c>
      <c r="F593" s="158" t="s">
        <v>1289</v>
      </c>
      <c r="G593" s="159"/>
    </row>
    <row r="594" spans="2:7" x14ac:dyDescent="0.25">
      <c r="B594" s="203" t="s">
        <v>741</v>
      </c>
      <c r="C594" s="134" t="s">
        <v>988</v>
      </c>
      <c r="D594" s="49" t="s">
        <v>1258</v>
      </c>
      <c r="E594" s="115">
        <v>34</v>
      </c>
      <c r="F594" s="158" t="s">
        <v>1289</v>
      </c>
      <c r="G594" s="159"/>
    </row>
    <row r="595" spans="2:7" x14ac:dyDescent="0.25">
      <c r="B595" s="203" t="s">
        <v>741</v>
      </c>
      <c r="C595" s="134" t="s">
        <v>1027</v>
      </c>
      <c r="D595" s="49" t="s">
        <v>1258</v>
      </c>
      <c r="E595" s="115">
        <v>4</v>
      </c>
      <c r="F595" s="158" t="s">
        <v>1289</v>
      </c>
      <c r="G595" s="159"/>
    </row>
    <row r="596" spans="2:7" x14ac:dyDescent="0.25">
      <c r="B596" s="203" t="s">
        <v>741</v>
      </c>
      <c r="C596" s="134" t="s">
        <v>989</v>
      </c>
      <c r="D596" s="49" t="s">
        <v>1258</v>
      </c>
      <c r="E596" s="115">
        <v>42</v>
      </c>
      <c r="F596" s="158" t="s">
        <v>1289</v>
      </c>
      <c r="G596" s="159"/>
    </row>
    <row r="597" spans="2:7" x14ac:dyDescent="0.25">
      <c r="B597" s="203" t="s">
        <v>741</v>
      </c>
      <c r="C597" s="134" t="s">
        <v>170</v>
      </c>
      <c r="D597" s="49" t="s">
        <v>1258</v>
      </c>
      <c r="E597" s="115">
        <v>26</v>
      </c>
      <c r="F597" s="158" t="s">
        <v>1289</v>
      </c>
      <c r="G597" s="159"/>
    </row>
    <row r="598" spans="2:7" x14ac:dyDescent="0.25">
      <c r="B598" s="203" t="s">
        <v>741</v>
      </c>
      <c r="C598" s="134" t="s">
        <v>1028</v>
      </c>
      <c r="D598" s="49" t="s">
        <v>1258</v>
      </c>
      <c r="E598" s="115">
        <v>27</v>
      </c>
      <c r="F598" s="158" t="s">
        <v>1289</v>
      </c>
      <c r="G598" s="159"/>
    </row>
    <row r="599" spans="2:7" x14ac:dyDescent="0.25">
      <c r="B599" s="203" t="s">
        <v>741</v>
      </c>
      <c r="C599" s="134" t="s">
        <v>990</v>
      </c>
      <c r="D599" s="49" t="s">
        <v>1258</v>
      </c>
      <c r="E599" s="115">
        <v>20</v>
      </c>
      <c r="F599" s="158" t="s">
        <v>1289</v>
      </c>
      <c r="G599" s="159"/>
    </row>
    <row r="600" spans="2:7" x14ac:dyDescent="0.25">
      <c r="B600" s="203" t="s">
        <v>741</v>
      </c>
      <c r="C600" s="134" t="s">
        <v>991</v>
      </c>
      <c r="D600" s="49" t="s">
        <v>1258</v>
      </c>
      <c r="E600" s="115">
        <v>7</v>
      </c>
      <c r="F600" s="158" t="s">
        <v>1289</v>
      </c>
      <c r="G600" s="159"/>
    </row>
    <row r="601" spans="2:7" x14ac:dyDescent="0.25">
      <c r="B601" s="203" t="s">
        <v>741</v>
      </c>
      <c r="C601" s="134" t="s">
        <v>992</v>
      </c>
      <c r="D601" s="49" t="s">
        <v>1258</v>
      </c>
      <c r="E601" s="115">
        <v>2</v>
      </c>
      <c r="F601" s="158" t="s">
        <v>1288</v>
      </c>
      <c r="G601" s="160"/>
    </row>
    <row r="602" spans="2:7" x14ac:dyDescent="0.25">
      <c r="B602" s="203" t="s">
        <v>741</v>
      </c>
      <c r="C602" s="134" t="s">
        <v>993</v>
      </c>
      <c r="D602" s="49" t="s">
        <v>1258</v>
      </c>
      <c r="E602" s="115">
        <v>32</v>
      </c>
      <c r="F602" s="158" t="s">
        <v>1289</v>
      </c>
      <c r="G602" s="159"/>
    </row>
    <row r="603" spans="2:7" x14ac:dyDescent="0.25">
      <c r="B603" s="203" t="s">
        <v>741</v>
      </c>
      <c r="C603" s="134" t="s">
        <v>994</v>
      </c>
      <c r="D603" s="49" t="s">
        <v>1258</v>
      </c>
      <c r="E603" s="115">
        <v>0</v>
      </c>
      <c r="F603" s="158" t="s">
        <v>1289</v>
      </c>
      <c r="G603" s="159"/>
    </row>
    <row r="604" spans="2:7" x14ac:dyDescent="0.25">
      <c r="B604" s="203" t="s">
        <v>741</v>
      </c>
      <c r="C604" s="134" t="s">
        <v>995</v>
      </c>
      <c r="D604" s="49" t="s">
        <v>1258</v>
      </c>
      <c r="E604" s="115">
        <v>74</v>
      </c>
      <c r="F604" s="158" t="s">
        <v>1289</v>
      </c>
      <c r="G604" s="159"/>
    </row>
    <row r="605" spans="2:7" x14ac:dyDescent="0.25">
      <c r="B605" s="203" t="s">
        <v>741</v>
      </c>
      <c r="C605" s="134" t="s">
        <v>996</v>
      </c>
      <c r="D605" s="49" t="s">
        <v>1258</v>
      </c>
      <c r="E605" s="115">
        <v>32</v>
      </c>
      <c r="F605" s="158" t="s">
        <v>1289</v>
      </c>
      <c r="G605" s="159"/>
    </row>
    <row r="606" spans="2:7" x14ac:dyDescent="0.25">
      <c r="B606" s="203" t="s">
        <v>741</v>
      </c>
      <c r="C606" s="134" t="s">
        <v>997</v>
      </c>
      <c r="D606" s="49" t="s">
        <v>1258</v>
      </c>
      <c r="E606" s="115">
        <v>23</v>
      </c>
      <c r="F606" s="158" t="s">
        <v>1289</v>
      </c>
      <c r="G606" s="159"/>
    </row>
    <row r="607" spans="2:7" x14ac:dyDescent="0.25">
      <c r="B607" s="203" t="s">
        <v>741</v>
      </c>
      <c r="C607" s="134" t="s">
        <v>998</v>
      </c>
      <c r="D607" s="49" t="s">
        <v>1258</v>
      </c>
      <c r="E607" s="115">
        <v>25</v>
      </c>
      <c r="F607" s="158" t="s">
        <v>1289</v>
      </c>
      <c r="G607" s="159"/>
    </row>
    <row r="608" spans="2:7" x14ac:dyDescent="0.25">
      <c r="B608" s="203" t="s">
        <v>741</v>
      </c>
      <c r="C608" s="134" t="s">
        <v>999</v>
      </c>
      <c r="D608" s="49" t="s">
        <v>1259</v>
      </c>
      <c r="E608" s="115">
        <v>49</v>
      </c>
      <c r="F608" s="158" t="s">
        <v>1288</v>
      </c>
      <c r="G608" s="160"/>
    </row>
    <row r="609" spans="2:7" x14ac:dyDescent="0.25">
      <c r="B609" s="203" t="s">
        <v>741</v>
      </c>
      <c r="C609" s="134" t="s">
        <v>1000</v>
      </c>
      <c r="D609" s="49" t="s">
        <v>1259</v>
      </c>
      <c r="E609" s="115">
        <v>9</v>
      </c>
      <c r="F609" s="158" t="s">
        <v>1289</v>
      </c>
      <c r="G609" s="159"/>
    </row>
    <row r="610" spans="2:7" x14ac:dyDescent="0.25">
      <c r="B610" s="203" t="s">
        <v>741</v>
      </c>
      <c r="C610" s="134" t="s">
        <v>1001</v>
      </c>
      <c r="D610" s="49" t="s">
        <v>1258</v>
      </c>
      <c r="E610" s="115">
        <v>12</v>
      </c>
      <c r="F610" s="158" t="s">
        <v>1289</v>
      </c>
      <c r="G610" s="159"/>
    </row>
    <row r="611" spans="2:7" x14ac:dyDescent="0.25">
      <c r="B611" s="203" t="s">
        <v>741</v>
      </c>
      <c r="C611" s="134" t="s">
        <v>1002</v>
      </c>
      <c r="D611" s="49" t="s">
        <v>1258</v>
      </c>
      <c r="E611" s="115">
        <v>37</v>
      </c>
      <c r="F611" s="158" t="s">
        <v>1289</v>
      </c>
      <c r="G611" s="159"/>
    </row>
    <row r="612" spans="2:7" x14ac:dyDescent="0.25">
      <c r="B612" s="203" t="s">
        <v>741</v>
      </c>
      <c r="C612" s="134" t="s">
        <v>1003</v>
      </c>
      <c r="D612" s="49" t="s">
        <v>1258</v>
      </c>
      <c r="E612" s="115">
        <v>35</v>
      </c>
      <c r="F612" s="158" t="s">
        <v>1288</v>
      </c>
      <c r="G612" s="160"/>
    </row>
    <row r="613" spans="2:7" x14ac:dyDescent="0.25">
      <c r="B613" s="203" t="s">
        <v>741</v>
      </c>
      <c r="C613" s="134" t="s">
        <v>1004</v>
      </c>
      <c r="D613" s="49" t="s">
        <v>1258</v>
      </c>
      <c r="E613" s="115">
        <v>23</v>
      </c>
      <c r="F613" s="158" t="s">
        <v>1288</v>
      </c>
      <c r="G613" s="160"/>
    </row>
    <row r="614" spans="2:7" x14ac:dyDescent="0.25">
      <c r="B614" s="203" t="s">
        <v>741</v>
      </c>
      <c r="C614" s="134" t="s">
        <v>1005</v>
      </c>
      <c r="D614" s="49" t="s">
        <v>1258</v>
      </c>
      <c r="E614" s="115">
        <v>51</v>
      </c>
      <c r="F614" s="158" t="s">
        <v>1289</v>
      </c>
      <c r="G614" s="159"/>
    </row>
    <row r="615" spans="2:7" x14ac:dyDescent="0.25">
      <c r="B615" s="203" t="s">
        <v>741</v>
      </c>
      <c r="C615" s="134" t="s">
        <v>1006</v>
      </c>
      <c r="D615" s="49" t="s">
        <v>1258</v>
      </c>
      <c r="E615" s="115">
        <v>14</v>
      </c>
      <c r="F615" s="158" t="s">
        <v>1289</v>
      </c>
      <c r="G615" s="159"/>
    </row>
    <row r="616" spans="2:7" x14ac:dyDescent="0.25">
      <c r="B616" s="203" t="s">
        <v>741</v>
      </c>
      <c r="C616" s="134" t="s">
        <v>1007</v>
      </c>
      <c r="D616" s="49" t="s">
        <v>1259</v>
      </c>
      <c r="E616" s="115">
        <v>1</v>
      </c>
      <c r="F616" s="158" t="s">
        <v>1289</v>
      </c>
      <c r="G616" s="159"/>
    </row>
    <row r="617" spans="2:7" x14ac:dyDescent="0.25">
      <c r="B617" s="203" t="s">
        <v>741</v>
      </c>
      <c r="C617" s="134" t="s">
        <v>1008</v>
      </c>
      <c r="D617" s="49" t="s">
        <v>1258</v>
      </c>
      <c r="E617" s="115">
        <v>66</v>
      </c>
      <c r="F617" s="158" t="s">
        <v>1288</v>
      </c>
      <c r="G617" s="160"/>
    </row>
    <row r="618" spans="2:7" x14ac:dyDescent="0.25">
      <c r="B618" s="203" t="s">
        <v>741</v>
      </c>
      <c r="C618" s="134" t="s">
        <v>1009</v>
      </c>
      <c r="D618" s="49" t="s">
        <v>1258</v>
      </c>
      <c r="E618" s="115">
        <v>3</v>
      </c>
      <c r="F618" s="158" t="s">
        <v>1289</v>
      </c>
      <c r="G618" s="159"/>
    </row>
    <row r="619" spans="2:7" x14ac:dyDescent="0.25">
      <c r="B619" s="203" t="s">
        <v>741</v>
      </c>
      <c r="C619" s="134" t="s">
        <v>1010</v>
      </c>
      <c r="D619" s="49" t="s">
        <v>1259</v>
      </c>
      <c r="E619" s="115">
        <v>13</v>
      </c>
      <c r="F619" s="158" t="s">
        <v>1289</v>
      </c>
      <c r="G619" s="159"/>
    </row>
    <row r="620" spans="2:7" x14ac:dyDescent="0.25">
      <c r="B620" s="203" t="s">
        <v>741</v>
      </c>
      <c r="C620" s="134" t="s">
        <v>1011</v>
      </c>
      <c r="D620" s="49" t="s">
        <v>1259</v>
      </c>
      <c r="E620" s="115">
        <v>20</v>
      </c>
      <c r="F620" s="158" t="s">
        <v>1289</v>
      </c>
      <c r="G620" s="159"/>
    </row>
    <row r="621" spans="2:7" x14ac:dyDescent="0.25">
      <c r="B621" s="203" t="s">
        <v>741</v>
      </c>
      <c r="C621" s="134" t="s">
        <v>1012</v>
      </c>
      <c r="D621" s="49" t="s">
        <v>1260</v>
      </c>
      <c r="E621" s="115">
        <v>22</v>
      </c>
      <c r="F621" s="158" t="s">
        <v>1288</v>
      </c>
      <c r="G621" s="160"/>
    </row>
    <row r="622" spans="2:7" x14ac:dyDescent="0.25">
      <c r="B622" s="203" t="s">
        <v>741</v>
      </c>
      <c r="C622" s="134" t="s">
        <v>1013</v>
      </c>
      <c r="D622" s="49" t="s">
        <v>1258</v>
      </c>
      <c r="E622" s="115">
        <v>35</v>
      </c>
      <c r="F622" s="158" t="s">
        <v>1289</v>
      </c>
      <c r="G622" s="159"/>
    </row>
    <row r="623" spans="2:7" x14ac:dyDescent="0.25">
      <c r="B623" s="203" t="s">
        <v>741</v>
      </c>
      <c r="C623" s="134" t="s">
        <v>1014</v>
      </c>
      <c r="D623" s="49" t="s">
        <v>1259</v>
      </c>
      <c r="E623" s="115">
        <v>16</v>
      </c>
      <c r="F623" s="158" t="s">
        <v>1288</v>
      </c>
      <c r="G623" s="160"/>
    </row>
    <row r="624" spans="2:7" x14ac:dyDescent="0.25">
      <c r="B624" s="203" t="s">
        <v>741</v>
      </c>
      <c r="C624" s="134" t="s">
        <v>1015</v>
      </c>
      <c r="D624" s="49" t="s">
        <v>1258</v>
      </c>
      <c r="E624" s="115">
        <v>1</v>
      </c>
      <c r="F624" s="158" t="s">
        <v>1288</v>
      </c>
      <c r="G624" s="160"/>
    </row>
    <row r="625" spans="2:11" x14ac:dyDescent="0.25">
      <c r="B625" s="203" t="s">
        <v>741</v>
      </c>
      <c r="C625" s="134" t="s">
        <v>1016</v>
      </c>
      <c r="D625" s="49" t="s">
        <v>1258</v>
      </c>
      <c r="E625" s="115">
        <v>47</v>
      </c>
      <c r="F625" s="158" t="s">
        <v>1289</v>
      </c>
      <c r="G625" s="159"/>
    </row>
    <row r="626" spans="2:11" x14ac:dyDescent="0.25">
      <c r="B626" s="203" t="s">
        <v>741</v>
      </c>
      <c r="C626" s="134" t="s">
        <v>1017</v>
      </c>
      <c r="D626" s="49" t="s">
        <v>1259</v>
      </c>
      <c r="E626" s="115">
        <v>6</v>
      </c>
      <c r="F626" s="158" t="s">
        <v>1289</v>
      </c>
      <c r="G626" s="159"/>
    </row>
    <row r="627" spans="2:11" x14ac:dyDescent="0.25">
      <c r="B627" s="203" t="s">
        <v>741</v>
      </c>
      <c r="C627" s="134" t="s">
        <v>1018</v>
      </c>
      <c r="D627" s="49" t="s">
        <v>1258</v>
      </c>
      <c r="E627" s="115">
        <v>14</v>
      </c>
      <c r="F627" s="158" t="s">
        <v>1289</v>
      </c>
      <c r="G627" s="159"/>
    </row>
    <row r="628" spans="2:11" x14ac:dyDescent="0.25">
      <c r="B628" s="203" t="s">
        <v>741</v>
      </c>
      <c r="C628" s="134" t="s">
        <v>1019</v>
      </c>
      <c r="D628" s="49" t="s">
        <v>1260</v>
      </c>
      <c r="E628" s="115">
        <v>7</v>
      </c>
      <c r="F628" s="158" t="s">
        <v>1289</v>
      </c>
      <c r="G628" s="159"/>
    </row>
    <row r="629" spans="2:11" x14ac:dyDescent="0.25">
      <c r="B629" s="203" t="s">
        <v>741</v>
      </c>
      <c r="C629" s="134" t="s">
        <v>1020</v>
      </c>
      <c r="D629" s="49" t="s">
        <v>1258</v>
      </c>
      <c r="E629" s="115">
        <v>27</v>
      </c>
      <c r="F629" s="158" t="s">
        <v>1289</v>
      </c>
      <c r="G629" s="159"/>
    </row>
    <row r="630" spans="2:11" x14ac:dyDescent="0.25">
      <c r="B630" s="203" t="s">
        <v>741</v>
      </c>
      <c r="C630" s="134" t="s">
        <v>1021</v>
      </c>
      <c r="D630" s="49" t="s">
        <v>1259</v>
      </c>
      <c r="E630" s="115">
        <v>57</v>
      </c>
      <c r="F630" s="158" t="s">
        <v>1289</v>
      </c>
      <c r="G630" s="159"/>
    </row>
    <row r="631" spans="2:11" x14ac:dyDescent="0.25">
      <c r="B631" s="203" t="s">
        <v>741</v>
      </c>
      <c r="C631" s="134" t="s">
        <v>1022</v>
      </c>
      <c r="D631" s="49" t="s">
        <v>1258</v>
      </c>
      <c r="E631" s="115">
        <v>94</v>
      </c>
      <c r="F631" s="158" t="s">
        <v>1289</v>
      </c>
      <c r="G631" s="159"/>
    </row>
    <row r="632" spans="2:11" x14ac:dyDescent="0.25">
      <c r="B632" s="203" t="s">
        <v>741</v>
      </c>
      <c r="C632" s="134" t="s">
        <v>1023</v>
      </c>
      <c r="D632" s="49" t="s">
        <v>1258</v>
      </c>
      <c r="E632" s="115">
        <v>29</v>
      </c>
      <c r="F632" s="158" t="s">
        <v>1289</v>
      </c>
      <c r="G632" s="159"/>
    </row>
    <row r="633" spans="2:11" x14ac:dyDescent="0.25">
      <c r="B633" s="203" t="s">
        <v>741</v>
      </c>
      <c r="C633" s="134" t="s">
        <v>1024</v>
      </c>
      <c r="D633" s="49" t="s">
        <v>1258</v>
      </c>
      <c r="E633" s="115">
        <v>22</v>
      </c>
      <c r="F633" s="158" t="s">
        <v>1289</v>
      </c>
      <c r="G633" s="159"/>
    </row>
    <row r="634" spans="2:11" x14ac:dyDescent="0.25">
      <c r="B634" s="203" t="s">
        <v>741</v>
      </c>
      <c r="C634" s="134" t="s">
        <v>1025</v>
      </c>
      <c r="D634" s="49" t="s">
        <v>1260</v>
      </c>
      <c r="E634" s="115">
        <v>72</v>
      </c>
      <c r="F634" s="158" t="s">
        <v>1289</v>
      </c>
      <c r="G634" s="159"/>
    </row>
    <row r="635" spans="2:11" x14ac:dyDescent="0.25">
      <c r="B635" s="203" t="s">
        <v>741</v>
      </c>
      <c r="C635" s="134" t="s">
        <v>1026</v>
      </c>
      <c r="D635" s="49" t="s">
        <v>1259</v>
      </c>
      <c r="E635" s="115">
        <v>7</v>
      </c>
      <c r="F635" s="158" t="s">
        <v>1289</v>
      </c>
      <c r="G635" s="159"/>
    </row>
    <row r="636" spans="2:11" x14ac:dyDescent="0.25">
      <c r="B636" s="204" t="s">
        <v>12</v>
      </c>
      <c r="C636" s="155" t="s">
        <v>285</v>
      </c>
      <c r="D636" s="148" t="s">
        <v>1258</v>
      </c>
      <c r="E636" s="148">
        <v>19</v>
      </c>
      <c r="F636" s="149"/>
      <c r="G636" s="150"/>
      <c r="I636" s="268" t="s">
        <v>286</v>
      </c>
      <c r="J636" s="269"/>
      <c r="K636" s="113" t="s">
        <v>120</v>
      </c>
    </row>
    <row r="637" spans="2:11" x14ac:dyDescent="0.25">
      <c r="B637" s="204" t="s">
        <v>12</v>
      </c>
      <c r="C637" s="155" t="s">
        <v>287</v>
      </c>
      <c r="D637" s="148" t="s">
        <v>1258</v>
      </c>
      <c r="E637" s="148">
        <v>31</v>
      </c>
      <c r="F637" s="149"/>
      <c r="G637" s="150"/>
      <c r="I637" s="66" t="s">
        <v>122</v>
      </c>
      <c r="J637" s="67" t="s">
        <v>288</v>
      </c>
      <c r="K637" s="42" t="s">
        <v>288</v>
      </c>
    </row>
    <row r="638" spans="2:11" x14ac:dyDescent="0.25">
      <c r="B638" s="204" t="s">
        <v>12</v>
      </c>
      <c r="C638" s="155" t="s">
        <v>289</v>
      </c>
      <c r="D638" s="148" t="s">
        <v>1258</v>
      </c>
      <c r="E638" s="148">
        <v>61</v>
      </c>
      <c r="F638" s="149"/>
      <c r="G638" s="150"/>
      <c r="I638" s="68" t="s">
        <v>124</v>
      </c>
      <c r="J638" s="69" t="s">
        <v>288</v>
      </c>
      <c r="K638" s="40" t="s">
        <v>288</v>
      </c>
    </row>
    <row r="639" spans="2:11" x14ac:dyDescent="0.25">
      <c r="B639" s="204" t="s">
        <v>12</v>
      </c>
      <c r="C639" s="155" t="s">
        <v>290</v>
      </c>
      <c r="D639" s="148" t="s">
        <v>1258</v>
      </c>
      <c r="E639" s="148">
        <v>5</v>
      </c>
      <c r="F639" s="149"/>
      <c r="G639" s="150"/>
      <c r="I639" s="70" t="s">
        <v>31</v>
      </c>
      <c r="J639" s="71" t="s">
        <v>288</v>
      </c>
      <c r="K639" s="46" t="s">
        <v>288</v>
      </c>
    </row>
    <row r="640" spans="2:11" x14ac:dyDescent="0.25">
      <c r="B640" s="204" t="s">
        <v>12</v>
      </c>
      <c r="C640" s="155" t="s">
        <v>291</v>
      </c>
      <c r="D640" s="148" t="s">
        <v>1258</v>
      </c>
      <c r="E640" s="148">
        <v>14</v>
      </c>
      <c r="F640" s="149"/>
      <c r="G640" s="150"/>
    </row>
    <row r="641" spans="2:10" x14ac:dyDescent="0.25">
      <c r="B641" s="204" t="s">
        <v>12</v>
      </c>
      <c r="C641" s="155" t="s">
        <v>292</v>
      </c>
      <c r="D641" s="148" t="s">
        <v>1258</v>
      </c>
      <c r="E641" s="148">
        <v>18</v>
      </c>
      <c r="F641" s="149"/>
      <c r="G641" s="150"/>
    </row>
    <row r="642" spans="2:10" x14ac:dyDescent="0.25">
      <c r="B642" s="204" t="s">
        <v>12</v>
      </c>
      <c r="C642" s="155" t="s">
        <v>293</v>
      </c>
      <c r="D642" s="148" t="s">
        <v>1258</v>
      </c>
      <c r="E642" s="148">
        <v>11</v>
      </c>
      <c r="F642" s="149"/>
      <c r="G642" s="150"/>
    </row>
    <row r="643" spans="2:10" x14ac:dyDescent="0.25">
      <c r="B643" s="204" t="s">
        <v>12</v>
      </c>
      <c r="C643" s="155" t="s">
        <v>294</v>
      </c>
      <c r="D643" s="148" t="s">
        <v>1258</v>
      </c>
      <c r="E643" s="148">
        <v>19</v>
      </c>
      <c r="F643" s="149"/>
      <c r="G643" s="150"/>
      <c r="I643" t="s">
        <v>1266</v>
      </c>
      <c r="J643" t="s">
        <v>1274</v>
      </c>
    </row>
    <row r="644" spans="2:10" x14ac:dyDescent="0.25">
      <c r="B644" s="204" t="s">
        <v>12</v>
      </c>
      <c r="C644" s="155" t="s">
        <v>295</v>
      </c>
      <c r="D644" s="148" t="s">
        <v>1258</v>
      </c>
      <c r="E644" s="148">
        <v>0</v>
      </c>
      <c r="F644" s="149"/>
      <c r="G644" s="150"/>
      <c r="I644" s="130" t="s">
        <v>1258</v>
      </c>
      <c r="J644">
        <v>1350</v>
      </c>
    </row>
    <row r="645" spans="2:10" x14ac:dyDescent="0.25">
      <c r="B645" s="204" t="s">
        <v>12</v>
      </c>
      <c r="C645" s="155" t="s">
        <v>296</v>
      </c>
      <c r="D645" s="148" t="s">
        <v>1258</v>
      </c>
      <c r="E645" s="148">
        <v>2</v>
      </c>
      <c r="F645" s="149"/>
      <c r="G645" s="150"/>
      <c r="I645" s="130" t="s">
        <v>1259</v>
      </c>
      <c r="J645">
        <v>360</v>
      </c>
    </row>
    <row r="646" spans="2:10" x14ac:dyDescent="0.25">
      <c r="B646" s="204" t="s">
        <v>12</v>
      </c>
      <c r="C646" s="155" t="s">
        <v>297</v>
      </c>
      <c r="D646" s="148" t="s">
        <v>1258</v>
      </c>
      <c r="E646" s="148">
        <v>8</v>
      </c>
      <c r="F646" s="149"/>
      <c r="G646" s="150"/>
      <c r="I646" s="130" t="s">
        <v>1260</v>
      </c>
      <c r="J646">
        <v>22</v>
      </c>
    </row>
    <row r="647" spans="2:10" x14ac:dyDescent="0.25">
      <c r="B647" s="204" t="s">
        <v>12</v>
      </c>
      <c r="C647" s="155" t="s">
        <v>298</v>
      </c>
      <c r="D647" s="148" t="s">
        <v>1258</v>
      </c>
      <c r="E647" s="148">
        <v>56</v>
      </c>
      <c r="F647" s="149"/>
      <c r="G647" s="150"/>
      <c r="I647" s="130" t="s">
        <v>1264</v>
      </c>
      <c r="J647">
        <v>41</v>
      </c>
    </row>
    <row r="648" spans="2:10" x14ac:dyDescent="0.25">
      <c r="B648" s="204" t="s">
        <v>12</v>
      </c>
      <c r="C648" s="155" t="s">
        <v>299</v>
      </c>
      <c r="D648" s="148" t="s">
        <v>1259</v>
      </c>
      <c r="E648" s="148">
        <v>11</v>
      </c>
      <c r="F648" s="149"/>
      <c r="G648" s="150"/>
      <c r="I648" s="130" t="s">
        <v>1265</v>
      </c>
      <c r="J648">
        <v>1773</v>
      </c>
    </row>
    <row r="649" spans="2:10" x14ac:dyDescent="0.25">
      <c r="B649" s="204" t="s">
        <v>12</v>
      </c>
      <c r="C649" s="155" t="s">
        <v>300</v>
      </c>
      <c r="D649" s="148" t="s">
        <v>1258</v>
      </c>
      <c r="E649" s="148">
        <v>24</v>
      </c>
      <c r="F649" s="149"/>
      <c r="G649" s="150"/>
    </row>
    <row r="650" spans="2:10" x14ac:dyDescent="0.25">
      <c r="B650" s="204" t="s">
        <v>12</v>
      </c>
      <c r="C650" s="155" t="s">
        <v>301</v>
      </c>
      <c r="D650" s="148" t="s">
        <v>1258</v>
      </c>
      <c r="E650" s="148">
        <v>6</v>
      </c>
      <c r="F650" s="149"/>
      <c r="G650" s="150"/>
    </row>
    <row r="651" spans="2:10" x14ac:dyDescent="0.25">
      <c r="B651" s="204" t="s">
        <v>12</v>
      </c>
      <c r="C651" s="155" t="s">
        <v>302</v>
      </c>
      <c r="D651" s="148" t="s">
        <v>1259</v>
      </c>
      <c r="E651" s="148">
        <v>144</v>
      </c>
      <c r="F651" s="149"/>
      <c r="G651" s="150"/>
    </row>
    <row r="652" spans="2:10" x14ac:dyDescent="0.25">
      <c r="B652" s="204" t="s">
        <v>12</v>
      </c>
      <c r="C652" s="155" t="s">
        <v>303</v>
      </c>
      <c r="D652" s="148" t="s">
        <v>1259</v>
      </c>
      <c r="E652" s="148">
        <v>15</v>
      </c>
      <c r="F652" s="149"/>
      <c r="G652" s="150"/>
    </row>
    <row r="653" spans="2:10" x14ac:dyDescent="0.25">
      <c r="B653" s="204" t="s">
        <v>12</v>
      </c>
      <c r="C653" s="155" t="s">
        <v>304</v>
      </c>
      <c r="D653" s="148" t="s">
        <v>1258</v>
      </c>
      <c r="E653" s="148">
        <v>24</v>
      </c>
      <c r="F653" s="149"/>
      <c r="G653" s="150"/>
    </row>
    <row r="654" spans="2:10" x14ac:dyDescent="0.25">
      <c r="B654" s="204" t="s">
        <v>12</v>
      </c>
      <c r="C654" s="155" t="s">
        <v>305</v>
      </c>
      <c r="D654" s="148" t="s">
        <v>1258</v>
      </c>
      <c r="E654" s="148">
        <v>48</v>
      </c>
      <c r="F654" s="149"/>
      <c r="G654" s="150"/>
    </row>
    <row r="655" spans="2:10" x14ac:dyDescent="0.25">
      <c r="B655" s="204" t="s">
        <v>12</v>
      </c>
      <c r="C655" s="155" t="s">
        <v>306</v>
      </c>
      <c r="D655" s="148" t="s">
        <v>1258</v>
      </c>
      <c r="E655" s="148">
        <v>15</v>
      </c>
      <c r="F655" s="149"/>
      <c r="G655" s="150"/>
    </row>
    <row r="656" spans="2:10" x14ac:dyDescent="0.25">
      <c r="B656" s="204" t="s">
        <v>12</v>
      </c>
      <c r="C656" s="155" t="s">
        <v>307</v>
      </c>
      <c r="D656" s="148" t="s">
        <v>1258</v>
      </c>
      <c r="E656" s="148">
        <v>5</v>
      </c>
      <c r="F656" s="149"/>
      <c r="G656" s="150"/>
    </row>
    <row r="657" spans="2:7" x14ac:dyDescent="0.25">
      <c r="B657" s="204" t="s">
        <v>12</v>
      </c>
      <c r="C657" s="155" t="s">
        <v>308</v>
      </c>
      <c r="D657" s="148" t="s">
        <v>1258</v>
      </c>
      <c r="E657" s="148">
        <v>49</v>
      </c>
      <c r="F657" s="149"/>
      <c r="G657" s="150"/>
    </row>
    <row r="658" spans="2:7" x14ac:dyDescent="0.25">
      <c r="B658" s="204" t="s">
        <v>12</v>
      </c>
      <c r="C658" s="155" t="s">
        <v>309</v>
      </c>
      <c r="D658" s="148" t="s">
        <v>1260</v>
      </c>
      <c r="E658" s="148">
        <v>18</v>
      </c>
      <c r="F658" s="149"/>
      <c r="G658" s="150"/>
    </row>
    <row r="659" spans="2:7" x14ac:dyDescent="0.25">
      <c r="B659" s="204" t="s">
        <v>12</v>
      </c>
      <c r="C659" s="155" t="s">
        <v>310</v>
      </c>
      <c r="D659" s="148" t="s">
        <v>1258</v>
      </c>
      <c r="E659" s="148">
        <v>73</v>
      </c>
      <c r="F659" s="149"/>
      <c r="G659" s="150"/>
    </row>
    <row r="660" spans="2:7" x14ac:dyDescent="0.25">
      <c r="B660" s="204" t="s">
        <v>12</v>
      </c>
      <c r="C660" s="155" t="s">
        <v>311</v>
      </c>
      <c r="D660" s="148" t="s">
        <v>1259</v>
      </c>
      <c r="E660" s="148">
        <v>1</v>
      </c>
      <c r="F660" s="149"/>
      <c r="G660" s="150"/>
    </row>
    <row r="661" spans="2:7" x14ac:dyDescent="0.25">
      <c r="B661" s="204" t="s">
        <v>12</v>
      </c>
      <c r="C661" s="155" t="s">
        <v>312</v>
      </c>
      <c r="D661" s="148" t="s">
        <v>1258</v>
      </c>
      <c r="E661" s="148">
        <v>2</v>
      </c>
      <c r="F661" s="149"/>
      <c r="G661" s="150"/>
    </row>
    <row r="662" spans="2:7" x14ac:dyDescent="0.25">
      <c r="B662" s="204" t="s">
        <v>12</v>
      </c>
      <c r="C662" s="155" t="s">
        <v>313</v>
      </c>
      <c r="D662" s="148" t="s">
        <v>1258</v>
      </c>
      <c r="E662" s="148">
        <v>20</v>
      </c>
      <c r="F662" s="149"/>
      <c r="G662" s="150"/>
    </row>
    <row r="663" spans="2:7" x14ac:dyDescent="0.25">
      <c r="B663" s="204" t="s">
        <v>12</v>
      </c>
      <c r="C663" s="155" t="s">
        <v>314</v>
      </c>
      <c r="D663" s="148" t="s">
        <v>1258</v>
      </c>
      <c r="E663" s="148">
        <v>1</v>
      </c>
      <c r="F663" s="149"/>
      <c r="G663" s="150"/>
    </row>
    <row r="664" spans="2:7" x14ac:dyDescent="0.25">
      <c r="B664" s="204" t="s">
        <v>12</v>
      </c>
      <c r="C664" s="155" t="s">
        <v>315</v>
      </c>
      <c r="D664" s="148" t="s">
        <v>1258</v>
      </c>
      <c r="E664" s="148">
        <v>41</v>
      </c>
      <c r="F664" s="149"/>
      <c r="G664" s="150"/>
    </row>
    <row r="665" spans="2:7" x14ac:dyDescent="0.25">
      <c r="B665" s="204" t="s">
        <v>12</v>
      </c>
      <c r="C665" s="155" t="s">
        <v>316</v>
      </c>
      <c r="D665" s="148" t="s">
        <v>1258</v>
      </c>
      <c r="E665" s="148">
        <v>95</v>
      </c>
      <c r="F665" s="149"/>
      <c r="G665" s="150"/>
    </row>
    <row r="666" spans="2:7" x14ac:dyDescent="0.25">
      <c r="B666" s="204" t="s">
        <v>12</v>
      </c>
      <c r="C666" s="155" t="s">
        <v>317</v>
      </c>
      <c r="D666" s="148"/>
      <c r="E666" s="148">
        <v>4</v>
      </c>
      <c r="F666" s="149"/>
      <c r="G666" s="150"/>
    </row>
    <row r="667" spans="2:7" x14ac:dyDescent="0.25">
      <c r="B667" s="204" t="s">
        <v>12</v>
      </c>
      <c r="C667" s="155" t="s">
        <v>318</v>
      </c>
      <c r="D667" s="148" t="s">
        <v>1258</v>
      </c>
      <c r="E667" s="148">
        <v>9</v>
      </c>
      <c r="F667" s="149"/>
      <c r="G667" s="150"/>
    </row>
    <row r="668" spans="2:7" x14ac:dyDescent="0.25">
      <c r="B668" s="204" t="s">
        <v>12</v>
      </c>
      <c r="C668" s="155" t="s">
        <v>319</v>
      </c>
      <c r="D668" s="148" t="s">
        <v>1258</v>
      </c>
      <c r="E668" s="148">
        <v>0</v>
      </c>
      <c r="F668" s="149"/>
      <c r="G668" s="150"/>
    </row>
    <row r="669" spans="2:7" x14ac:dyDescent="0.25">
      <c r="B669" s="204" t="s">
        <v>12</v>
      </c>
      <c r="C669" s="155" t="s">
        <v>320</v>
      </c>
      <c r="D669" s="148" t="s">
        <v>1258</v>
      </c>
      <c r="E669" s="148">
        <v>0</v>
      </c>
      <c r="F669" s="149"/>
      <c r="G669" s="150"/>
    </row>
    <row r="670" spans="2:7" x14ac:dyDescent="0.25">
      <c r="B670" s="204" t="s">
        <v>12</v>
      </c>
      <c r="C670" s="155" t="s">
        <v>321</v>
      </c>
      <c r="D670" s="148" t="s">
        <v>1258</v>
      </c>
      <c r="E670" s="148">
        <v>4</v>
      </c>
      <c r="F670" s="149"/>
      <c r="G670" s="150"/>
    </row>
    <row r="671" spans="2:7" x14ac:dyDescent="0.25">
      <c r="B671" s="204" t="s">
        <v>12</v>
      </c>
      <c r="C671" s="155" t="s">
        <v>322</v>
      </c>
      <c r="D671" s="148" t="s">
        <v>1258</v>
      </c>
      <c r="E671" s="148">
        <v>17</v>
      </c>
      <c r="F671" s="149"/>
      <c r="G671" s="150"/>
    </row>
    <row r="672" spans="2:7" x14ac:dyDescent="0.25">
      <c r="B672" s="204" t="s">
        <v>12</v>
      </c>
      <c r="C672" s="155" t="s">
        <v>323</v>
      </c>
      <c r="D672" s="148" t="s">
        <v>1258</v>
      </c>
      <c r="E672" s="148">
        <v>30</v>
      </c>
      <c r="F672" s="149"/>
      <c r="G672" s="150"/>
    </row>
    <row r="673" spans="2:7" x14ac:dyDescent="0.25">
      <c r="B673" s="204" t="s">
        <v>12</v>
      </c>
      <c r="C673" s="155" t="s">
        <v>324</v>
      </c>
      <c r="D673" s="148" t="s">
        <v>1258</v>
      </c>
      <c r="E673" s="148">
        <v>114</v>
      </c>
      <c r="F673" s="149"/>
      <c r="G673" s="150"/>
    </row>
    <row r="674" spans="2:7" x14ac:dyDescent="0.25">
      <c r="B674" s="204" t="s">
        <v>12</v>
      </c>
      <c r="C674" s="155" t="s">
        <v>325</v>
      </c>
      <c r="D674" s="148" t="s">
        <v>1258</v>
      </c>
      <c r="E674" s="148">
        <v>24</v>
      </c>
      <c r="F674" s="149"/>
      <c r="G674" s="150"/>
    </row>
    <row r="675" spans="2:7" x14ac:dyDescent="0.25">
      <c r="B675" s="204" t="s">
        <v>12</v>
      </c>
      <c r="C675" s="155" t="s">
        <v>326</v>
      </c>
      <c r="D675" s="148" t="s">
        <v>1258</v>
      </c>
      <c r="E675" s="148">
        <v>0</v>
      </c>
      <c r="F675" s="149"/>
      <c r="G675" s="150"/>
    </row>
    <row r="676" spans="2:7" x14ac:dyDescent="0.25">
      <c r="B676" s="204" t="s">
        <v>12</v>
      </c>
      <c r="C676" s="155" t="s">
        <v>327</v>
      </c>
      <c r="D676" s="148"/>
      <c r="E676" s="148">
        <v>4</v>
      </c>
      <c r="F676" s="149"/>
      <c r="G676" s="150"/>
    </row>
    <row r="677" spans="2:7" x14ac:dyDescent="0.25">
      <c r="B677" s="204" t="s">
        <v>12</v>
      </c>
      <c r="C677" s="155" t="s">
        <v>328</v>
      </c>
      <c r="D677" s="148" t="s">
        <v>1259</v>
      </c>
      <c r="E677" s="148">
        <v>71</v>
      </c>
      <c r="F677" s="149"/>
      <c r="G677" s="150"/>
    </row>
    <row r="678" spans="2:7" x14ac:dyDescent="0.25">
      <c r="B678" s="204" t="s">
        <v>12</v>
      </c>
      <c r="C678" s="155" t="s">
        <v>329</v>
      </c>
      <c r="D678" s="148" t="s">
        <v>1258</v>
      </c>
      <c r="E678" s="148">
        <v>49</v>
      </c>
      <c r="F678" s="149"/>
      <c r="G678" s="150"/>
    </row>
    <row r="679" spans="2:7" x14ac:dyDescent="0.25">
      <c r="B679" s="204" t="s">
        <v>12</v>
      </c>
      <c r="C679" s="155" t="s">
        <v>330</v>
      </c>
      <c r="D679" s="148" t="s">
        <v>1259</v>
      </c>
      <c r="E679" s="148">
        <v>8</v>
      </c>
      <c r="F679" s="149"/>
      <c r="G679" s="150"/>
    </row>
    <row r="680" spans="2:7" x14ac:dyDescent="0.25">
      <c r="B680" s="204" t="s">
        <v>12</v>
      </c>
      <c r="C680" s="155" t="s">
        <v>331</v>
      </c>
      <c r="D680" s="148" t="s">
        <v>1258</v>
      </c>
      <c r="E680" s="148">
        <v>35</v>
      </c>
      <c r="F680" s="149"/>
      <c r="G680" s="150"/>
    </row>
    <row r="681" spans="2:7" x14ac:dyDescent="0.25">
      <c r="B681" s="204" t="s">
        <v>12</v>
      </c>
      <c r="C681" s="155" t="s">
        <v>332</v>
      </c>
      <c r="D681" s="148" t="s">
        <v>1259</v>
      </c>
      <c r="E681" s="148">
        <v>9</v>
      </c>
      <c r="F681" s="149"/>
      <c r="G681" s="150"/>
    </row>
    <row r="682" spans="2:7" x14ac:dyDescent="0.25">
      <c r="B682" s="204" t="s">
        <v>12</v>
      </c>
      <c r="C682" s="155" t="s">
        <v>333</v>
      </c>
      <c r="D682" s="148" t="s">
        <v>1259</v>
      </c>
      <c r="E682" s="148">
        <v>8</v>
      </c>
      <c r="F682" s="149"/>
      <c r="G682" s="150"/>
    </row>
    <row r="683" spans="2:7" x14ac:dyDescent="0.25">
      <c r="B683" s="204" t="s">
        <v>12</v>
      </c>
      <c r="C683" s="155" t="s">
        <v>334</v>
      </c>
      <c r="D683" s="148" t="s">
        <v>1259</v>
      </c>
      <c r="E683" s="148">
        <v>9</v>
      </c>
      <c r="F683" s="149"/>
      <c r="G683" s="150"/>
    </row>
    <row r="684" spans="2:7" x14ac:dyDescent="0.25">
      <c r="B684" s="204" t="s">
        <v>12</v>
      </c>
      <c r="C684" s="155" t="s">
        <v>335</v>
      </c>
      <c r="D684" s="148" t="s">
        <v>1258</v>
      </c>
      <c r="E684" s="148">
        <v>61</v>
      </c>
      <c r="F684" s="149"/>
      <c r="G684" s="150"/>
    </row>
    <row r="685" spans="2:7" x14ac:dyDescent="0.25">
      <c r="B685" s="204" t="s">
        <v>12</v>
      </c>
      <c r="C685" s="155" t="s">
        <v>336</v>
      </c>
      <c r="D685" s="148" t="s">
        <v>1258</v>
      </c>
      <c r="E685" s="148">
        <v>7</v>
      </c>
      <c r="F685" s="149"/>
      <c r="G685" s="150"/>
    </row>
    <row r="686" spans="2:7" x14ac:dyDescent="0.25">
      <c r="B686" s="204" t="s">
        <v>12</v>
      </c>
      <c r="C686" s="155" t="s">
        <v>337</v>
      </c>
      <c r="D686" s="148" t="s">
        <v>1259</v>
      </c>
      <c r="E686" s="148">
        <v>31</v>
      </c>
      <c r="F686" s="149"/>
      <c r="G686" s="150"/>
    </row>
    <row r="687" spans="2:7" x14ac:dyDescent="0.25">
      <c r="B687" s="204" t="s">
        <v>12</v>
      </c>
      <c r="C687" s="155" t="s">
        <v>338</v>
      </c>
      <c r="D687" s="148" t="s">
        <v>1258</v>
      </c>
      <c r="E687" s="148">
        <v>3</v>
      </c>
      <c r="F687" s="149"/>
      <c r="G687" s="150"/>
    </row>
    <row r="688" spans="2:7" x14ac:dyDescent="0.25">
      <c r="B688" s="204" t="s">
        <v>12</v>
      </c>
      <c r="C688" s="155" t="s">
        <v>339</v>
      </c>
      <c r="D688" s="148" t="s">
        <v>1258</v>
      </c>
      <c r="E688" s="148">
        <v>17</v>
      </c>
      <c r="F688" s="149"/>
      <c r="G688" s="150"/>
    </row>
    <row r="689" spans="2:7" x14ac:dyDescent="0.25">
      <c r="B689" s="204" t="s">
        <v>12</v>
      </c>
      <c r="C689" s="155" t="s">
        <v>340</v>
      </c>
      <c r="D689" s="148"/>
      <c r="E689" s="148">
        <v>0</v>
      </c>
      <c r="F689" s="149"/>
      <c r="G689" s="150"/>
    </row>
    <row r="690" spans="2:7" x14ac:dyDescent="0.25">
      <c r="B690" s="204" t="s">
        <v>12</v>
      </c>
      <c r="C690" s="155" t="s">
        <v>341</v>
      </c>
      <c r="D690" s="148" t="s">
        <v>1258</v>
      </c>
      <c r="E690" s="148">
        <v>4</v>
      </c>
      <c r="F690" s="149"/>
      <c r="G690" s="150"/>
    </row>
    <row r="691" spans="2:7" x14ac:dyDescent="0.25">
      <c r="B691" s="204" t="s">
        <v>12</v>
      </c>
      <c r="C691" s="155" t="s">
        <v>342</v>
      </c>
      <c r="D691" s="148" t="s">
        <v>1258</v>
      </c>
      <c r="E691" s="148">
        <v>0</v>
      </c>
      <c r="F691" s="149"/>
      <c r="G691" s="150"/>
    </row>
    <row r="692" spans="2:7" x14ac:dyDescent="0.25">
      <c r="B692" s="204" t="s">
        <v>12</v>
      </c>
      <c r="C692" s="155" t="s">
        <v>343</v>
      </c>
      <c r="D692" s="148" t="s">
        <v>1258</v>
      </c>
      <c r="E692" s="148">
        <v>11</v>
      </c>
      <c r="F692" s="149"/>
      <c r="G692" s="150"/>
    </row>
    <row r="693" spans="2:7" x14ac:dyDescent="0.25">
      <c r="B693" s="204" t="s">
        <v>12</v>
      </c>
      <c r="C693" s="155" t="s">
        <v>344</v>
      </c>
      <c r="D693" s="148"/>
      <c r="E693" s="148">
        <v>0</v>
      </c>
      <c r="F693" s="149"/>
      <c r="G693" s="150"/>
    </row>
    <row r="694" spans="2:7" x14ac:dyDescent="0.25">
      <c r="B694" s="204" t="s">
        <v>12</v>
      </c>
      <c r="C694" s="155" t="s">
        <v>345</v>
      </c>
      <c r="D694" s="148" t="s">
        <v>1258</v>
      </c>
      <c r="E694" s="148">
        <v>30</v>
      </c>
      <c r="F694" s="149"/>
      <c r="G694" s="150"/>
    </row>
    <row r="695" spans="2:7" x14ac:dyDescent="0.25">
      <c r="B695" s="204" t="s">
        <v>12</v>
      </c>
      <c r="C695" s="155" t="s">
        <v>1262</v>
      </c>
      <c r="D695" s="148" t="s">
        <v>1258</v>
      </c>
      <c r="E695" s="148">
        <v>6</v>
      </c>
      <c r="F695" s="149"/>
      <c r="G695" s="150"/>
    </row>
    <row r="696" spans="2:7" x14ac:dyDescent="0.25">
      <c r="B696" s="204" t="s">
        <v>12</v>
      </c>
      <c r="C696" s="155" t="s">
        <v>346</v>
      </c>
      <c r="D696" s="148" t="s">
        <v>1258</v>
      </c>
      <c r="E696" s="148">
        <v>13</v>
      </c>
      <c r="F696" s="149"/>
      <c r="G696" s="150"/>
    </row>
    <row r="697" spans="2:7" x14ac:dyDescent="0.25">
      <c r="B697" s="204" t="s">
        <v>12</v>
      </c>
      <c r="C697" s="155" t="s">
        <v>347</v>
      </c>
      <c r="D697" s="148" t="s">
        <v>1258</v>
      </c>
      <c r="E697" s="148">
        <v>1</v>
      </c>
      <c r="F697" s="149"/>
      <c r="G697" s="150"/>
    </row>
    <row r="698" spans="2:7" x14ac:dyDescent="0.25">
      <c r="B698" s="204" t="s">
        <v>12</v>
      </c>
      <c r="C698" s="155" t="s">
        <v>348</v>
      </c>
      <c r="D698" s="148" t="s">
        <v>1258</v>
      </c>
      <c r="E698" s="148">
        <v>6</v>
      </c>
      <c r="F698" s="149"/>
      <c r="G698" s="150"/>
    </row>
    <row r="699" spans="2:7" x14ac:dyDescent="0.25">
      <c r="B699" s="204" t="s">
        <v>12</v>
      </c>
      <c r="C699" s="155" t="s">
        <v>349</v>
      </c>
      <c r="D699" s="148"/>
      <c r="E699" s="148">
        <v>12</v>
      </c>
      <c r="F699" s="149"/>
      <c r="G699" s="150"/>
    </row>
    <row r="700" spans="2:7" x14ac:dyDescent="0.25">
      <c r="B700" s="204" t="s">
        <v>12</v>
      </c>
      <c r="C700" s="155" t="s">
        <v>350</v>
      </c>
      <c r="D700" s="148" t="s">
        <v>1258</v>
      </c>
      <c r="E700" s="148">
        <v>13</v>
      </c>
      <c r="F700" s="149"/>
      <c r="G700" s="150"/>
    </row>
    <row r="701" spans="2:7" x14ac:dyDescent="0.25">
      <c r="B701" s="204" t="s">
        <v>12</v>
      </c>
      <c r="C701" s="155" t="s">
        <v>351</v>
      </c>
      <c r="D701" s="148" t="s">
        <v>1259</v>
      </c>
      <c r="E701" s="148">
        <v>38</v>
      </c>
      <c r="F701" s="149"/>
      <c r="G701" s="150"/>
    </row>
    <row r="702" spans="2:7" ht="15" customHeight="1" x14ac:dyDescent="0.25">
      <c r="B702" s="204" t="s">
        <v>12</v>
      </c>
      <c r="C702" s="155" t="s">
        <v>352</v>
      </c>
      <c r="D702" s="148" t="s">
        <v>1258</v>
      </c>
      <c r="E702" s="148">
        <v>0</v>
      </c>
      <c r="F702" s="149"/>
      <c r="G702" s="150"/>
    </row>
    <row r="703" spans="2:7" x14ac:dyDescent="0.25">
      <c r="B703" s="204" t="s">
        <v>12</v>
      </c>
      <c r="C703" s="155" t="s">
        <v>353</v>
      </c>
      <c r="D703" s="148" t="s">
        <v>1258</v>
      </c>
      <c r="E703" s="148">
        <v>7</v>
      </c>
      <c r="F703" s="149"/>
      <c r="G703" s="150"/>
    </row>
    <row r="704" spans="2:7" ht="15" customHeight="1" x14ac:dyDescent="0.25">
      <c r="B704" s="204" t="s">
        <v>12</v>
      </c>
      <c r="C704" s="155" t="s">
        <v>354</v>
      </c>
      <c r="D704" s="148"/>
      <c r="E704" s="148">
        <v>1</v>
      </c>
      <c r="F704" s="149"/>
      <c r="G704" s="150"/>
    </row>
    <row r="705" spans="2:7" x14ac:dyDescent="0.25">
      <c r="B705" s="204" t="s">
        <v>12</v>
      </c>
      <c r="C705" s="155" t="s">
        <v>355</v>
      </c>
      <c r="D705" s="148" t="s">
        <v>1258</v>
      </c>
      <c r="E705" s="148">
        <v>2</v>
      </c>
      <c r="F705" s="149"/>
      <c r="G705" s="150"/>
    </row>
    <row r="706" spans="2:7" x14ac:dyDescent="0.25">
      <c r="B706" s="204" t="s">
        <v>12</v>
      </c>
      <c r="C706" s="155" t="s">
        <v>356</v>
      </c>
      <c r="D706" s="148" t="s">
        <v>1258</v>
      </c>
      <c r="E706" s="148">
        <v>4</v>
      </c>
      <c r="F706" s="149"/>
      <c r="G706" s="150"/>
    </row>
    <row r="707" spans="2:7" x14ac:dyDescent="0.25">
      <c r="B707" s="204" t="s">
        <v>12</v>
      </c>
      <c r="C707" s="155" t="s">
        <v>357</v>
      </c>
      <c r="D707" s="148" t="s">
        <v>1258</v>
      </c>
      <c r="E707" s="148">
        <v>20</v>
      </c>
      <c r="F707" s="149"/>
      <c r="G707" s="150"/>
    </row>
    <row r="708" spans="2:7" x14ac:dyDescent="0.25">
      <c r="B708" s="204" t="s">
        <v>12</v>
      </c>
      <c r="C708" s="155" t="s">
        <v>358</v>
      </c>
      <c r="D708" s="148" t="s">
        <v>1258</v>
      </c>
      <c r="E708" s="148">
        <v>10</v>
      </c>
      <c r="F708" s="149"/>
      <c r="G708" s="150"/>
    </row>
    <row r="709" spans="2:7" x14ac:dyDescent="0.25">
      <c r="B709" s="204" t="s">
        <v>12</v>
      </c>
      <c r="C709" s="155" t="s">
        <v>359</v>
      </c>
      <c r="D709" s="148" t="s">
        <v>1258</v>
      </c>
      <c r="E709" s="148">
        <v>8</v>
      </c>
      <c r="F709" s="149"/>
      <c r="G709" s="150"/>
    </row>
    <row r="710" spans="2:7" x14ac:dyDescent="0.25">
      <c r="B710" s="204" t="s">
        <v>12</v>
      </c>
      <c r="C710" s="155" t="s">
        <v>360</v>
      </c>
      <c r="D710" s="148" t="s">
        <v>1258</v>
      </c>
      <c r="E710" s="148">
        <v>2</v>
      </c>
      <c r="F710" s="149"/>
      <c r="G710" s="150"/>
    </row>
    <row r="711" spans="2:7" x14ac:dyDescent="0.25">
      <c r="B711" s="204" t="s">
        <v>12</v>
      </c>
      <c r="C711" s="155" t="s">
        <v>361</v>
      </c>
      <c r="D711" s="148" t="s">
        <v>1259</v>
      </c>
      <c r="E711" s="148">
        <v>2</v>
      </c>
      <c r="F711" s="149"/>
      <c r="G711" s="150"/>
    </row>
    <row r="712" spans="2:7" x14ac:dyDescent="0.25">
      <c r="B712" s="204" t="s">
        <v>12</v>
      </c>
      <c r="C712" s="155" t="s">
        <v>362</v>
      </c>
      <c r="D712" s="148" t="s">
        <v>1258</v>
      </c>
      <c r="E712" s="148">
        <v>11</v>
      </c>
      <c r="F712" s="149"/>
      <c r="G712" s="150"/>
    </row>
    <row r="713" spans="2:7" x14ac:dyDescent="0.25">
      <c r="B713" s="204" t="s">
        <v>12</v>
      </c>
      <c r="C713" s="155" t="s">
        <v>363</v>
      </c>
      <c r="D713" s="148" t="s">
        <v>1258</v>
      </c>
      <c r="E713" s="148">
        <v>5</v>
      </c>
      <c r="F713" s="149"/>
      <c r="G713" s="150"/>
    </row>
    <row r="714" spans="2:7" x14ac:dyDescent="0.25">
      <c r="B714" s="204" t="s">
        <v>12</v>
      </c>
      <c r="C714" s="155" t="s">
        <v>364</v>
      </c>
      <c r="D714" s="148" t="s">
        <v>1259</v>
      </c>
      <c r="E714" s="148">
        <v>6</v>
      </c>
      <c r="F714" s="149"/>
      <c r="G714" s="150"/>
    </row>
    <row r="715" spans="2:7" x14ac:dyDescent="0.25">
      <c r="B715" s="204" t="s">
        <v>12</v>
      </c>
      <c r="C715" s="155" t="s">
        <v>365</v>
      </c>
      <c r="D715" s="148" t="s">
        <v>1258</v>
      </c>
      <c r="E715" s="148">
        <v>0</v>
      </c>
      <c r="F715" s="149"/>
      <c r="G715" s="150"/>
    </row>
    <row r="716" spans="2:7" x14ac:dyDescent="0.25">
      <c r="B716" s="204" t="s">
        <v>12</v>
      </c>
      <c r="C716" s="155" t="s">
        <v>366</v>
      </c>
      <c r="D716" s="148"/>
      <c r="E716" s="148">
        <v>11</v>
      </c>
      <c r="F716" s="149"/>
      <c r="G716" s="150"/>
    </row>
    <row r="717" spans="2:7" x14ac:dyDescent="0.25">
      <c r="B717" s="204" t="s">
        <v>12</v>
      </c>
      <c r="C717" s="155" t="s">
        <v>367</v>
      </c>
      <c r="D717" s="148" t="s">
        <v>1260</v>
      </c>
      <c r="E717" s="148">
        <v>2</v>
      </c>
      <c r="F717" s="149"/>
      <c r="G717" s="150"/>
    </row>
    <row r="718" spans="2:7" x14ac:dyDescent="0.25">
      <c r="B718" s="204" t="s">
        <v>12</v>
      </c>
      <c r="C718" s="155" t="s">
        <v>368</v>
      </c>
      <c r="D718" s="148" t="s">
        <v>1258</v>
      </c>
      <c r="E718" s="148">
        <v>27</v>
      </c>
      <c r="F718" s="149"/>
      <c r="G718" s="150"/>
    </row>
    <row r="719" spans="2:7" x14ac:dyDescent="0.25">
      <c r="B719" s="204" t="s">
        <v>12</v>
      </c>
      <c r="C719" s="155" t="s">
        <v>369</v>
      </c>
      <c r="D719" s="148" t="s">
        <v>1258</v>
      </c>
      <c r="E719" s="148">
        <v>25</v>
      </c>
      <c r="F719" s="149"/>
      <c r="G719" s="150"/>
    </row>
    <row r="720" spans="2:7" x14ac:dyDescent="0.25">
      <c r="B720" s="204" t="s">
        <v>12</v>
      </c>
      <c r="C720" s="155" t="s">
        <v>370</v>
      </c>
      <c r="D720" s="148" t="s">
        <v>1258</v>
      </c>
      <c r="E720" s="148">
        <v>33</v>
      </c>
      <c r="F720" s="149"/>
      <c r="G720" s="150"/>
    </row>
    <row r="721" spans="2:11" x14ac:dyDescent="0.25">
      <c r="B721" s="204" t="s">
        <v>12</v>
      </c>
      <c r="C721" s="155" t="s">
        <v>371</v>
      </c>
      <c r="D721" s="148" t="s">
        <v>1259</v>
      </c>
      <c r="E721" s="148">
        <v>5</v>
      </c>
      <c r="F721" s="149"/>
      <c r="G721" s="150"/>
    </row>
    <row r="722" spans="2:11" x14ac:dyDescent="0.25">
      <c r="B722" s="204" t="s">
        <v>12</v>
      </c>
      <c r="C722" s="155" t="s">
        <v>372</v>
      </c>
      <c r="D722" s="148"/>
      <c r="E722" s="148">
        <v>6</v>
      </c>
      <c r="F722" s="149"/>
      <c r="G722" s="150"/>
    </row>
    <row r="723" spans="2:11" x14ac:dyDescent="0.25">
      <c r="B723" s="204" t="s">
        <v>12</v>
      </c>
      <c r="C723" s="155" t="s">
        <v>373</v>
      </c>
      <c r="D723" s="148" t="s">
        <v>1258</v>
      </c>
      <c r="E723" s="148">
        <v>7</v>
      </c>
      <c r="F723" s="149"/>
      <c r="G723" s="150"/>
    </row>
    <row r="724" spans="2:11" x14ac:dyDescent="0.25">
      <c r="B724" s="204" t="s">
        <v>12</v>
      </c>
      <c r="C724" s="155" t="s">
        <v>374</v>
      </c>
      <c r="D724" s="148" t="s">
        <v>1259</v>
      </c>
      <c r="E724" s="148">
        <v>2</v>
      </c>
      <c r="F724" s="149"/>
      <c r="G724" s="150"/>
    </row>
    <row r="725" spans="2:11" x14ac:dyDescent="0.25">
      <c r="B725" s="204" t="s">
        <v>12</v>
      </c>
      <c r="C725" s="155" t="s">
        <v>375</v>
      </c>
      <c r="D725" s="148" t="s">
        <v>1258</v>
      </c>
      <c r="E725" s="148">
        <v>53</v>
      </c>
      <c r="F725" s="149"/>
      <c r="G725" s="150"/>
    </row>
    <row r="726" spans="2:11" x14ac:dyDescent="0.25">
      <c r="B726" s="204" t="s">
        <v>12</v>
      </c>
      <c r="C726" s="155" t="s">
        <v>376</v>
      </c>
      <c r="D726" s="148" t="s">
        <v>1258</v>
      </c>
      <c r="E726" s="148">
        <v>19</v>
      </c>
      <c r="F726" s="149"/>
      <c r="G726" s="150"/>
    </row>
    <row r="727" spans="2:11" x14ac:dyDescent="0.25">
      <c r="B727" s="204" t="s">
        <v>12</v>
      </c>
      <c r="C727" s="155" t="s">
        <v>377</v>
      </c>
      <c r="D727" s="148" t="s">
        <v>1258</v>
      </c>
      <c r="E727" s="148">
        <v>6</v>
      </c>
      <c r="F727" s="149"/>
      <c r="G727" s="150"/>
    </row>
    <row r="728" spans="2:11" x14ac:dyDescent="0.25">
      <c r="B728" s="204" t="s">
        <v>12</v>
      </c>
      <c r="C728" s="155" t="s">
        <v>378</v>
      </c>
      <c r="D728" s="148" t="s">
        <v>1260</v>
      </c>
      <c r="E728" s="148">
        <v>2</v>
      </c>
      <c r="F728" s="149"/>
      <c r="G728" s="150"/>
    </row>
    <row r="729" spans="2:11" x14ac:dyDescent="0.25">
      <c r="B729" s="204" t="s">
        <v>12</v>
      </c>
      <c r="C729" s="155" t="s">
        <v>379</v>
      </c>
      <c r="D729" s="148"/>
      <c r="E729" s="148">
        <v>3</v>
      </c>
      <c r="F729" s="149"/>
      <c r="G729" s="150"/>
    </row>
    <row r="730" spans="2:11" x14ac:dyDescent="0.25">
      <c r="B730" s="204" t="s">
        <v>12</v>
      </c>
      <c r="C730" s="155" t="s">
        <v>380</v>
      </c>
      <c r="D730" s="148" t="s">
        <v>1258</v>
      </c>
      <c r="E730" s="148">
        <v>24</v>
      </c>
      <c r="F730" s="149"/>
      <c r="G730" s="150"/>
    </row>
    <row r="731" spans="2:11" x14ac:dyDescent="0.25">
      <c r="B731" s="204" t="s">
        <v>12</v>
      </c>
      <c r="C731" s="155" t="s">
        <v>381</v>
      </c>
      <c r="D731" s="148" t="s">
        <v>1258</v>
      </c>
      <c r="E731" s="148">
        <v>5</v>
      </c>
      <c r="F731" s="149"/>
      <c r="G731" s="150"/>
    </row>
    <row r="732" spans="2:11" x14ac:dyDescent="0.25">
      <c r="B732" s="203" t="s">
        <v>588</v>
      </c>
      <c r="C732" s="137" t="s">
        <v>118</v>
      </c>
      <c r="D732" s="52" t="s">
        <v>1258</v>
      </c>
      <c r="E732" s="143">
        <v>71</v>
      </c>
      <c r="F732" s="175" t="s">
        <v>1289</v>
      </c>
      <c r="G732" s="159"/>
      <c r="I732" s="265" t="s">
        <v>119</v>
      </c>
      <c r="J732" s="266"/>
      <c r="K732" s="113" t="s">
        <v>120</v>
      </c>
    </row>
    <row r="733" spans="2:11" x14ac:dyDescent="0.25">
      <c r="B733" s="203" t="s">
        <v>588</v>
      </c>
      <c r="C733" s="138" t="s">
        <v>121</v>
      </c>
      <c r="D733" s="2" t="s">
        <v>1258</v>
      </c>
      <c r="E733" s="45">
        <v>11</v>
      </c>
      <c r="F733" s="175" t="s">
        <v>1289</v>
      </c>
      <c r="G733" s="160"/>
      <c r="I733" s="42" t="s">
        <v>122</v>
      </c>
      <c r="J733" s="43">
        <v>10</v>
      </c>
      <c r="K733" s="62">
        <v>1</v>
      </c>
    </row>
    <row r="734" spans="2:11" x14ac:dyDescent="0.25">
      <c r="B734" s="203" t="s">
        <v>588</v>
      </c>
      <c r="C734" s="138" t="s">
        <v>123</v>
      </c>
      <c r="D734" s="2" t="s">
        <v>1258</v>
      </c>
      <c r="E734" s="45">
        <v>14</v>
      </c>
      <c r="F734" s="175" t="s">
        <v>1289</v>
      </c>
      <c r="G734" s="160"/>
      <c r="I734" s="3" t="s">
        <v>124</v>
      </c>
      <c r="J734" s="6">
        <v>0</v>
      </c>
      <c r="K734" s="63">
        <v>0</v>
      </c>
    </row>
    <row r="735" spans="2:11" x14ac:dyDescent="0.25">
      <c r="B735" s="203" t="s">
        <v>588</v>
      </c>
      <c r="C735" s="138" t="s">
        <v>125</v>
      </c>
      <c r="D735" s="2" t="s">
        <v>1258</v>
      </c>
      <c r="E735" s="45">
        <v>77</v>
      </c>
      <c r="F735" s="175" t="s">
        <v>1289</v>
      </c>
      <c r="G735" s="160"/>
      <c r="I735" s="58" t="s">
        <v>31</v>
      </c>
      <c r="J735" s="47">
        <f>SUM(J733:J734)</f>
        <v>10</v>
      </c>
      <c r="K735" s="48">
        <v>1</v>
      </c>
    </row>
    <row r="736" spans="2:11" x14ac:dyDescent="0.25">
      <c r="B736" s="203" t="s">
        <v>588</v>
      </c>
      <c r="C736" s="138" t="s">
        <v>126</v>
      </c>
      <c r="D736" s="2" t="s">
        <v>1259</v>
      </c>
      <c r="E736" s="45">
        <v>62</v>
      </c>
      <c r="F736" s="175" t="s">
        <v>1289</v>
      </c>
      <c r="G736" s="160"/>
    </row>
    <row r="737" spans="2:11" x14ac:dyDescent="0.25">
      <c r="B737" s="203" t="s">
        <v>588</v>
      </c>
      <c r="C737" s="138" t="s">
        <v>127</v>
      </c>
      <c r="D737" s="2" t="s">
        <v>1258</v>
      </c>
      <c r="E737" s="45">
        <v>40</v>
      </c>
      <c r="F737" s="175" t="s">
        <v>1289</v>
      </c>
      <c r="G737" s="160"/>
    </row>
    <row r="738" spans="2:11" x14ac:dyDescent="0.25">
      <c r="B738" s="203" t="s">
        <v>588</v>
      </c>
      <c r="C738" s="138" t="s">
        <v>128</v>
      </c>
      <c r="D738" s="2" t="s">
        <v>1258</v>
      </c>
      <c r="E738" s="45">
        <v>84</v>
      </c>
      <c r="F738" s="175" t="s">
        <v>1289</v>
      </c>
      <c r="G738" s="160"/>
    </row>
    <row r="739" spans="2:11" x14ac:dyDescent="0.25">
      <c r="B739" s="203" t="s">
        <v>588</v>
      </c>
      <c r="C739" s="138" t="s">
        <v>129</v>
      </c>
      <c r="D739" s="2" t="s">
        <v>1258</v>
      </c>
      <c r="E739" s="45">
        <v>64</v>
      </c>
      <c r="F739" s="175" t="s">
        <v>1289</v>
      </c>
      <c r="G739" s="160"/>
    </row>
    <row r="740" spans="2:11" x14ac:dyDescent="0.25">
      <c r="B740" s="203" t="s">
        <v>588</v>
      </c>
      <c r="C740" s="138" t="s">
        <v>130</v>
      </c>
      <c r="D740" s="2" t="s">
        <v>1258</v>
      </c>
      <c r="E740" s="45">
        <v>1</v>
      </c>
      <c r="F740" s="175" t="s">
        <v>1289</v>
      </c>
      <c r="G740" s="160"/>
    </row>
    <row r="741" spans="2:11" x14ac:dyDescent="0.25">
      <c r="B741" s="203" t="s">
        <v>588</v>
      </c>
      <c r="C741" s="138" t="s">
        <v>131</v>
      </c>
      <c r="D741" s="2" t="s">
        <v>1258</v>
      </c>
      <c r="E741" s="45">
        <v>46</v>
      </c>
      <c r="F741" s="175" t="s">
        <v>1289</v>
      </c>
      <c r="G741" s="160"/>
    </row>
    <row r="742" spans="2:11" ht="15" customHeight="1" x14ac:dyDescent="0.25">
      <c r="B742" s="204" t="s">
        <v>796</v>
      </c>
      <c r="C742" s="187" t="s">
        <v>382</v>
      </c>
      <c r="D742" s="188" t="s">
        <v>1258</v>
      </c>
      <c r="E742" s="189">
        <v>3</v>
      </c>
      <c r="F742" s="172"/>
      <c r="G742" s="190"/>
      <c r="I742" s="265" t="s">
        <v>383</v>
      </c>
      <c r="J742" s="266"/>
      <c r="K742" s="113" t="s">
        <v>120</v>
      </c>
    </row>
    <row r="743" spans="2:11" x14ac:dyDescent="0.25">
      <c r="B743" s="204" t="s">
        <v>796</v>
      </c>
      <c r="C743" s="191" t="s">
        <v>384</v>
      </c>
      <c r="D743" s="192" t="s">
        <v>1258</v>
      </c>
      <c r="E743" s="193">
        <v>1</v>
      </c>
      <c r="F743" s="172"/>
      <c r="G743" s="194"/>
      <c r="I743" s="42" t="s">
        <v>122</v>
      </c>
      <c r="J743" s="43" t="s">
        <v>288</v>
      </c>
      <c r="K743" s="42" t="s">
        <v>288</v>
      </c>
    </row>
    <row r="744" spans="2:11" x14ac:dyDescent="0.25">
      <c r="B744" s="204" t="s">
        <v>796</v>
      </c>
      <c r="C744" s="191" t="s">
        <v>385</v>
      </c>
      <c r="D744" s="192" t="s">
        <v>1258</v>
      </c>
      <c r="E744" s="193">
        <v>3</v>
      </c>
      <c r="F744" s="172"/>
      <c r="G744" s="194"/>
      <c r="I744" s="40" t="s">
        <v>124</v>
      </c>
      <c r="J744" s="44" t="s">
        <v>288</v>
      </c>
      <c r="K744" s="40" t="s">
        <v>288</v>
      </c>
    </row>
    <row r="745" spans="2:11" x14ac:dyDescent="0.25">
      <c r="B745" s="204" t="s">
        <v>796</v>
      </c>
      <c r="C745" s="191" t="s">
        <v>386</v>
      </c>
      <c r="D745" s="192" t="s">
        <v>1258</v>
      </c>
      <c r="E745" s="193">
        <v>6</v>
      </c>
      <c r="F745" s="172"/>
      <c r="G745" s="194"/>
      <c r="I745" s="46" t="s">
        <v>31</v>
      </c>
      <c r="J745" s="47" t="s">
        <v>288</v>
      </c>
      <c r="K745" s="46" t="s">
        <v>288</v>
      </c>
    </row>
    <row r="746" spans="2:11" x14ac:dyDescent="0.25">
      <c r="B746" s="204" t="s">
        <v>796</v>
      </c>
      <c r="C746" s="191" t="s">
        <v>387</v>
      </c>
      <c r="D746" s="192" t="s">
        <v>1258</v>
      </c>
      <c r="E746" s="193">
        <v>4</v>
      </c>
      <c r="F746" s="172"/>
      <c r="G746" s="194"/>
    </row>
    <row r="747" spans="2:11" x14ac:dyDescent="0.25">
      <c r="B747" s="204" t="s">
        <v>796</v>
      </c>
      <c r="C747" s="191" t="s">
        <v>388</v>
      </c>
      <c r="D747" s="192" t="s">
        <v>1259</v>
      </c>
      <c r="E747" s="193">
        <v>3</v>
      </c>
      <c r="F747" s="172"/>
      <c r="G747" s="194"/>
    </row>
    <row r="748" spans="2:11" x14ac:dyDescent="0.25">
      <c r="B748" s="204" t="s">
        <v>796</v>
      </c>
      <c r="C748" s="191" t="s">
        <v>389</v>
      </c>
      <c r="D748" s="192" t="s">
        <v>1258</v>
      </c>
      <c r="E748" s="193">
        <v>6</v>
      </c>
      <c r="F748" s="172"/>
      <c r="G748" s="194"/>
      <c r="I748" t="s">
        <v>1266</v>
      </c>
      <c r="J748" t="s">
        <v>1273</v>
      </c>
    </row>
    <row r="749" spans="2:11" x14ac:dyDescent="0.25">
      <c r="B749" s="204" t="s">
        <v>796</v>
      </c>
      <c r="C749" s="191" t="s">
        <v>390</v>
      </c>
      <c r="D749" s="192" t="s">
        <v>1259</v>
      </c>
      <c r="E749" s="193">
        <v>4</v>
      </c>
      <c r="F749" s="172"/>
      <c r="G749" s="194"/>
      <c r="I749" s="130" t="s">
        <v>1258</v>
      </c>
      <c r="J749">
        <v>215</v>
      </c>
    </row>
    <row r="750" spans="2:11" x14ac:dyDescent="0.25">
      <c r="B750" s="204" t="s">
        <v>796</v>
      </c>
      <c r="C750" s="191" t="s">
        <v>391</v>
      </c>
      <c r="D750" s="192" t="s">
        <v>1258</v>
      </c>
      <c r="E750" s="193">
        <v>5</v>
      </c>
      <c r="F750" s="172"/>
      <c r="G750" s="194"/>
      <c r="I750" s="130" t="s">
        <v>1259</v>
      </c>
      <c r="J750">
        <v>42</v>
      </c>
    </row>
    <row r="751" spans="2:11" x14ac:dyDescent="0.25">
      <c r="B751" s="204" t="s">
        <v>796</v>
      </c>
      <c r="C751" s="191" t="s">
        <v>392</v>
      </c>
      <c r="D751" s="192" t="s">
        <v>1258</v>
      </c>
      <c r="E751" s="193">
        <v>9</v>
      </c>
      <c r="F751" s="172"/>
      <c r="G751" s="194"/>
      <c r="I751" s="130" t="s">
        <v>1265</v>
      </c>
      <c r="J751">
        <v>257</v>
      </c>
    </row>
    <row r="752" spans="2:11" x14ac:dyDescent="0.25">
      <c r="B752" s="204" t="s">
        <v>796</v>
      </c>
      <c r="C752" s="191" t="s">
        <v>393</v>
      </c>
      <c r="D752" s="192" t="s">
        <v>1259</v>
      </c>
      <c r="E752" s="193">
        <v>6</v>
      </c>
      <c r="F752" s="172"/>
      <c r="G752" s="194"/>
    </row>
    <row r="753" spans="2:7" x14ac:dyDescent="0.25">
      <c r="B753" s="204" t="s">
        <v>796</v>
      </c>
      <c r="C753" s="191" t="s">
        <v>394</v>
      </c>
      <c r="D753" s="192" t="s">
        <v>1258</v>
      </c>
      <c r="E753" s="193">
        <v>5</v>
      </c>
      <c r="F753" s="172"/>
      <c r="G753" s="194"/>
    </row>
    <row r="754" spans="2:7" x14ac:dyDescent="0.25">
      <c r="B754" s="204" t="s">
        <v>796</v>
      </c>
      <c r="C754" s="191" t="s">
        <v>395</v>
      </c>
      <c r="D754" s="192" t="s">
        <v>1258</v>
      </c>
      <c r="E754" s="193">
        <v>6</v>
      </c>
      <c r="F754" s="172"/>
      <c r="G754" s="194"/>
    </row>
    <row r="755" spans="2:7" x14ac:dyDescent="0.25">
      <c r="B755" s="204" t="s">
        <v>796</v>
      </c>
      <c r="C755" s="191" t="s">
        <v>396</v>
      </c>
      <c r="D755" s="192" t="s">
        <v>1258</v>
      </c>
      <c r="E755" s="193">
        <v>6</v>
      </c>
      <c r="F755" s="172"/>
      <c r="G755" s="194"/>
    </row>
    <row r="756" spans="2:7" x14ac:dyDescent="0.25">
      <c r="B756" s="204" t="s">
        <v>796</v>
      </c>
      <c r="C756" s="191" t="s">
        <v>397</v>
      </c>
      <c r="D756" s="192" t="s">
        <v>1258</v>
      </c>
      <c r="E756" s="193">
        <v>1</v>
      </c>
      <c r="F756" s="172"/>
      <c r="G756" s="194"/>
    </row>
    <row r="757" spans="2:7" x14ac:dyDescent="0.25">
      <c r="B757" s="204" t="s">
        <v>796</v>
      </c>
      <c r="C757" s="191" t="s">
        <v>398</v>
      </c>
      <c r="D757" s="192" t="s">
        <v>1258</v>
      </c>
      <c r="E757" s="193">
        <v>1</v>
      </c>
      <c r="F757" s="172"/>
      <c r="G757" s="194"/>
    </row>
    <row r="758" spans="2:7" x14ac:dyDescent="0.25">
      <c r="B758" s="204" t="s">
        <v>796</v>
      </c>
      <c r="C758" s="191" t="s">
        <v>399</v>
      </c>
      <c r="D758" s="192" t="s">
        <v>1258</v>
      </c>
      <c r="E758" s="193">
        <v>5</v>
      </c>
      <c r="F758" s="172"/>
      <c r="G758" s="194"/>
    </row>
    <row r="759" spans="2:7" x14ac:dyDescent="0.25">
      <c r="B759" s="204" t="s">
        <v>796</v>
      </c>
      <c r="C759" s="191" t="s">
        <v>400</v>
      </c>
      <c r="D759" s="192" t="s">
        <v>1258</v>
      </c>
      <c r="E759" s="193">
        <v>3</v>
      </c>
      <c r="F759" s="172"/>
      <c r="G759" s="194"/>
    </row>
    <row r="760" spans="2:7" x14ac:dyDescent="0.25">
      <c r="B760" s="204" t="s">
        <v>796</v>
      </c>
      <c r="C760" s="191" t="s">
        <v>401</v>
      </c>
      <c r="D760" s="192" t="s">
        <v>1259</v>
      </c>
      <c r="E760" s="193">
        <v>1</v>
      </c>
      <c r="F760" s="172"/>
      <c r="G760" s="194"/>
    </row>
    <row r="761" spans="2:7" x14ac:dyDescent="0.25">
      <c r="B761" s="204" t="s">
        <v>796</v>
      </c>
      <c r="C761" s="191" t="s">
        <v>402</v>
      </c>
      <c r="D761" s="192" t="s">
        <v>1258</v>
      </c>
      <c r="E761" s="193">
        <v>3</v>
      </c>
      <c r="F761" s="172"/>
      <c r="G761" s="194"/>
    </row>
    <row r="762" spans="2:7" x14ac:dyDescent="0.25">
      <c r="B762" s="204" t="s">
        <v>796</v>
      </c>
      <c r="C762" s="191" t="s">
        <v>403</v>
      </c>
      <c r="D762" s="192" t="s">
        <v>1258</v>
      </c>
      <c r="E762" s="193">
        <v>3</v>
      </c>
      <c r="F762" s="172"/>
      <c r="G762" s="194"/>
    </row>
    <row r="763" spans="2:7" x14ac:dyDescent="0.25">
      <c r="B763" s="204" t="s">
        <v>796</v>
      </c>
      <c r="C763" s="191" t="s">
        <v>404</v>
      </c>
      <c r="D763" s="192" t="s">
        <v>1258</v>
      </c>
      <c r="E763" s="193">
        <v>2</v>
      </c>
      <c r="F763" s="172"/>
      <c r="G763" s="194"/>
    </row>
    <row r="764" spans="2:7" x14ac:dyDescent="0.25">
      <c r="B764" s="204" t="s">
        <v>796</v>
      </c>
      <c r="C764" s="191" t="s">
        <v>172</v>
      </c>
      <c r="D764" s="192" t="s">
        <v>1258</v>
      </c>
      <c r="E764" s="193">
        <v>1</v>
      </c>
      <c r="F764" s="172"/>
      <c r="G764" s="194"/>
    </row>
    <row r="765" spans="2:7" x14ac:dyDescent="0.25">
      <c r="B765" s="204" t="s">
        <v>796</v>
      </c>
      <c r="C765" s="191" t="s">
        <v>173</v>
      </c>
      <c r="D765" s="192" t="s">
        <v>1258</v>
      </c>
      <c r="E765" s="193">
        <v>1</v>
      </c>
      <c r="F765" s="172"/>
      <c r="G765" s="194"/>
    </row>
    <row r="766" spans="2:7" x14ac:dyDescent="0.25">
      <c r="B766" s="204" t="s">
        <v>796</v>
      </c>
      <c r="C766" s="191" t="s">
        <v>405</v>
      </c>
      <c r="D766" s="192" t="s">
        <v>1258</v>
      </c>
      <c r="E766" s="193">
        <v>11</v>
      </c>
      <c r="F766" s="172"/>
      <c r="G766" s="194"/>
    </row>
    <row r="767" spans="2:7" x14ac:dyDescent="0.25">
      <c r="B767" s="204" t="s">
        <v>796</v>
      </c>
      <c r="C767" s="191" t="s">
        <v>406</v>
      </c>
      <c r="D767" s="192" t="s">
        <v>1258</v>
      </c>
      <c r="E767" s="193">
        <v>3</v>
      </c>
      <c r="F767" s="172"/>
      <c r="G767" s="194"/>
    </row>
    <row r="768" spans="2:7" x14ac:dyDescent="0.25">
      <c r="B768" s="204" t="s">
        <v>796</v>
      </c>
      <c r="C768" s="191" t="s">
        <v>407</v>
      </c>
      <c r="D768" s="192" t="s">
        <v>1258</v>
      </c>
      <c r="E768" s="193">
        <v>3</v>
      </c>
      <c r="F768" s="172"/>
      <c r="G768" s="194"/>
    </row>
    <row r="769" spans="2:7" x14ac:dyDescent="0.25">
      <c r="B769" s="204" t="s">
        <v>796</v>
      </c>
      <c r="C769" s="191" t="s">
        <v>408</v>
      </c>
      <c r="D769" s="192" t="s">
        <v>1258</v>
      </c>
      <c r="E769" s="193">
        <v>4</v>
      </c>
      <c r="F769" s="172"/>
      <c r="G769" s="194"/>
    </row>
    <row r="770" spans="2:7" x14ac:dyDescent="0.25">
      <c r="B770" s="204" t="s">
        <v>796</v>
      </c>
      <c r="C770" s="191" t="s">
        <v>409</v>
      </c>
      <c r="D770" s="192" t="s">
        <v>1258</v>
      </c>
      <c r="E770" s="193">
        <v>10</v>
      </c>
      <c r="F770" s="172"/>
      <c r="G770" s="194"/>
    </row>
    <row r="771" spans="2:7" x14ac:dyDescent="0.25">
      <c r="B771" s="204" t="s">
        <v>796</v>
      </c>
      <c r="C771" s="191" t="s">
        <v>410</v>
      </c>
      <c r="D771" s="192" t="s">
        <v>1259</v>
      </c>
      <c r="E771" s="193">
        <v>7</v>
      </c>
      <c r="F771" s="172"/>
      <c r="G771" s="194"/>
    </row>
    <row r="772" spans="2:7" x14ac:dyDescent="0.25">
      <c r="B772" s="204" t="s">
        <v>796</v>
      </c>
      <c r="C772" s="191" t="s">
        <v>411</v>
      </c>
      <c r="D772" s="192" t="s">
        <v>1258</v>
      </c>
      <c r="E772" s="193">
        <v>9</v>
      </c>
      <c r="F772" s="172"/>
      <c r="G772" s="194"/>
    </row>
    <row r="773" spans="2:7" x14ac:dyDescent="0.25">
      <c r="B773" s="204" t="s">
        <v>796</v>
      </c>
      <c r="C773" s="191" t="s">
        <v>117</v>
      </c>
      <c r="D773" s="192" t="s">
        <v>1258</v>
      </c>
      <c r="E773" s="193">
        <v>11</v>
      </c>
      <c r="F773" s="172"/>
      <c r="G773" s="194"/>
    </row>
    <row r="774" spans="2:7" x14ac:dyDescent="0.25">
      <c r="B774" s="204" t="s">
        <v>796</v>
      </c>
      <c r="C774" s="191" t="s">
        <v>412</v>
      </c>
      <c r="D774" s="192" t="s">
        <v>1258</v>
      </c>
      <c r="E774" s="193">
        <v>17</v>
      </c>
      <c r="F774" s="172"/>
      <c r="G774" s="194"/>
    </row>
    <row r="775" spans="2:7" x14ac:dyDescent="0.25">
      <c r="B775" s="204" t="s">
        <v>796</v>
      </c>
      <c r="C775" s="191" t="s">
        <v>413</v>
      </c>
      <c r="D775" s="192" t="s">
        <v>1258</v>
      </c>
      <c r="E775" s="193">
        <v>10</v>
      </c>
      <c r="F775" s="172"/>
      <c r="G775" s="194"/>
    </row>
    <row r="776" spans="2:7" x14ac:dyDescent="0.25">
      <c r="B776" s="204" t="s">
        <v>796</v>
      </c>
      <c r="C776" s="191" t="s">
        <v>414</v>
      </c>
      <c r="D776" s="192" t="s">
        <v>1258</v>
      </c>
      <c r="E776" s="193">
        <v>11</v>
      </c>
      <c r="F776" s="172"/>
      <c r="G776" s="194"/>
    </row>
    <row r="777" spans="2:7" x14ac:dyDescent="0.25">
      <c r="B777" s="204" t="s">
        <v>796</v>
      </c>
      <c r="C777" s="191" t="s">
        <v>415</v>
      </c>
      <c r="D777" s="192" t="s">
        <v>1258</v>
      </c>
      <c r="E777" s="193">
        <v>5</v>
      </c>
      <c r="F777" s="172"/>
      <c r="G777" s="194"/>
    </row>
    <row r="778" spans="2:7" x14ac:dyDescent="0.25">
      <c r="B778" s="204" t="s">
        <v>796</v>
      </c>
      <c r="C778" s="191" t="s">
        <v>416</v>
      </c>
      <c r="D778" s="192" t="s">
        <v>1258</v>
      </c>
      <c r="E778" s="193">
        <v>3</v>
      </c>
      <c r="F778" s="172"/>
      <c r="G778" s="194"/>
    </row>
    <row r="779" spans="2:7" x14ac:dyDescent="0.25">
      <c r="B779" s="204" t="s">
        <v>796</v>
      </c>
      <c r="C779" s="191" t="s">
        <v>417</v>
      </c>
      <c r="D779" s="192" t="s">
        <v>1259</v>
      </c>
      <c r="E779" s="193">
        <v>1</v>
      </c>
      <c r="F779" s="172"/>
      <c r="G779" s="194"/>
    </row>
    <row r="780" spans="2:7" x14ac:dyDescent="0.25">
      <c r="B780" s="204" t="s">
        <v>796</v>
      </c>
      <c r="C780" s="191" t="s">
        <v>418</v>
      </c>
      <c r="D780" s="192" t="s">
        <v>1258</v>
      </c>
      <c r="E780" s="193">
        <v>4</v>
      </c>
      <c r="F780" s="172"/>
      <c r="G780" s="194"/>
    </row>
    <row r="781" spans="2:7" x14ac:dyDescent="0.25">
      <c r="B781" s="204" t="s">
        <v>796</v>
      </c>
      <c r="C781" s="191" t="s">
        <v>419</v>
      </c>
      <c r="D781" s="192" t="s">
        <v>1258</v>
      </c>
      <c r="E781" s="193">
        <v>14</v>
      </c>
      <c r="F781" s="172"/>
      <c r="G781" s="194"/>
    </row>
    <row r="782" spans="2:7" x14ac:dyDescent="0.25">
      <c r="B782" s="204" t="s">
        <v>796</v>
      </c>
      <c r="C782" s="191" t="s">
        <v>420</v>
      </c>
      <c r="D782" s="192" t="s">
        <v>1258</v>
      </c>
      <c r="E782" s="193">
        <v>3</v>
      </c>
      <c r="F782" s="172"/>
      <c r="G782" s="194"/>
    </row>
    <row r="783" spans="2:7" x14ac:dyDescent="0.25">
      <c r="B783" s="204" t="s">
        <v>796</v>
      </c>
      <c r="C783" s="191" t="s">
        <v>421</v>
      </c>
      <c r="D783" s="192" t="s">
        <v>1259</v>
      </c>
      <c r="E783" s="193">
        <v>4</v>
      </c>
      <c r="F783" s="172"/>
      <c r="G783" s="194"/>
    </row>
    <row r="784" spans="2:7" x14ac:dyDescent="0.25">
      <c r="B784" s="204" t="s">
        <v>796</v>
      </c>
      <c r="C784" s="191" t="s">
        <v>422</v>
      </c>
      <c r="D784" s="192" t="s">
        <v>1259</v>
      </c>
      <c r="E784" s="193">
        <v>16</v>
      </c>
      <c r="F784" s="172"/>
      <c r="G784" s="194"/>
    </row>
    <row r="785" spans="2:11" x14ac:dyDescent="0.25">
      <c r="B785" s="204" t="s">
        <v>796</v>
      </c>
      <c r="C785" s="191" t="s">
        <v>423</v>
      </c>
      <c r="D785" s="192" t="s">
        <v>1258</v>
      </c>
      <c r="E785" s="193">
        <v>8</v>
      </c>
      <c r="F785" s="172"/>
      <c r="G785" s="194"/>
    </row>
    <row r="786" spans="2:11" x14ac:dyDescent="0.25">
      <c r="B786" s="204" t="s">
        <v>796</v>
      </c>
      <c r="C786" s="191" t="s">
        <v>424</v>
      </c>
      <c r="D786" s="192" t="s">
        <v>1258</v>
      </c>
      <c r="E786" s="193">
        <v>9</v>
      </c>
      <c r="F786" s="172"/>
      <c r="G786" s="194"/>
    </row>
    <row r="787" spans="2:11" x14ac:dyDescent="0.25">
      <c r="B787" s="204" t="s">
        <v>796</v>
      </c>
      <c r="C787" s="191" t="s">
        <v>425</v>
      </c>
      <c r="D787" s="192" t="s">
        <v>1258</v>
      </c>
      <c r="E787" s="193">
        <v>9</v>
      </c>
      <c r="F787" s="172"/>
      <c r="G787" s="194"/>
    </row>
    <row r="788" spans="2:11" x14ac:dyDescent="0.25">
      <c r="B788" s="205" t="s">
        <v>748</v>
      </c>
      <c r="C788" s="140" t="s">
        <v>934</v>
      </c>
      <c r="D788" s="72" t="s">
        <v>1258</v>
      </c>
      <c r="E788" s="195">
        <v>1</v>
      </c>
      <c r="F788" s="175" t="s">
        <v>1289</v>
      </c>
      <c r="G788" s="196"/>
      <c r="I788" s="265" t="s">
        <v>945</v>
      </c>
      <c r="J788" s="267"/>
      <c r="K788" s="73" t="s">
        <v>120</v>
      </c>
    </row>
    <row r="789" spans="2:11" x14ac:dyDescent="0.25">
      <c r="B789" s="205" t="s">
        <v>748</v>
      </c>
      <c r="C789" s="140" t="s">
        <v>935</v>
      </c>
      <c r="D789" s="72" t="s">
        <v>1259</v>
      </c>
      <c r="E789" s="195">
        <v>5</v>
      </c>
      <c r="F789" s="175" t="s">
        <v>1289</v>
      </c>
      <c r="G789" s="196"/>
      <c r="I789" s="42" t="s">
        <v>122</v>
      </c>
      <c r="J789" s="74">
        <v>11</v>
      </c>
      <c r="K789" s="75">
        <v>0.91</v>
      </c>
    </row>
    <row r="790" spans="2:11" x14ac:dyDescent="0.25">
      <c r="B790" s="205" t="s">
        <v>748</v>
      </c>
      <c r="C790" s="140" t="s">
        <v>936</v>
      </c>
      <c r="D790" s="72" t="s">
        <v>1258</v>
      </c>
      <c r="E790" s="195">
        <v>58</v>
      </c>
      <c r="F790" s="175" t="s">
        <v>1289</v>
      </c>
      <c r="G790" s="196"/>
      <c r="I790" s="76" t="s">
        <v>124</v>
      </c>
      <c r="J790" s="44">
        <v>1</v>
      </c>
      <c r="K790" s="63">
        <v>0.09</v>
      </c>
    </row>
    <row r="791" spans="2:11" x14ac:dyDescent="0.25">
      <c r="B791" s="205" t="s">
        <v>748</v>
      </c>
      <c r="C791" s="140" t="s">
        <v>937</v>
      </c>
      <c r="D791" s="72" t="s">
        <v>1258</v>
      </c>
      <c r="E791" s="195">
        <v>4</v>
      </c>
      <c r="F791" s="175" t="s">
        <v>1289</v>
      </c>
      <c r="G791" s="196"/>
      <c r="I791" s="46" t="s">
        <v>31</v>
      </c>
      <c r="J791" s="47">
        <f>SUM(J789:J790)</f>
        <v>12</v>
      </c>
      <c r="K791" s="48">
        <v>1</v>
      </c>
    </row>
    <row r="792" spans="2:11" x14ac:dyDescent="0.25">
      <c r="B792" s="205" t="s">
        <v>748</v>
      </c>
      <c r="C792" s="140" t="s">
        <v>938</v>
      </c>
      <c r="D792" s="72" t="s">
        <v>1258</v>
      </c>
      <c r="E792" s="195">
        <v>5</v>
      </c>
      <c r="F792" s="175" t="s">
        <v>1289</v>
      </c>
      <c r="G792" s="196"/>
    </row>
    <row r="793" spans="2:11" x14ac:dyDescent="0.25">
      <c r="B793" s="205" t="s">
        <v>748</v>
      </c>
      <c r="C793" s="140" t="s">
        <v>939</v>
      </c>
      <c r="D793" s="72" t="s">
        <v>1258</v>
      </c>
      <c r="E793" s="195">
        <v>6</v>
      </c>
      <c r="F793" s="175" t="s">
        <v>1289</v>
      </c>
      <c r="G793" s="196"/>
    </row>
    <row r="794" spans="2:11" x14ac:dyDescent="0.25">
      <c r="B794" s="205" t="s">
        <v>748</v>
      </c>
      <c r="C794" s="140" t="s">
        <v>940</v>
      </c>
      <c r="D794" s="72" t="s">
        <v>1258</v>
      </c>
      <c r="E794" s="195">
        <v>16</v>
      </c>
      <c r="F794" s="175" t="s">
        <v>1289</v>
      </c>
      <c r="G794" s="196"/>
      <c r="I794" t="s">
        <v>1266</v>
      </c>
      <c r="J794" t="s">
        <v>1271</v>
      </c>
    </row>
    <row r="795" spans="2:11" x14ac:dyDescent="0.25">
      <c r="B795" s="205" t="s">
        <v>748</v>
      </c>
      <c r="C795" s="140" t="s">
        <v>941</v>
      </c>
      <c r="D795" s="72" t="s">
        <v>1258</v>
      </c>
      <c r="E795" s="195">
        <v>43</v>
      </c>
      <c r="F795" s="175" t="s">
        <v>1289</v>
      </c>
      <c r="G795" s="196"/>
      <c r="I795" s="130" t="s">
        <v>1258</v>
      </c>
      <c r="J795">
        <v>140</v>
      </c>
    </row>
    <row r="796" spans="2:11" x14ac:dyDescent="0.25">
      <c r="B796" s="205" t="s">
        <v>748</v>
      </c>
      <c r="C796" s="140" t="s">
        <v>942</v>
      </c>
      <c r="D796" s="72" t="s">
        <v>1258</v>
      </c>
      <c r="E796" s="195">
        <v>7</v>
      </c>
      <c r="F796" s="175" t="s">
        <v>1288</v>
      </c>
      <c r="G796" s="197"/>
      <c r="I796" s="130" t="s">
        <v>1259</v>
      </c>
      <c r="J796">
        <v>7</v>
      </c>
    </row>
    <row r="797" spans="2:11" x14ac:dyDescent="0.25">
      <c r="B797" s="205" t="s">
        <v>748</v>
      </c>
      <c r="C797" s="140" t="s">
        <v>943</v>
      </c>
      <c r="D797" s="72" t="s">
        <v>1258</v>
      </c>
      <c r="E797" s="195">
        <v>1</v>
      </c>
      <c r="F797" s="175" t="s">
        <v>1289</v>
      </c>
      <c r="G797" s="196"/>
      <c r="I797" s="130" t="s">
        <v>1265</v>
      </c>
      <c r="J797">
        <v>147</v>
      </c>
    </row>
    <row r="798" spans="2:11" x14ac:dyDescent="0.25">
      <c r="B798" s="205" t="s">
        <v>748</v>
      </c>
      <c r="C798" s="140" t="s">
        <v>944</v>
      </c>
      <c r="D798" s="72" t="s">
        <v>1259</v>
      </c>
      <c r="E798" s="195">
        <v>2</v>
      </c>
      <c r="F798" s="175" t="s">
        <v>1289</v>
      </c>
      <c r="G798" s="196"/>
    </row>
    <row r="799" spans="2:11" x14ac:dyDescent="0.25">
      <c r="B799" s="204" t="s">
        <v>749</v>
      </c>
      <c r="C799" s="178" t="s">
        <v>802</v>
      </c>
      <c r="D799" s="179" t="s">
        <v>1258</v>
      </c>
      <c r="E799" s="193">
        <v>20</v>
      </c>
      <c r="F799" s="172" t="s">
        <v>1289</v>
      </c>
      <c r="G799" s="194"/>
      <c r="I799" s="263" t="s">
        <v>806</v>
      </c>
      <c r="J799" s="264"/>
      <c r="K799" s="41" t="s">
        <v>23</v>
      </c>
    </row>
    <row r="800" spans="2:11" x14ac:dyDescent="0.25">
      <c r="B800" s="204" t="s">
        <v>749</v>
      </c>
      <c r="C800" s="178" t="s">
        <v>803</v>
      </c>
      <c r="D800" s="179" t="s">
        <v>1258</v>
      </c>
      <c r="E800" s="193">
        <v>1</v>
      </c>
      <c r="F800" s="172" t="s">
        <v>1289</v>
      </c>
      <c r="G800" s="194"/>
      <c r="I800" s="42" t="s">
        <v>25</v>
      </c>
      <c r="J800" s="43">
        <v>3</v>
      </c>
      <c r="K800" s="31">
        <v>0.75</v>
      </c>
    </row>
    <row r="801" spans="2:11" x14ac:dyDescent="0.25">
      <c r="B801" s="204" t="s">
        <v>749</v>
      </c>
      <c r="C801" s="178" t="s">
        <v>804</v>
      </c>
      <c r="D801" s="179" t="s">
        <v>1258</v>
      </c>
      <c r="E801" s="193">
        <v>6</v>
      </c>
      <c r="F801" s="172" t="s">
        <v>1289</v>
      </c>
      <c r="G801" s="194"/>
      <c r="I801" s="40" t="s">
        <v>27</v>
      </c>
      <c r="J801" s="44">
        <v>0</v>
      </c>
      <c r="K801" s="32">
        <v>0</v>
      </c>
    </row>
    <row r="802" spans="2:11" x14ac:dyDescent="0.25">
      <c r="B802" s="204" t="s">
        <v>749</v>
      </c>
      <c r="C802" s="178" t="s">
        <v>805</v>
      </c>
      <c r="D802" s="179"/>
      <c r="E802" s="193">
        <v>3</v>
      </c>
      <c r="F802" s="172"/>
      <c r="G802" s="194"/>
      <c r="I802" s="46" t="s">
        <v>31</v>
      </c>
      <c r="J802" s="47">
        <f>SUM(J800:J801)</f>
        <v>3</v>
      </c>
      <c r="K802" s="34">
        <v>1</v>
      </c>
    </row>
    <row r="803" spans="2:11" x14ac:dyDescent="0.25">
      <c r="B803" s="203" t="s">
        <v>16</v>
      </c>
      <c r="C803" s="137" t="s">
        <v>430</v>
      </c>
      <c r="D803" s="52" t="s">
        <v>1258</v>
      </c>
      <c r="E803" s="143">
        <v>111</v>
      </c>
      <c r="F803" s="175" t="s">
        <v>1288</v>
      </c>
      <c r="G803" s="180"/>
      <c r="I803" s="265" t="s">
        <v>431</v>
      </c>
      <c r="J803" s="267"/>
      <c r="K803" s="73" t="s">
        <v>120</v>
      </c>
    </row>
    <row r="804" spans="2:11" x14ac:dyDescent="0.25">
      <c r="B804" s="203" t="s">
        <v>16</v>
      </c>
      <c r="C804" s="138" t="s">
        <v>432</v>
      </c>
      <c r="D804" s="2" t="s">
        <v>1258</v>
      </c>
      <c r="E804" s="45">
        <v>264</v>
      </c>
      <c r="F804" s="175" t="s">
        <v>1288</v>
      </c>
      <c r="G804" s="154"/>
      <c r="I804" s="42" t="s">
        <v>122</v>
      </c>
      <c r="J804" s="43">
        <v>0</v>
      </c>
      <c r="K804" s="75">
        <v>0</v>
      </c>
    </row>
    <row r="805" spans="2:11" x14ac:dyDescent="0.25">
      <c r="B805" s="203" t="s">
        <v>16</v>
      </c>
      <c r="C805" s="138" t="s">
        <v>433</v>
      </c>
      <c r="D805" s="2" t="s">
        <v>1258</v>
      </c>
      <c r="E805" s="45">
        <v>381</v>
      </c>
      <c r="F805" s="175" t="s">
        <v>1288</v>
      </c>
      <c r="G805" s="154"/>
      <c r="I805" s="40" t="s">
        <v>124</v>
      </c>
      <c r="J805" s="44">
        <v>4</v>
      </c>
      <c r="K805" s="63">
        <v>1</v>
      </c>
    </row>
    <row r="806" spans="2:11" x14ac:dyDescent="0.25">
      <c r="B806" s="203" t="s">
        <v>16</v>
      </c>
      <c r="C806" s="138" t="s">
        <v>434</v>
      </c>
      <c r="D806" s="2" t="s">
        <v>1259</v>
      </c>
      <c r="E806" s="45">
        <v>68</v>
      </c>
      <c r="F806" s="175" t="s">
        <v>1288</v>
      </c>
      <c r="G806" s="154"/>
      <c r="I806" s="46" t="s">
        <v>31</v>
      </c>
      <c r="J806" s="47">
        <f>SUM(J804:J805)</f>
        <v>4</v>
      </c>
      <c r="K806" s="48">
        <v>1</v>
      </c>
    </row>
    <row r="807" spans="2:11" x14ac:dyDescent="0.25">
      <c r="B807" s="204" t="s">
        <v>1284</v>
      </c>
      <c r="C807" s="187" t="s">
        <v>427</v>
      </c>
      <c r="D807" s="188" t="s">
        <v>1258</v>
      </c>
      <c r="E807" s="189">
        <v>352</v>
      </c>
      <c r="F807" s="172" t="s">
        <v>1288</v>
      </c>
      <c r="G807" s="190"/>
      <c r="I807" s="265" t="s">
        <v>426</v>
      </c>
      <c r="J807" s="267"/>
      <c r="K807" s="73" t="s">
        <v>120</v>
      </c>
    </row>
    <row r="808" spans="2:11" x14ac:dyDescent="0.25">
      <c r="B808" s="204" t="s">
        <v>1284</v>
      </c>
      <c r="C808" s="191" t="s">
        <v>428</v>
      </c>
      <c r="D808" s="192" t="s">
        <v>1258</v>
      </c>
      <c r="E808" s="193">
        <v>396</v>
      </c>
      <c r="F808" s="172" t="s">
        <v>1289</v>
      </c>
      <c r="G808" s="194"/>
      <c r="I808" s="42" t="s">
        <v>122</v>
      </c>
      <c r="J808" s="74">
        <v>2</v>
      </c>
      <c r="K808" s="75">
        <v>0.67</v>
      </c>
    </row>
    <row r="809" spans="2:11" x14ac:dyDescent="0.25">
      <c r="B809" s="204" t="s">
        <v>1284</v>
      </c>
      <c r="C809" s="178" t="s">
        <v>429</v>
      </c>
      <c r="D809" s="179" t="s">
        <v>1258</v>
      </c>
      <c r="E809" s="171">
        <v>132</v>
      </c>
      <c r="F809" s="172" t="s">
        <v>1289</v>
      </c>
      <c r="G809" s="150"/>
      <c r="I809" s="76" t="s">
        <v>124</v>
      </c>
      <c r="J809" s="44">
        <v>1</v>
      </c>
      <c r="K809" s="63">
        <v>0.33</v>
      </c>
    </row>
    <row r="810" spans="2:11" x14ac:dyDescent="0.25">
      <c r="B810" s="203" t="s">
        <v>435</v>
      </c>
      <c r="C810" s="141" t="s">
        <v>436</v>
      </c>
      <c r="D810" s="59" t="s">
        <v>1258</v>
      </c>
      <c r="E810" s="65">
        <v>2</v>
      </c>
      <c r="F810" s="152"/>
      <c r="G810" s="160"/>
      <c r="I810" s="46" t="s">
        <v>31</v>
      </c>
      <c r="J810" s="47">
        <f>SUM(J808:J809)</f>
        <v>3</v>
      </c>
      <c r="K810" s="48">
        <v>1</v>
      </c>
    </row>
    <row r="811" spans="2:11" x14ac:dyDescent="0.25">
      <c r="B811" s="203" t="s">
        <v>435</v>
      </c>
      <c r="C811" s="141" t="s">
        <v>437</v>
      </c>
      <c r="D811" s="59" t="s">
        <v>1260</v>
      </c>
      <c r="E811" s="65">
        <v>10</v>
      </c>
      <c r="F811" s="152"/>
      <c r="G811" s="160"/>
    </row>
    <row r="812" spans="2:11" x14ac:dyDescent="0.25">
      <c r="B812" s="203" t="s">
        <v>435</v>
      </c>
      <c r="C812" s="141" t="s">
        <v>439</v>
      </c>
      <c r="D812" s="59" t="s">
        <v>1258</v>
      </c>
      <c r="E812" s="65">
        <v>162</v>
      </c>
      <c r="F812" s="152"/>
      <c r="G812" s="160"/>
      <c r="I812" s="265" t="s">
        <v>438</v>
      </c>
      <c r="J812" s="267"/>
      <c r="K812" s="73" t="s">
        <v>120</v>
      </c>
    </row>
    <row r="813" spans="2:11" x14ac:dyDescent="0.25">
      <c r="B813" s="203" t="s">
        <v>435</v>
      </c>
      <c r="C813" s="141" t="s">
        <v>440</v>
      </c>
      <c r="D813" s="59" t="s">
        <v>1258</v>
      </c>
      <c r="E813" s="65">
        <v>98</v>
      </c>
      <c r="F813" s="152"/>
      <c r="G813" s="160"/>
      <c r="I813" s="42" t="s">
        <v>122</v>
      </c>
      <c r="J813" s="43" t="s">
        <v>288</v>
      </c>
      <c r="K813" s="77" t="s">
        <v>288</v>
      </c>
    </row>
    <row r="814" spans="2:11" x14ac:dyDescent="0.25">
      <c r="B814" s="203" t="s">
        <v>435</v>
      </c>
      <c r="C814" s="141" t="s">
        <v>441</v>
      </c>
      <c r="D814" s="59" t="s">
        <v>1259</v>
      </c>
      <c r="E814" s="65">
        <v>32</v>
      </c>
      <c r="F814" s="152"/>
      <c r="G814" s="160"/>
      <c r="I814" s="40" t="s">
        <v>124</v>
      </c>
      <c r="J814" s="44" t="s">
        <v>288</v>
      </c>
      <c r="K814" s="40" t="s">
        <v>288</v>
      </c>
    </row>
    <row r="815" spans="2:11" x14ac:dyDescent="0.25">
      <c r="B815" s="203" t="s">
        <v>435</v>
      </c>
      <c r="C815" s="141" t="s">
        <v>442</v>
      </c>
      <c r="D815" s="59" t="s">
        <v>1260</v>
      </c>
      <c r="E815" s="65">
        <v>29</v>
      </c>
      <c r="F815" s="152"/>
      <c r="G815" s="160"/>
      <c r="I815" s="46" t="s">
        <v>31</v>
      </c>
      <c r="J815" s="47" t="s">
        <v>288</v>
      </c>
      <c r="K815" s="46" t="s">
        <v>288</v>
      </c>
    </row>
    <row r="816" spans="2:11" x14ac:dyDescent="0.25">
      <c r="B816" s="203" t="s">
        <v>435</v>
      </c>
      <c r="C816" s="141" t="s">
        <v>443</v>
      </c>
      <c r="D816" s="59" t="s">
        <v>1258</v>
      </c>
      <c r="E816" s="65">
        <v>64</v>
      </c>
      <c r="F816" s="152"/>
      <c r="G816" s="160"/>
    </row>
    <row r="817" spans="2:10" x14ac:dyDescent="0.25">
      <c r="B817" s="203" t="s">
        <v>435</v>
      </c>
      <c r="C817" s="141" t="s">
        <v>444</v>
      </c>
      <c r="D817" s="59" t="s">
        <v>1258</v>
      </c>
      <c r="E817" s="65">
        <v>57</v>
      </c>
      <c r="F817" s="152"/>
      <c r="G817" s="160"/>
    </row>
    <row r="818" spans="2:10" x14ac:dyDescent="0.25">
      <c r="B818" s="203" t="s">
        <v>435</v>
      </c>
      <c r="C818" s="141" t="s">
        <v>445</v>
      </c>
      <c r="D818" s="59" t="s">
        <v>1258</v>
      </c>
      <c r="E818" s="65">
        <v>27</v>
      </c>
      <c r="F818" s="152"/>
      <c r="G818" s="160"/>
    </row>
    <row r="819" spans="2:10" x14ac:dyDescent="0.25">
      <c r="B819" s="203" t="s">
        <v>435</v>
      </c>
      <c r="C819" s="141" t="s">
        <v>446</v>
      </c>
      <c r="D819" s="59" t="s">
        <v>1258</v>
      </c>
      <c r="E819" s="65">
        <v>44</v>
      </c>
      <c r="F819" s="152"/>
      <c r="G819" s="160"/>
      <c r="I819" t="s">
        <v>1266</v>
      </c>
      <c r="J819" t="s">
        <v>1270</v>
      </c>
    </row>
    <row r="820" spans="2:10" x14ac:dyDescent="0.25">
      <c r="B820" s="203" t="s">
        <v>435</v>
      </c>
      <c r="C820" s="141" t="s">
        <v>447</v>
      </c>
      <c r="D820" s="59" t="s">
        <v>1258</v>
      </c>
      <c r="E820" s="65">
        <v>83</v>
      </c>
      <c r="F820" s="152"/>
      <c r="G820" s="160"/>
      <c r="I820" s="130" t="s">
        <v>1258</v>
      </c>
      <c r="J820">
        <v>4457</v>
      </c>
    </row>
    <row r="821" spans="2:10" x14ac:dyDescent="0.25">
      <c r="B821" s="203" t="s">
        <v>435</v>
      </c>
      <c r="C821" s="141" t="s">
        <v>448</v>
      </c>
      <c r="D821" s="59" t="s">
        <v>1258</v>
      </c>
      <c r="E821" s="65">
        <v>4</v>
      </c>
      <c r="F821" s="152"/>
      <c r="G821" s="160"/>
      <c r="I821" s="130" t="s">
        <v>1259</v>
      </c>
      <c r="J821">
        <v>783</v>
      </c>
    </row>
    <row r="822" spans="2:10" x14ac:dyDescent="0.25">
      <c r="B822" s="203" t="s">
        <v>435</v>
      </c>
      <c r="C822" s="141" t="s">
        <v>449</v>
      </c>
      <c r="D822" s="59" t="s">
        <v>1258</v>
      </c>
      <c r="E822" s="65">
        <v>32</v>
      </c>
      <c r="F822" s="152"/>
      <c r="G822" s="160"/>
      <c r="I822" s="130" t="s">
        <v>1260</v>
      </c>
      <c r="J822">
        <v>323</v>
      </c>
    </row>
    <row r="823" spans="2:10" x14ac:dyDescent="0.25">
      <c r="B823" s="203" t="s">
        <v>435</v>
      </c>
      <c r="C823" s="141" t="s">
        <v>450</v>
      </c>
      <c r="D823" s="59" t="s">
        <v>1260</v>
      </c>
      <c r="E823" s="65">
        <v>12</v>
      </c>
      <c r="F823" s="152"/>
      <c r="G823" s="160"/>
      <c r="I823" s="130" t="s">
        <v>1265</v>
      </c>
      <c r="J823">
        <v>5563</v>
      </c>
    </row>
    <row r="824" spans="2:10" x14ac:dyDescent="0.25">
      <c r="B824" s="203" t="s">
        <v>435</v>
      </c>
      <c r="C824" s="141" t="s">
        <v>451</v>
      </c>
      <c r="D824" s="59" t="s">
        <v>1260</v>
      </c>
      <c r="E824" s="65">
        <v>34</v>
      </c>
      <c r="F824" s="152"/>
      <c r="G824" s="160"/>
    </row>
    <row r="825" spans="2:10" x14ac:dyDescent="0.25">
      <c r="B825" s="203" t="s">
        <v>435</v>
      </c>
      <c r="C825" s="141" t="s">
        <v>452</v>
      </c>
      <c r="D825" s="59" t="s">
        <v>1258</v>
      </c>
      <c r="E825" s="65">
        <v>179</v>
      </c>
      <c r="F825" s="152"/>
      <c r="G825" s="160"/>
    </row>
    <row r="826" spans="2:10" x14ac:dyDescent="0.25">
      <c r="B826" s="203" t="s">
        <v>435</v>
      </c>
      <c r="C826" s="141" t="s">
        <v>453</v>
      </c>
      <c r="D826" s="59" t="s">
        <v>1258</v>
      </c>
      <c r="E826" s="65">
        <v>37</v>
      </c>
      <c r="F826" s="152"/>
      <c r="G826" s="160"/>
    </row>
    <row r="827" spans="2:10" x14ac:dyDescent="0.25">
      <c r="B827" s="203" t="s">
        <v>435</v>
      </c>
      <c r="C827" s="141" t="s">
        <v>454</v>
      </c>
      <c r="D827" s="59" t="s">
        <v>1258</v>
      </c>
      <c r="E827" s="65">
        <v>8</v>
      </c>
      <c r="F827" s="152"/>
      <c r="G827" s="160"/>
    </row>
    <row r="828" spans="2:10" x14ac:dyDescent="0.25">
      <c r="B828" s="203" t="s">
        <v>435</v>
      </c>
      <c r="C828" s="141" t="s">
        <v>455</v>
      </c>
      <c r="D828" s="59" t="s">
        <v>1258</v>
      </c>
      <c r="E828" s="65">
        <v>135</v>
      </c>
      <c r="F828" s="152"/>
      <c r="G828" s="160"/>
    </row>
    <row r="829" spans="2:10" x14ac:dyDescent="0.25">
      <c r="B829" s="203" t="s">
        <v>435</v>
      </c>
      <c r="C829" s="141" t="s">
        <v>456</v>
      </c>
      <c r="D829" s="59" t="s">
        <v>1260</v>
      </c>
      <c r="E829" s="65">
        <v>22</v>
      </c>
      <c r="F829" s="152"/>
      <c r="G829" s="160"/>
    </row>
    <row r="830" spans="2:10" x14ac:dyDescent="0.25">
      <c r="B830" s="203" t="s">
        <v>435</v>
      </c>
      <c r="C830" s="141" t="s">
        <v>457</v>
      </c>
      <c r="D830" s="59" t="s">
        <v>1258</v>
      </c>
      <c r="E830" s="65">
        <v>79</v>
      </c>
      <c r="F830" s="152"/>
      <c r="G830" s="160"/>
    </row>
    <row r="831" spans="2:10" x14ac:dyDescent="0.25">
      <c r="B831" s="203" t="s">
        <v>435</v>
      </c>
      <c r="C831" s="141" t="s">
        <v>458</v>
      </c>
      <c r="D831" s="59" t="s">
        <v>1258</v>
      </c>
      <c r="E831" s="65">
        <v>156</v>
      </c>
      <c r="F831" s="152"/>
      <c r="G831" s="160"/>
    </row>
    <row r="832" spans="2:10" x14ac:dyDescent="0.25">
      <c r="B832" s="203" t="s">
        <v>435</v>
      </c>
      <c r="C832" s="141" t="s">
        <v>459</v>
      </c>
      <c r="D832" s="59" t="s">
        <v>1258</v>
      </c>
      <c r="E832" s="65">
        <v>52</v>
      </c>
      <c r="F832" s="152"/>
      <c r="G832" s="160"/>
    </row>
    <row r="833" spans="2:7" x14ac:dyDescent="0.25">
      <c r="B833" s="203" t="s">
        <v>435</v>
      </c>
      <c r="C833" s="141" t="s">
        <v>460</v>
      </c>
      <c r="D833" s="59" t="s">
        <v>1258</v>
      </c>
      <c r="E833" s="65">
        <v>264</v>
      </c>
      <c r="F833" s="152"/>
      <c r="G833" s="160"/>
    </row>
    <row r="834" spans="2:7" x14ac:dyDescent="0.25">
      <c r="B834" s="203" t="s">
        <v>435</v>
      </c>
      <c r="C834" s="141" t="s">
        <v>461</v>
      </c>
      <c r="D834" s="59" t="s">
        <v>1258</v>
      </c>
      <c r="E834" s="65">
        <v>28</v>
      </c>
      <c r="F834" s="152"/>
      <c r="G834" s="160"/>
    </row>
    <row r="835" spans="2:7" x14ac:dyDescent="0.25">
      <c r="B835" s="203" t="s">
        <v>435</v>
      </c>
      <c r="C835" s="141" t="s">
        <v>462</v>
      </c>
      <c r="D835" s="59" t="s">
        <v>1258</v>
      </c>
      <c r="E835" s="65">
        <v>86</v>
      </c>
      <c r="F835" s="152"/>
      <c r="G835" s="160"/>
    </row>
    <row r="836" spans="2:7" x14ac:dyDescent="0.25">
      <c r="B836" s="203" t="s">
        <v>435</v>
      </c>
      <c r="C836" s="141" t="s">
        <v>463</v>
      </c>
      <c r="D836" s="59" t="s">
        <v>1260</v>
      </c>
      <c r="E836" s="65">
        <v>27</v>
      </c>
      <c r="F836" s="152"/>
      <c r="G836" s="160"/>
    </row>
    <row r="837" spans="2:7" x14ac:dyDescent="0.25">
      <c r="B837" s="203" t="s">
        <v>435</v>
      </c>
      <c r="C837" s="141" t="s">
        <v>464</v>
      </c>
      <c r="D837" s="59" t="s">
        <v>1258</v>
      </c>
      <c r="E837" s="65">
        <v>94</v>
      </c>
      <c r="F837" s="152"/>
      <c r="G837" s="160"/>
    </row>
    <row r="838" spans="2:7" x14ac:dyDescent="0.25">
      <c r="B838" s="203" t="s">
        <v>435</v>
      </c>
      <c r="C838" s="141" t="s">
        <v>465</v>
      </c>
      <c r="D838" s="59" t="s">
        <v>1258</v>
      </c>
      <c r="E838" s="65">
        <v>204</v>
      </c>
      <c r="F838" s="152"/>
      <c r="G838" s="160"/>
    </row>
    <row r="839" spans="2:7" x14ac:dyDescent="0.25">
      <c r="B839" s="203" t="s">
        <v>435</v>
      </c>
      <c r="C839" s="141" t="s">
        <v>466</v>
      </c>
      <c r="D839" s="59" t="s">
        <v>1258</v>
      </c>
      <c r="E839" s="65">
        <v>51</v>
      </c>
      <c r="F839" s="152"/>
      <c r="G839" s="160"/>
    </row>
    <row r="840" spans="2:7" x14ac:dyDescent="0.25">
      <c r="B840" s="203" t="s">
        <v>435</v>
      </c>
      <c r="C840" s="141" t="s">
        <v>467</v>
      </c>
      <c r="D840" s="59" t="s">
        <v>1258</v>
      </c>
      <c r="E840" s="65">
        <v>15</v>
      </c>
      <c r="F840" s="152"/>
      <c r="G840" s="160"/>
    </row>
    <row r="841" spans="2:7" x14ac:dyDescent="0.25">
      <c r="B841" s="203" t="s">
        <v>435</v>
      </c>
      <c r="C841" s="141" t="s">
        <v>468</v>
      </c>
      <c r="D841" s="59" t="s">
        <v>1259</v>
      </c>
      <c r="E841" s="65">
        <v>34</v>
      </c>
      <c r="F841" s="152"/>
      <c r="G841" s="160"/>
    </row>
    <row r="842" spans="2:7" x14ac:dyDescent="0.25">
      <c r="B842" s="203" t="s">
        <v>435</v>
      </c>
      <c r="C842" s="141" t="s">
        <v>469</v>
      </c>
      <c r="D842" s="59" t="s">
        <v>1258</v>
      </c>
      <c r="E842" s="65">
        <v>111</v>
      </c>
      <c r="F842" s="152"/>
      <c r="G842" s="160"/>
    </row>
    <row r="843" spans="2:7" x14ac:dyDescent="0.25">
      <c r="B843" s="203" t="s">
        <v>435</v>
      </c>
      <c r="C843" s="141" t="s">
        <v>470</v>
      </c>
      <c r="D843" s="59" t="s">
        <v>1259</v>
      </c>
      <c r="E843" s="65">
        <v>24</v>
      </c>
      <c r="F843" s="152"/>
      <c r="G843" s="160"/>
    </row>
    <row r="844" spans="2:7" x14ac:dyDescent="0.25">
      <c r="B844" s="203" t="s">
        <v>435</v>
      </c>
      <c r="C844" s="141" t="s">
        <v>471</v>
      </c>
      <c r="D844" s="59" t="s">
        <v>1259</v>
      </c>
      <c r="E844" s="65">
        <v>99</v>
      </c>
      <c r="F844" s="152"/>
      <c r="G844" s="160"/>
    </row>
    <row r="845" spans="2:7" x14ac:dyDescent="0.25">
      <c r="B845" s="203" t="s">
        <v>435</v>
      </c>
      <c r="C845" s="141" t="s">
        <v>472</v>
      </c>
      <c r="D845" s="59" t="s">
        <v>1259</v>
      </c>
      <c r="E845" s="65">
        <v>147</v>
      </c>
      <c r="F845" s="152"/>
      <c r="G845" s="160"/>
    </row>
    <row r="846" spans="2:7" x14ac:dyDescent="0.25">
      <c r="B846" s="203" t="s">
        <v>435</v>
      </c>
      <c r="C846" s="141" t="s">
        <v>473</v>
      </c>
      <c r="D846" s="59" t="s">
        <v>1258</v>
      </c>
      <c r="E846" s="65">
        <v>15</v>
      </c>
      <c r="F846" s="152"/>
      <c r="G846" s="160"/>
    </row>
    <row r="847" spans="2:7" x14ac:dyDescent="0.25">
      <c r="B847" s="203" t="s">
        <v>435</v>
      </c>
      <c r="C847" s="141" t="s">
        <v>474</v>
      </c>
      <c r="D847" s="59" t="s">
        <v>1259</v>
      </c>
      <c r="E847" s="65">
        <v>7</v>
      </c>
      <c r="F847" s="152"/>
      <c r="G847" s="160"/>
    </row>
    <row r="848" spans="2:7" x14ac:dyDescent="0.25">
      <c r="B848" s="203" t="s">
        <v>435</v>
      </c>
      <c r="C848" s="141" t="s">
        <v>475</v>
      </c>
      <c r="D848" s="59" t="s">
        <v>1258</v>
      </c>
      <c r="E848" s="65">
        <v>174</v>
      </c>
      <c r="F848" s="152"/>
      <c r="G848" s="160"/>
    </row>
    <row r="849" spans="2:7" x14ac:dyDescent="0.25">
      <c r="B849" s="203" t="s">
        <v>435</v>
      </c>
      <c r="C849" s="141" t="s">
        <v>476</v>
      </c>
      <c r="D849" s="59" t="s">
        <v>1258</v>
      </c>
      <c r="E849" s="65">
        <v>96</v>
      </c>
      <c r="F849" s="152"/>
      <c r="G849" s="160"/>
    </row>
    <row r="850" spans="2:7" x14ac:dyDescent="0.25">
      <c r="B850" s="203" t="s">
        <v>435</v>
      </c>
      <c r="C850" s="141" t="s">
        <v>477</v>
      </c>
      <c r="D850" s="59" t="s">
        <v>1258</v>
      </c>
      <c r="E850" s="65">
        <v>114</v>
      </c>
      <c r="F850" s="152"/>
      <c r="G850" s="160"/>
    </row>
    <row r="851" spans="2:7" x14ac:dyDescent="0.25">
      <c r="B851" s="203" t="s">
        <v>435</v>
      </c>
      <c r="C851" s="141" t="s">
        <v>478</v>
      </c>
      <c r="D851" s="59" t="s">
        <v>1258</v>
      </c>
      <c r="E851" s="65">
        <v>65</v>
      </c>
      <c r="F851" s="152"/>
      <c r="G851" s="160"/>
    </row>
    <row r="852" spans="2:7" x14ac:dyDescent="0.25">
      <c r="B852" s="203" t="s">
        <v>435</v>
      </c>
      <c r="C852" s="141" t="s">
        <v>479</v>
      </c>
      <c r="D852" s="59" t="s">
        <v>1259</v>
      </c>
      <c r="E852" s="65">
        <v>65</v>
      </c>
      <c r="F852" s="152"/>
      <c r="G852" s="160"/>
    </row>
    <row r="853" spans="2:7" x14ac:dyDescent="0.25">
      <c r="B853" s="203" t="s">
        <v>435</v>
      </c>
      <c r="C853" s="141" t="s">
        <v>480</v>
      </c>
      <c r="D853" s="59" t="s">
        <v>1258</v>
      </c>
      <c r="E853" s="65">
        <v>30</v>
      </c>
      <c r="F853" s="152"/>
      <c r="G853" s="160"/>
    </row>
    <row r="854" spans="2:7" x14ac:dyDescent="0.25">
      <c r="B854" s="203" t="s">
        <v>435</v>
      </c>
      <c r="C854" s="141" t="s">
        <v>481</v>
      </c>
      <c r="D854" s="59" t="s">
        <v>1260</v>
      </c>
      <c r="E854" s="65">
        <v>61</v>
      </c>
      <c r="F854" s="152"/>
      <c r="G854" s="160"/>
    </row>
    <row r="855" spans="2:7" x14ac:dyDescent="0.25">
      <c r="B855" s="203" t="s">
        <v>435</v>
      </c>
      <c r="C855" s="141" t="s">
        <v>482</v>
      </c>
      <c r="D855" s="59" t="s">
        <v>1258</v>
      </c>
      <c r="E855" s="65">
        <v>36</v>
      </c>
      <c r="F855" s="152"/>
      <c r="G855" s="160"/>
    </row>
    <row r="856" spans="2:7" x14ac:dyDescent="0.25">
      <c r="B856" s="203" t="s">
        <v>435</v>
      </c>
      <c r="C856" s="141" t="s">
        <v>483</v>
      </c>
      <c r="D856" s="59" t="s">
        <v>1260</v>
      </c>
      <c r="E856" s="65">
        <v>39</v>
      </c>
      <c r="F856" s="152"/>
      <c r="G856" s="160"/>
    </row>
    <row r="857" spans="2:7" x14ac:dyDescent="0.25">
      <c r="B857" s="203" t="s">
        <v>435</v>
      </c>
      <c r="C857" s="141" t="s">
        <v>484</v>
      </c>
      <c r="D857" s="59" t="s">
        <v>1259</v>
      </c>
      <c r="E857" s="65">
        <v>58</v>
      </c>
      <c r="F857" s="152"/>
      <c r="G857" s="160"/>
    </row>
    <row r="858" spans="2:7" x14ac:dyDescent="0.25">
      <c r="B858" s="203" t="s">
        <v>435</v>
      </c>
      <c r="C858" s="141" t="s">
        <v>485</v>
      </c>
      <c r="D858" s="59" t="s">
        <v>1258</v>
      </c>
      <c r="E858" s="65">
        <v>85</v>
      </c>
      <c r="F858" s="152"/>
      <c r="G858" s="160"/>
    </row>
    <row r="859" spans="2:7" x14ac:dyDescent="0.25">
      <c r="B859" s="203" t="s">
        <v>435</v>
      </c>
      <c r="C859" s="141" t="s">
        <v>486</v>
      </c>
      <c r="D859" s="59" t="s">
        <v>1258</v>
      </c>
      <c r="E859" s="65">
        <v>38</v>
      </c>
      <c r="F859" s="152"/>
      <c r="G859" s="160"/>
    </row>
    <row r="860" spans="2:7" x14ac:dyDescent="0.25">
      <c r="B860" s="203" t="s">
        <v>435</v>
      </c>
      <c r="C860" s="141" t="s">
        <v>487</v>
      </c>
      <c r="D860" s="59" t="s">
        <v>1258</v>
      </c>
      <c r="E860" s="65">
        <v>76</v>
      </c>
      <c r="F860" s="152"/>
      <c r="G860" s="160"/>
    </row>
    <row r="861" spans="2:7" x14ac:dyDescent="0.25">
      <c r="B861" s="203" t="s">
        <v>435</v>
      </c>
      <c r="C861" s="141" t="s">
        <v>488</v>
      </c>
      <c r="D861" s="59" t="s">
        <v>1258</v>
      </c>
      <c r="E861" s="65">
        <v>64</v>
      </c>
      <c r="F861" s="152"/>
      <c r="G861" s="160"/>
    </row>
    <row r="862" spans="2:7" x14ac:dyDescent="0.25">
      <c r="B862" s="203" t="s">
        <v>435</v>
      </c>
      <c r="C862" s="141" t="s">
        <v>489</v>
      </c>
      <c r="D862" s="59" t="s">
        <v>1260</v>
      </c>
      <c r="E862" s="65">
        <v>0</v>
      </c>
      <c r="F862" s="152"/>
      <c r="G862" s="160"/>
    </row>
    <row r="863" spans="2:7" x14ac:dyDescent="0.25">
      <c r="B863" s="203" t="s">
        <v>435</v>
      </c>
      <c r="C863" s="141" t="s">
        <v>490</v>
      </c>
      <c r="D863" s="59" t="s">
        <v>1258</v>
      </c>
      <c r="E863" s="65">
        <v>56</v>
      </c>
      <c r="F863" s="152"/>
      <c r="G863" s="160"/>
    </row>
    <row r="864" spans="2:7" x14ac:dyDescent="0.25">
      <c r="B864" s="203" t="s">
        <v>435</v>
      </c>
      <c r="C864" s="141" t="s">
        <v>491</v>
      </c>
      <c r="D864" s="59" t="s">
        <v>1258</v>
      </c>
      <c r="E864" s="65">
        <v>104</v>
      </c>
      <c r="F864" s="152"/>
      <c r="G864" s="160"/>
    </row>
    <row r="865" spans="2:7" x14ac:dyDescent="0.25">
      <c r="B865" s="203" t="s">
        <v>435</v>
      </c>
      <c r="C865" s="141" t="s">
        <v>492</v>
      </c>
      <c r="D865" s="59" t="s">
        <v>1258</v>
      </c>
      <c r="E865" s="65">
        <v>34</v>
      </c>
      <c r="F865" s="152"/>
      <c r="G865" s="160"/>
    </row>
    <row r="866" spans="2:7" x14ac:dyDescent="0.25">
      <c r="B866" s="203" t="s">
        <v>435</v>
      </c>
      <c r="C866" s="141" t="s">
        <v>493</v>
      </c>
      <c r="D866" s="59" t="s">
        <v>1260</v>
      </c>
      <c r="E866" s="65">
        <v>42</v>
      </c>
      <c r="F866" s="152"/>
      <c r="G866" s="160"/>
    </row>
    <row r="867" spans="2:7" x14ac:dyDescent="0.25">
      <c r="B867" s="203" t="s">
        <v>435</v>
      </c>
      <c r="C867" s="141" t="s">
        <v>494</v>
      </c>
      <c r="D867" s="59" t="s">
        <v>1258</v>
      </c>
      <c r="E867" s="65">
        <v>18</v>
      </c>
      <c r="F867" s="152"/>
      <c r="G867" s="160"/>
    </row>
    <row r="868" spans="2:7" x14ac:dyDescent="0.25">
      <c r="B868" s="203" t="s">
        <v>435</v>
      </c>
      <c r="C868" s="141" t="s">
        <v>495</v>
      </c>
      <c r="D868" s="59" t="s">
        <v>1258</v>
      </c>
      <c r="E868" s="65">
        <v>50</v>
      </c>
      <c r="F868" s="152"/>
      <c r="G868" s="160"/>
    </row>
    <row r="869" spans="2:7" x14ac:dyDescent="0.25">
      <c r="B869" s="203" t="s">
        <v>435</v>
      </c>
      <c r="C869" s="141" t="s">
        <v>496</v>
      </c>
      <c r="D869" s="59" t="s">
        <v>1258</v>
      </c>
      <c r="E869" s="65">
        <v>19</v>
      </c>
      <c r="F869" s="152"/>
      <c r="G869" s="160"/>
    </row>
    <row r="870" spans="2:7" x14ac:dyDescent="0.25">
      <c r="B870" s="203" t="s">
        <v>435</v>
      </c>
      <c r="C870" s="141" t="s">
        <v>497</v>
      </c>
      <c r="D870" s="59" t="s">
        <v>1258</v>
      </c>
      <c r="E870" s="65">
        <v>71</v>
      </c>
      <c r="F870" s="152"/>
      <c r="G870" s="160"/>
    </row>
    <row r="871" spans="2:7" x14ac:dyDescent="0.25">
      <c r="B871" s="203" t="s">
        <v>435</v>
      </c>
      <c r="C871" s="141" t="s">
        <v>498</v>
      </c>
      <c r="D871" s="59" t="s">
        <v>1258</v>
      </c>
      <c r="E871" s="65">
        <v>35</v>
      </c>
      <c r="F871" s="152"/>
      <c r="G871" s="160"/>
    </row>
    <row r="872" spans="2:7" x14ac:dyDescent="0.25">
      <c r="B872" s="203" t="s">
        <v>435</v>
      </c>
      <c r="C872" s="141" t="s">
        <v>499</v>
      </c>
      <c r="D872" s="59" t="s">
        <v>1258</v>
      </c>
      <c r="E872" s="65">
        <v>83</v>
      </c>
      <c r="F872" s="152"/>
      <c r="G872" s="160"/>
    </row>
    <row r="873" spans="2:7" x14ac:dyDescent="0.25">
      <c r="B873" s="203" t="s">
        <v>435</v>
      </c>
      <c r="C873" s="141" t="s">
        <v>500</v>
      </c>
      <c r="D873" s="59" t="s">
        <v>1258</v>
      </c>
      <c r="E873" s="65">
        <v>20</v>
      </c>
      <c r="F873" s="152"/>
      <c r="G873" s="160"/>
    </row>
    <row r="874" spans="2:7" x14ac:dyDescent="0.25">
      <c r="B874" s="203" t="s">
        <v>435</v>
      </c>
      <c r="C874" s="141" t="s">
        <v>501</v>
      </c>
      <c r="D874" s="59" t="s">
        <v>1259</v>
      </c>
      <c r="E874" s="65">
        <v>15</v>
      </c>
      <c r="F874" s="152"/>
      <c r="G874" s="160"/>
    </row>
    <row r="875" spans="2:7" x14ac:dyDescent="0.25">
      <c r="B875" s="203" t="s">
        <v>435</v>
      </c>
      <c r="C875" s="141" t="s">
        <v>502</v>
      </c>
      <c r="D875" s="59" t="s">
        <v>1259</v>
      </c>
      <c r="E875" s="65">
        <v>29</v>
      </c>
      <c r="F875" s="152"/>
      <c r="G875" s="160"/>
    </row>
    <row r="876" spans="2:7" x14ac:dyDescent="0.25">
      <c r="B876" s="203" t="s">
        <v>435</v>
      </c>
      <c r="C876" s="141" t="s">
        <v>503</v>
      </c>
      <c r="D876" s="59" t="s">
        <v>1260</v>
      </c>
      <c r="E876" s="65">
        <v>3</v>
      </c>
      <c r="F876" s="152"/>
      <c r="G876" s="160"/>
    </row>
    <row r="877" spans="2:7" x14ac:dyDescent="0.25">
      <c r="B877" s="203" t="s">
        <v>435</v>
      </c>
      <c r="C877" s="141" t="s">
        <v>504</v>
      </c>
      <c r="D877" s="59" t="s">
        <v>1258</v>
      </c>
      <c r="E877" s="65">
        <v>96</v>
      </c>
      <c r="F877" s="152"/>
      <c r="G877" s="160"/>
    </row>
    <row r="878" spans="2:7" x14ac:dyDescent="0.25">
      <c r="B878" s="203" t="s">
        <v>435</v>
      </c>
      <c r="C878" s="141" t="s">
        <v>505</v>
      </c>
      <c r="D878" s="59" t="s">
        <v>1258</v>
      </c>
      <c r="E878" s="65">
        <v>129</v>
      </c>
      <c r="F878" s="152"/>
      <c r="G878" s="160"/>
    </row>
    <row r="879" spans="2:7" x14ac:dyDescent="0.25">
      <c r="B879" s="203" t="s">
        <v>435</v>
      </c>
      <c r="C879" s="141" t="s">
        <v>506</v>
      </c>
      <c r="D879" s="59" t="s">
        <v>1260</v>
      </c>
      <c r="E879" s="65">
        <v>3</v>
      </c>
      <c r="F879" s="152"/>
      <c r="G879" s="160"/>
    </row>
    <row r="880" spans="2:7" x14ac:dyDescent="0.25">
      <c r="B880" s="203" t="s">
        <v>435</v>
      </c>
      <c r="C880" s="141" t="s">
        <v>507</v>
      </c>
      <c r="D880" s="59" t="s">
        <v>1258</v>
      </c>
      <c r="E880" s="65">
        <v>66</v>
      </c>
      <c r="F880" s="152"/>
      <c r="G880" s="160"/>
    </row>
    <row r="881" spans="2:7" x14ac:dyDescent="0.25">
      <c r="B881" s="203" t="s">
        <v>435</v>
      </c>
      <c r="C881" s="141" t="s">
        <v>508</v>
      </c>
      <c r="D881" s="59" t="s">
        <v>1258</v>
      </c>
      <c r="E881" s="65">
        <v>69</v>
      </c>
      <c r="F881" s="152"/>
      <c r="G881" s="160"/>
    </row>
    <row r="882" spans="2:7" x14ac:dyDescent="0.25">
      <c r="B882" s="203" t="s">
        <v>435</v>
      </c>
      <c r="C882" s="141" t="s">
        <v>509</v>
      </c>
      <c r="D882" s="59" t="s">
        <v>1258</v>
      </c>
      <c r="E882" s="65">
        <v>211</v>
      </c>
      <c r="F882" s="152"/>
      <c r="G882" s="160"/>
    </row>
    <row r="883" spans="2:7" x14ac:dyDescent="0.25">
      <c r="B883" s="203" t="s">
        <v>435</v>
      </c>
      <c r="C883" s="141" t="s">
        <v>510</v>
      </c>
      <c r="D883" s="59" t="s">
        <v>1260</v>
      </c>
      <c r="E883" s="65">
        <v>5</v>
      </c>
      <c r="F883" s="152"/>
      <c r="G883" s="160"/>
    </row>
    <row r="884" spans="2:7" x14ac:dyDescent="0.25">
      <c r="B884" s="203" t="s">
        <v>435</v>
      </c>
      <c r="C884" s="141" t="s">
        <v>511</v>
      </c>
      <c r="D884" s="59" t="s">
        <v>1259</v>
      </c>
      <c r="E884" s="65">
        <v>132</v>
      </c>
      <c r="F884" s="152"/>
      <c r="G884" s="160"/>
    </row>
    <row r="885" spans="2:7" x14ac:dyDescent="0.25">
      <c r="B885" s="203" t="s">
        <v>435</v>
      </c>
      <c r="C885" s="141" t="s">
        <v>512</v>
      </c>
      <c r="D885" s="59" t="s">
        <v>1258</v>
      </c>
      <c r="E885" s="65">
        <v>135</v>
      </c>
      <c r="F885" s="152"/>
      <c r="G885" s="160"/>
    </row>
    <row r="886" spans="2:7" x14ac:dyDescent="0.25">
      <c r="B886" s="203" t="s">
        <v>435</v>
      </c>
      <c r="C886" s="141" t="s">
        <v>513</v>
      </c>
      <c r="D886" s="59" t="s">
        <v>1258</v>
      </c>
      <c r="E886" s="65">
        <v>57</v>
      </c>
      <c r="F886" s="152"/>
      <c r="G886" s="160"/>
    </row>
    <row r="887" spans="2:7" x14ac:dyDescent="0.25">
      <c r="B887" s="203" t="s">
        <v>435</v>
      </c>
      <c r="C887" s="141" t="s">
        <v>514</v>
      </c>
      <c r="D887" s="59" t="s">
        <v>1259</v>
      </c>
      <c r="E887" s="65">
        <v>2</v>
      </c>
      <c r="F887" s="152"/>
      <c r="G887" s="160"/>
    </row>
    <row r="888" spans="2:7" x14ac:dyDescent="0.25">
      <c r="B888" s="203" t="s">
        <v>435</v>
      </c>
      <c r="C888" s="141" t="s">
        <v>515</v>
      </c>
      <c r="D888" s="59" t="s">
        <v>1258</v>
      </c>
      <c r="E888" s="65">
        <v>191</v>
      </c>
      <c r="F888" s="152"/>
      <c r="G888" s="160"/>
    </row>
    <row r="889" spans="2:7" x14ac:dyDescent="0.25">
      <c r="B889" s="203" t="s">
        <v>435</v>
      </c>
      <c r="C889" s="141" t="s">
        <v>516</v>
      </c>
      <c r="D889" s="59" t="s">
        <v>1260</v>
      </c>
      <c r="E889" s="65">
        <v>20</v>
      </c>
      <c r="F889" s="152"/>
      <c r="G889" s="160"/>
    </row>
    <row r="890" spans="2:7" x14ac:dyDescent="0.25">
      <c r="B890" s="203" t="s">
        <v>435</v>
      </c>
      <c r="C890" s="141" t="s">
        <v>517</v>
      </c>
      <c r="D890" s="59" t="s">
        <v>1258</v>
      </c>
      <c r="E890" s="65">
        <v>88</v>
      </c>
      <c r="F890" s="152"/>
      <c r="G890" s="160"/>
    </row>
    <row r="891" spans="2:7" x14ac:dyDescent="0.25">
      <c r="B891" s="203" t="s">
        <v>435</v>
      </c>
      <c r="C891" s="141" t="s">
        <v>518</v>
      </c>
      <c r="D891" s="59" t="s">
        <v>1259</v>
      </c>
      <c r="E891" s="65">
        <v>11</v>
      </c>
      <c r="F891" s="152"/>
      <c r="G891" s="160"/>
    </row>
    <row r="892" spans="2:7" x14ac:dyDescent="0.25">
      <c r="B892" s="203" t="s">
        <v>435</v>
      </c>
      <c r="C892" s="141" t="s">
        <v>519</v>
      </c>
      <c r="D892" s="59" t="s">
        <v>1260</v>
      </c>
      <c r="E892" s="65">
        <v>1</v>
      </c>
      <c r="F892" s="152"/>
      <c r="G892" s="160"/>
    </row>
    <row r="893" spans="2:7" x14ac:dyDescent="0.25">
      <c r="B893" s="203" t="s">
        <v>435</v>
      </c>
      <c r="C893" s="141" t="s">
        <v>520</v>
      </c>
      <c r="D893" s="59" t="s">
        <v>1258</v>
      </c>
      <c r="E893" s="65">
        <v>62</v>
      </c>
      <c r="F893" s="152"/>
      <c r="G893" s="160"/>
    </row>
    <row r="894" spans="2:7" x14ac:dyDescent="0.25">
      <c r="B894" s="203" t="s">
        <v>435</v>
      </c>
      <c r="C894" s="141" t="s">
        <v>521</v>
      </c>
      <c r="D894" s="59" t="s">
        <v>1260</v>
      </c>
      <c r="E894" s="65">
        <v>1</v>
      </c>
      <c r="F894" s="152"/>
      <c r="G894" s="160"/>
    </row>
    <row r="895" spans="2:7" x14ac:dyDescent="0.25">
      <c r="B895" s="203" t="s">
        <v>435</v>
      </c>
      <c r="C895" s="141" t="s">
        <v>522</v>
      </c>
      <c r="D895" s="59" t="s">
        <v>1260</v>
      </c>
      <c r="E895" s="65">
        <v>14</v>
      </c>
      <c r="F895" s="152"/>
      <c r="G895" s="160"/>
    </row>
    <row r="896" spans="2:7" x14ac:dyDescent="0.25">
      <c r="B896" s="203" t="s">
        <v>435</v>
      </c>
      <c r="C896" s="141" t="s">
        <v>523</v>
      </c>
      <c r="D896" s="59" t="s">
        <v>1259</v>
      </c>
      <c r="E896" s="65">
        <v>82</v>
      </c>
      <c r="F896" s="152"/>
      <c r="G896" s="160"/>
    </row>
    <row r="897" spans="2:11" x14ac:dyDescent="0.25">
      <c r="B897" s="203" t="s">
        <v>435</v>
      </c>
      <c r="C897" s="141" t="s">
        <v>524</v>
      </c>
      <c r="D897" s="59" t="s">
        <v>1259</v>
      </c>
      <c r="E897" s="65">
        <v>46</v>
      </c>
      <c r="F897" s="152"/>
      <c r="G897" s="160"/>
    </row>
    <row r="898" spans="2:11" ht="15" customHeight="1" x14ac:dyDescent="0.25">
      <c r="B898" s="204" t="s">
        <v>751</v>
      </c>
      <c r="C898" s="198" t="s">
        <v>836</v>
      </c>
      <c r="D898" s="147" t="s">
        <v>1258</v>
      </c>
      <c r="E898" s="148">
        <v>12</v>
      </c>
      <c r="F898" s="149" t="s">
        <v>1289</v>
      </c>
      <c r="G898" s="167"/>
      <c r="I898" s="265" t="s">
        <v>865</v>
      </c>
      <c r="J898" s="267"/>
      <c r="K898" s="73" t="s">
        <v>120</v>
      </c>
    </row>
    <row r="899" spans="2:11" x14ac:dyDescent="0.25">
      <c r="B899" s="204" t="s">
        <v>751</v>
      </c>
      <c r="C899" s="198" t="s">
        <v>837</v>
      </c>
      <c r="D899" s="147" t="s">
        <v>1258</v>
      </c>
      <c r="E899" s="148">
        <v>1</v>
      </c>
      <c r="F899" s="149" t="s">
        <v>1289</v>
      </c>
      <c r="G899" s="167"/>
      <c r="I899" s="42" t="s">
        <v>122</v>
      </c>
      <c r="J899" s="74">
        <v>27</v>
      </c>
      <c r="K899" s="75">
        <v>0.79</v>
      </c>
    </row>
    <row r="900" spans="2:11" x14ac:dyDescent="0.25">
      <c r="B900" s="204" t="s">
        <v>751</v>
      </c>
      <c r="C900" s="198" t="s">
        <v>838</v>
      </c>
      <c r="D900" s="147" t="s">
        <v>1258</v>
      </c>
      <c r="E900" s="148">
        <v>7</v>
      </c>
      <c r="F900" s="149" t="s">
        <v>1289</v>
      </c>
      <c r="G900" s="167"/>
      <c r="I900" s="76" t="s">
        <v>124</v>
      </c>
      <c r="J900" s="44">
        <v>7</v>
      </c>
      <c r="K900" s="63">
        <v>0.21</v>
      </c>
    </row>
    <row r="901" spans="2:11" x14ac:dyDescent="0.25">
      <c r="B901" s="204" t="s">
        <v>751</v>
      </c>
      <c r="C901" s="198" t="s">
        <v>839</v>
      </c>
      <c r="D901" s="147" t="s">
        <v>1258</v>
      </c>
      <c r="E901" s="148">
        <v>8</v>
      </c>
      <c r="F901" s="149" t="s">
        <v>1289</v>
      </c>
      <c r="G901" s="167"/>
      <c r="I901" s="46" t="s">
        <v>31</v>
      </c>
      <c r="J901" s="47">
        <f>SUM(J899:J900)</f>
        <v>34</v>
      </c>
      <c r="K901" s="48">
        <v>1</v>
      </c>
    </row>
    <row r="902" spans="2:11" x14ac:dyDescent="0.25">
      <c r="B902" s="204" t="s">
        <v>751</v>
      </c>
      <c r="C902" s="198" t="s">
        <v>840</v>
      </c>
      <c r="D902" s="147" t="s">
        <v>1258</v>
      </c>
      <c r="E902" s="148">
        <v>8</v>
      </c>
      <c r="F902" s="149" t="s">
        <v>1288</v>
      </c>
      <c r="G902" s="151"/>
    </row>
    <row r="903" spans="2:11" x14ac:dyDescent="0.25">
      <c r="B903" s="204" t="s">
        <v>751</v>
      </c>
      <c r="C903" s="198" t="s">
        <v>841</v>
      </c>
      <c r="D903" s="147" t="s">
        <v>1258</v>
      </c>
      <c r="E903" s="148">
        <v>1</v>
      </c>
      <c r="F903" s="149" t="s">
        <v>1289</v>
      </c>
      <c r="G903" s="167"/>
    </row>
    <row r="904" spans="2:11" x14ac:dyDescent="0.25">
      <c r="B904" s="204" t="s">
        <v>751</v>
      </c>
      <c r="C904" s="198" t="s">
        <v>842</v>
      </c>
      <c r="D904" s="147" t="s">
        <v>1258</v>
      </c>
      <c r="E904" s="148">
        <v>8</v>
      </c>
      <c r="F904" s="149" t="s">
        <v>1289</v>
      </c>
      <c r="G904" s="167"/>
    </row>
    <row r="905" spans="2:11" x14ac:dyDescent="0.25">
      <c r="B905" s="204" t="s">
        <v>751</v>
      </c>
      <c r="C905" s="198" t="s">
        <v>843</v>
      </c>
      <c r="D905" s="147" t="s">
        <v>1258</v>
      </c>
      <c r="E905" s="148">
        <v>24</v>
      </c>
      <c r="F905" s="149" t="s">
        <v>1288</v>
      </c>
      <c r="G905" s="151"/>
      <c r="I905" t="s">
        <v>1266</v>
      </c>
      <c r="J905" t="s">
        <v>1272</v>
      </c>
    </row>
    <row r="906" spans="2:11" x14ac:dyDescent="0.25">
      <c r="B906" s="204" t="s">
        <v>751</v>
      </c>
      <c r="C906" s="198" t="s">
        <v>844</v>
      </c>
      <c r="D906" s="147" t="s">
        <v>1258</v>
      </c>
      <c r="E906" s="148">
        <v>1</v>
      </c>
      <c r="F906" s="149" t="s">
        <v>1289</v>
      </c>
      <c r="G906" s="167"/>
      <c r="I906" s="130" t="s">
        <v>1258</v>
      </c>
      <c r="J906">
        <v>201</v>
      </c>
    </row>
    <row r="907" spans="2:11" x14ac:dyDescent="0.25">
      <c r="B907" s="204" t="s">
        <v>751</v>
      </c>
      <c r="C907" s="198" t="s">
        <v>845</v>
      </c>
      <c r="D907" s="147" t="s">
        <v>1258</v>
      </c>
      <c r="E907" s="148">
        <v>2</v>
      </c>
      <c r="F907" s="149" t="s">
        <v>1289</v>
      </c>
      <c r="G907" s="167"/>
      <c r="I907" s="130" t="s">
        <v>1259</v>
      </c>
      <c r="J907">
        <v>5</v>
      </c>
    </row>
    <row r="908" spans="2:11" x14ac:dyDescent="0.25">
      <c r="B908" s="204" t="s">
        <v>751</v>
      </c>
      <c r="C908" s="198" t="s">
        <v>846</v>
      </c>
      <c r="D908" s="147" t="s">
        <v>1258</v>
      </c>
      <c r="E908" s="148">
        <v>8</v>
      </c>
      <c r="F908" s="149" t="s">
        <v>1289</v>
      </c>
      <c r="G908" s="167"/>
      <c r="I908" s="130" t="s">
        <v>1260</v>
      </c>
      <c r="J908">
        <v>9</v>
      </c>
    </row>
    <row r="909" spans="2:11" x14ac:dyDescent="0.25">
      <c r="B909" s="204" t="s">
        <v>751</v>
      </c>
      <c r="C909" s="198" t="s">
        <v>847</v>
      </c>
      <c r="D909" s="147" t="s">
        <v>1258</v>
      </c>
      <c r="E909" s="148">
        <v>11</v>
      </c>
      <c r="F909" s="149" t="s">
        <v>1288</v>
      </c>
      <c r="G909" s="151"/>
      <c r="I909" s="130" t="s">
        <v>1265</v>
      </c>
      <c r="J909">
        <v>215</v>
      </c>
    </row>
    <row r="910" spans="2:11" x14ac:dyDescent="0.25">
      <c r="B910" s="204" t="s">
        <v>751</v>
      </c>
      <c r="C910" s="198" t="s">
        <v>413</v>
      </c>
      <c r="D910" s="147" t="s">
        <v>1258</v>
      </c>
      <c r="E910" s="148">
        <v>10</v>
      </c>
      <c r="F910" s="149" t="s">
        <v>1289</v>
      </c>
      <c r="G910" s="167"/>
    </row>
    <row r="911" spans="2:11" x14ac:dyDescent="0.25">
      <c r="B911" s="204" t="s">
        <v>751</v>
      </c>
      <c r="C911" s="198" t="s">
        <v>848</v>
      </c>
      <c r="D911" s="147" t="s">
        <v>1258</v>
      </c>
      <c r="E911" s="148">
        <v>3</v>
      </c>
      <c r="F911" s="149" t="s">
        <v>1289</v>
      </c>
      <c r="G911" s="167"/>
    </row>
    <row r="912" spans="2:11" x14ac:dyDescent="0.25">
      <c r="B912" s="204" t="s">
        <v>751</v>
      </c>
      <c r="C912" s="198" t="s">
        <v>849</v>
      </c>
      <c r="D912" s="147" t="s">
        <v>1260</v>
      </c>
      <c r="E912" s="148">
        <v>3</v>
      </c>
      <c r="F912" s="149" t="s">
        <v>1289</v>
      </c>
      <c r="G912" s="167"/>
    </row>
    <row r="913" spans="2:7" x14ac:dyDescent="0.25">
      <c r="B913" s="204" t="s">
        <v>751</v>
      </c>
      <c r="C913" s="198" t="s">
        <v>850</v>
      </c>
      <c r="D913" s="147" t="s">
        <v>1258</v>
      </c>
      <c r="E913" s="148">
        <v>22</v>
      </c>
      <c r="F913" s="149" t="s">
        <v>1288</v>
      </c>
      <c r="G913" s="151"/>
    </row>
    <row r="914" spans="2:7" x14ac:dyDescent="0.25">
      <c r="B914" s="204" t="s">
        <v>751</v>
      </c>
      <c r="C914" s="198" t="s">
        <v>851</v>
      </c>
      <c r="D914" s="147" t="s">
        <v>1259</v>
      </c>
      <c r="E914" s="148">
        <v>3</v>
      </c>
      <c r="F914" s="149" t="s">
        <v>1289</v>
      </c>
      <c r="G914" s="167"/>
    </row>
    <row r="915" spans="2:7" x14ac:dyDescent="0.25">
      <c r="B915" s="204" t="s">
        <v>751</v>
      </c>
      <c r="C915" s="198" t="s">
        <v>852</v>
      </c>
      <c r="D915" s="147" t="s">
        <v>1258</v>
      </c>
      <c r="E915" s="148">
        <v>7</v>
      </c>
      <c r="F915" s="149" t="s">
        <v>1289</v>
      </c>
      <c r="G915" s="167"/>
    </row>
    <row r="916" spans="2:7" x14ac:dyDescent="0.25">
      <c r="B916" s="204" t="s">
        <v>751</v>
      </c>
      <c r="C916" s="198" t="s">
        <v>853</v>
      </c>
      <c r="D916" s="147" t="s">
        <v>1258</v>
      </c>
      <c r="E916" s="148">
        <v>1</v>
      </c>
      <c r="F916" s="149" t="s">
        <v>1289</v>
      </c>
      <c r="G916" s="167"/>
    </row>
    <row r="917" spans="2:7" x14ac:dyDescent="0.25">
      <c r="B917" s="204" t="s">
        <v>751</v>
      </c>
      <c r="C917" s="198" t="s">
        <v>421</v>
      </c>
      <c r="D917" s="147" t="s">
        <v>1259</v>
      </c>
      <c r="E917" s="148">
        <v>2</v>
      </c>
      <c r="F917" s="149" t="s">
        <v>1288</v>
      </c>
      <c r="G917" s="151"/>
    </row>
    <row r="918" spans="2:7" x14ac:dyDescent="0.25">
      <c r="B918" s="204" t="s">
        <v>751</v>
      </c>
      <c r="C918" s="198" t="s">
        <v>854</v>
      </c>
      <c r="D918" s="147" t="s">
        <v>1258</v>
      </c>
      <c r="E918" s="148">
        <v>13</v>
      </c>
      <c r="F918" s="149" t="s">
        <v>1289</v>
      </c>
      <c r="G918" s="167"/>
    </row>
    <row r="919" spans="2:7" x14ac:dyDescent="0.25">
      <c r="B919" s="204" t="s">
        <v>751</v>
      </c>
      <c r="C919" s="198" t="s">
        <v>855</v>
      </c>
      <c r="D919" s="147" t="s">
        <v>1258</v>
      </c>
      <c r="E919" s="148">
        <v>6</v>
      </c>
      <c r="F919" s="149" t="s">
        <v>1289</v>
      </c>
      <c r="G919" s="167"/>
    </row>
    <row r="920" spans="2:7" x14ac:dyDescent="0.25">
      <c r="B920" s="204" t="s">
        <v>751</v>
      </c>
      <c r="C920" s="198" t="s">
        <v>273</v>
      </c>
      <c r="D920" s="147" t="s">
        <v>1258</v>
      </c>
      <c r="E920" s="148">
        <v>3</v>
      </c>
      <c r="F920" s="149" t="s">
        <v>1289</v>
      </c>
      <c r="G920" s="167"/>
    </row>
    <row r="921" spans="2:7" x14ac:dyDescent="0.25">
      <c r="B921" s="204" t="s">
        <v>751</v>
      </c>
      <c r="C921" s="198" t="s">
        <v>416</v>
      </c>
      <c r="D921" s="147" t="s">
        <v>1258</v>
      </c>
      <c r="E921" s="148">
        <v>9</v>
      </c>
      <c r="F921" s="149" t="s">
        <v>1289</v>
      </c>
      <c r="G921" s="167"/>
    </row>
    <row r="922" spans="2:7" x14ac:dyDescent="0.25">
      <c r="B922" s="204" t="s">
        <v>751</v>
      </c>
      <c r="C922" s="198" t="s">
        <v>856</v>
      </c>
      <c r="D922" s="147" t="s">
        <v>1258</v>
      </c>
      <c r="E922" s="148">
        <v>2</v>
      </c>
      <c r="F922" s="149" t="s">
        <v>1289</v>
      </c>
      <c r="G922" s="167"/>
    </row>
    <row r="923" spans="2:7" x14ac:dyDescent="0.25">
      <c r="B923" s="204" t="s">
        <v>751</v>
      </c>
      <c r="C923" s="198" t="s">
        <v>857</v>
      </c>
      <c r="D923" s="147" t="s">
        <v>1258</v>
      </c>
      <c r="E923" s="148">
        <v>1</v>
      </c>
      <c r="F923" s="149" t="s">
        <v>1289</v>
      </c>
      <c r="G923" s="167"/>
    </row>
    <row r="924" spans="2:7" x14ac:dyDescent="0.25">
      <c r="B924" s="204" t="s">
        <v>751</v>
      </c>
      <c r="C924" s="198" t="s">
        <v>423</v>
      </c>
      <c r="D924" s="147" t="s">
        <v>1258</v>
      </c>
      <c r="E924" s="148">
        <v>6</v>
      </c>
      <c r="F924" s="149" t="s">
        <v>1289</v>
      </c>
      <c r="G924" s="167"/>
    </row>
    <row r="925" spans="2:7" x14ac:dyDescent="0.25">
      <c r="B925" s="204" t="s">
        <v>751</v>
      </c>
      <c r="C925" s="198" t="s">
        <v>858</v>
      </c>
      <c r="D925" s="147" t="s">
        <v>1258</v>
      </c>
      <c r="E925" s="148">
        <v>3</v>
      </c>
      <c r="F925" s="149" t="s">
        <v>1289</v>
      </c>
      <c r="G925" s="167"/>
    </row>
    <row r="926" spans="2:7" x14ac:dyDescent="0.25">
      <c r="B926" s="204" t="s">
        <v>751</v>
      </c>
      <c r="C926" s="198" t="s">
        <v>859</v>
      </c>
      <c r="D926" s="147" t="s">
        <v>1258</v>
      </c>
      <c r="E926" s="148">
        <v>23</v>
      </c>
      <c r="F926" s="149" t="s">
        <v>1288</v>
      </c>
      <c r="G926" s="151"/>
    </row>
    <row r="927" spans="2:7" x14ac:dyDescent="0.25">
      <c r="B927" s="204" t="s">
        <v>751</v>
      </c>
      <c r="C927" s="198" t="s">
        <v>860</v>
      </c>
      <c r="D927" s="147" t="s">
        <v>1260</v>
      </c>
      <c r="E927" s="148">
        <v>1</v>
      </c>
      <c r="F927" s="149" t="s">
        <v>1289</v>
      </c>
      <c r="G927" s="167"/>
    </row>
    <row r="928" spans="2:7" x14ac:dyDescent="0.25">
      <c r="B928" s="204" t="s">
        <v>751</v>
      </c>
      <c r="C928" s="198" t="s">
        <v>861</v>
      </c>
      <c r="D928" s="147" t="s">
        <v>1258</v>
      </c>
      <c r="E928" s="148">
        <v>10</v>
      </c>
      <c r="F928" s="149" t="s">
        <v>1289</v>
      </c>
      <c r="G928" s="167"/>
    </row>
    <row r="929" spans="2:11" x14ac:dyDescent="0.25">
      <c r="B929" s="204" t="s">
        <v>751</v>
      </c>
      <c r="C929" s="198" t="s">
        <v>862</v>
      </c>
      <c r="D929" s="147" t="s">
        <v>1260</v>
      </c>
      <c r="E929" s="148">
        <v>3</v>
      </c>
      <c r="F929" s="149" t="s">
        <v>1289</v>
      </c>
      <c r="G929" s="167"/>
    </row>
    <row r="930" spans="2:11" x14ac:dyDescent="0.25">
      <c r="B930" s="204" t="s">
        <v>751</v>
      </c>
      <c r="C930" s="198" t="s">
        <v>863</v>
      </c>
      <c r="D930" s="147" t="s">
        <v>1260</v>
      </c>
      <c r="E930" s="148">
        <v>2</v>
      </c>
      <c r="F930" s="149" t="s">
        <v>1289</v>
      </c>
      <c r="G930" s="167"/>
    </row>
    <row r="931" spans="2:11" x14ac:dyDescent="0.25">
      <c r="B931" s="204" t="s">
        <v>751</v>
      </c>
      <c r="C931" s="198" t="s">
        <v>864</v>
      </c>
      <c r="D931" s="147" t="s">
        <v>1258</v>
      </c>
      <c r="E931" s="148">
        <v>3</v>
      </c>
      <c r="F931" s="149" t="s">
        <v>1288</v>
      </c>
      <c r="G931" s="151"/>
    </row>
    <row r="932" spans="2:11" ht="15" customHeight="1" x14ac:dyDescent="0.25">
      <c r="B932" s="203" t="s">
        <v>752</v>
      </c>
      <c r="C932" s="141" t="s">
        <v>866</v>
      </c>
      <c r="D932" s="59" t="s">
        <v>1258</v>
      </c>
      <c r="E932" s="65">
        <v>24</v>
      </c>
      <c r="F932" s="152" t="s">
        <v>1289</v>
      </c>
      <c r="G932" s="159"/>
      <c r="I932" s="265" t="s">
        <v>893</v>
      </c>
      <c r="J932" s="267"/>
      <c r="K932" s="73" t="s">
        <v>120</v>
      </c>
    </row>
    <row r="933" spans="2:11" x14ac:dyDescent="0.25">
      <c r="B933" s="203" t="s">
        <v>752</v>
      </c>
      <c r="C933" s="141" t="s">
        <v>867</v>
      </c>
      <c r="D933" s="59" t="s">
        <v>1258</v>
      </c>
      <c r="E933" s="65">
        <v>40</v>
      </c>
      <c r="F933" s="152" t="s">
        <v>1289</v>
      </c>
      <c r="G933" s="159"/>
      <c r="I933" s="42" t="s">
        <v>122</v>
      </c>
      <c r="J933" s="74">
        <v>24</v>
      </c>
      <c r="K933" s="75">
        <v>0.89</v>
      </c>
    </row>
    <row r="934" spans="2:11" x14ac:dyDescent="0.25">
      <c r="B934" s="203" t="s">
        <v>752</v>
      </c>
      <c r="C934" s="141" t="s">
        <v>868</v>
      </c>
      <c r="D934" s="59" t="s">
        <v>1258</v>
      </c>
      <c r="E934" s="65">
        <v>10</v>
      </c>
      <c r="F934" s="152" t="s">
        <v>1288</v>
      </c>
      <c r="G934" s="160"/>
      <c r="I934" s="76" t="s">
        <v>124</v>
      </c>
      <c r="J934" s="44">
        <v>3</v>
      </c>
      <c r="K934" s="63">
        <v>0.11</v>
      </c>
    </row>
    <row r="935" spans="2:11" x14ac:dyDescent="0.25">
      <c r="B935" s="203" t="s">
        <v>752</v>
      </c>
      <c r="C935" s="141" t="s">
        <v>869</v>
      </c>
      <c r="D935" s="59" t="s">
        <v>1258</v>
      </c>
      <c r="E935" s="65">
        <v>13</v>
      </c>
      <c r="F935" s="152" t="s">
        <v>1289</v>
      </c>
      <c r="G935" s="159"/>
      <c r="I935" s="46" t="s">
        <v>31</v>
      </c>
      <c r="J935" s="47">
        <f>SUM(J933:J934)</f>
        <v>27</v>
      </c>
      <c r="K935" s="48">
        <v>1</v>
      </c>
    </row>
    <row r="936" spans="2:11" x14ac:dyDescent="0.25">
      <c r="B936" s="203" t="s">
        <v>752</v>
      </c>
      <c r="C936" s="141" t="s">
        <v>870</v>
      </c>
      <c r="D936" s="59" t="s">
        <v>1259</v>
      </c>
      <c r="E936" s="65">
        <v>19</v>
      </c>
      <c r="F936" s="152" t="s">
        <v>1289</v>
      </c>
      <c r="G936" s="159"/>
    </row>
    <row r="937" spans="2:11" x14ac:dyDescent="0.25">
      <c r="B937" s="203" t="s">
        <v>752</v>
      </c>
      <c r="C937" s="141" t="s">
        <v>871</v>
      </c>
      <c r="D937" s="59" t="s">
        <v>1259</v>
      </c>
      <c r="E937" s="65">
        <v>17</v>
      </c>
      <c r="F937" s="152" t="s">
        <v>1289</v>
      </c>
      <c r="G937" s="159"/>
    </row>
    <row r="938" spans="2:11" x14ac:dyDescent="0.25">
      <c r="B938" s="203" t="s">
        <v>752</v>
      </c>
      <c r="C938" s="141" t="s">
        <v>872</v>
      </c>
      <c r="D938" s="59" t="s">
        <v>1258</v>
      </c>
      <c r="E938" s="65">
        <v>21</v>
      </c>
      <c r="F938" s="152" t="s">
        <v>1289</v>
      </c>
      <c r="G938" s="159"/>
    </row>
    <row r="939" spans="2:11" x14ac:dyDescent="0.25">
      <c r="B939" s="203" t="s">
        <v>752</v>
      </c>
      <c r="C939" s="141" t="s">
        <v>873</v>
      </c>
      <c r="D939" s="59" t="s">
        <v>1258</v>
      </c>
      <c r="E939" s="65">
        <v>9</v>
      </c>
      <c r="F939" s="152" t="s">
        <v>1289</v>
      </c>
      <c r="G939" s="159"/>
    </row>
    <row r="940" spans="2:11" x14ac:dyDescent="0.25">
      <c r="B940" s="203" t="s">
        <v>752</v>
      </c>
      <c r="C940" s="141" t="s">
        <v>874</v>
      </c>
      <c r="D940" s="59" t="s">
        <v>1258</v>
      </c>
      <c r="E940" s="65">
        <v>8</v>
      </c>
      <c r="F940" s="152" t="s">
        <v>1289</v>
      </c>
      <c r="G940" s="159"/>
    </row>
    <row r="941" spans="2:11" x14ac:dyDescent="0.25">
      <c r="B941" s="203" t="s">
        <v>752</v>
      </c>
      <c r="C941" s="141" t="s">
        <v>875</v>
      </c>
      <c r="D941" s="59" t="s">
        <v>1258</v>
      </c>
      <c r="E941" s="65">
        <v>16</v>
      </c>
      <c r="F941" s="152" t="s">
        <v>1289</v>
      </c>
      <c r="G941" s="159"/>
    </row>
    <row r="942" spans="2:11" x14ac:dyDescent="0.25">
      <c r="B942" s="203" t="s">
        <v>752</v>
      </c>
      <c r="C942" s="141" t="s">
        <v>876</v>
      </c>
      <c r="D942" s="59" t="s">
        <v>1258</v>
      </c>
      <c r="E942" s="65">
        <v>7</v>
      </c>
      <c r="F942" s="152" t="s">
        <v>1289</v>
      </c>
      <c r="G942" s="159"/>
    </row>
    <row r="943" spans="2:11" x14ac:dyDescent="0.25">
      <c r="B943" s="203" t="s">
        <v>752</v>
      </c>
      <c r="C943" s="141" t="s">
        <v>877</v>
      </c>
      <c r="D943" s="59" t="s">
        <v>1258</v>
      </c>
      <c r="E943" s="65">
        <v>19</v>
      </c>
      <c r="F943" s="152" t="s">
        <v>1289</v>
      </c>
      <c r="G943" s="159"/>
    </row>
    <row r="944" spans="2:11" x14ac:dyDescent="0.25">
      <c r="B944" s="203" t="s">
        <v>752</v>
      </c>
      <c r="C944" s="141" t="s">
        <v>878</v>
      </c>
      <c r="D944" s="59" t="s">
        <v>1260</v>
      </c>
      <c r="E944" s="65">
        <v>23</v>
      </c>
      <c r="F944" s="152" t="s">
        <v>1288</v>
      </c>
      <c r="G944" s="160"/>
    </row>
    <row r="945" spans="2:11" x14ac:dyDescent="0.25">
      <c r="B945" s="203" t="s">
        <v>752</v>
      </c>
      <c r="C945" s="141" t="s">
        <v>879</v>
      </c>
      <c r="D945" s="59" t="s">
        <v>1258</v>
      </c>
      <c r="E945" s="65">
        <v>16</v>
      </c>
      <c r="F945" s="152" t="s">
        <v>1289</v>
      </c>
      <c r="G945" s="159"/>
    </row>
    <row r="946" spans="2:11" x14ac:dyDescent="0.25">
      <c r="B946" s="203" t="s">
        <v>752</v>
      </c>
      <c r="C946" s="141" t="s">
        <v>880</v>
      </c>
      <c r="D946" s="59" t="s">
        <v>1259</v>
      </c>
      <c r="E946" s="65">
        <v>13</v>
      </c>
      <c r="F946" s="152" t="s">
        <v>1289</v>
      </c>
      <c r="G946" s="159"/>
    </row>
    <row r="947" spans="2:11" x14ac:dyDescent="0.25">
      <c r="B947" s="203" t="s">
        <v>752</v>
      </c>
      <c r="C947" s="141" t="s">
        <v>881</v>
      </c>
      <c r="D947" s="59" t="s">
        <v>1258</v>
      </c>
      <c r="E947" s="65">
        <v>22</v>
      </c>
      <c r="F947" s="152" t="s">
        <v>1289</v>
      </c>
      <c r="G947" s="159"/>
    </row>
    <row r="948" spans="2:11" x14ac:dyDescent="0.25">
      <c r="B948" s="203" t="s">
        <v>752</v>
      </c>
      <c r="C948" s="141" t="s">
        <v>882</v>
      </c>
      <c r="D948" s="59" t="s">
        <v>1258</v>
      </c>
      <c r="E948" s="65">
        <v>9</v>
      </c>
      <c r="F948" s="152" t="s">
        <v>1289</v>
      </c>
      <c r="G948" s="159"/>
    </row>
    <row r="949" spans="2:11" x14ac:dyDescent="0.25">
      <c r="B949" s="203" t="s">
        <v>752</v>
      </c>
      <c r="C949" s="141" t="s">
        <v>883</v>
      </c>
      <c r="D949" s="59" t="s">
        <v>1258</v>
      </c>
      <c r="E949" s="65">
        <v>3</v>
      </c>
      <c r="F949" s="152" t="s">
        <v>1289</v>
      </c>
      <c r="G949" s="159"/>
    </row>
    <row r="950" spans="2:11" x14ac:dyDescent="0.25">
      <c r="B950" s="203" t="s">
        <v>752</v>
      </c>
      <c r="C950" s="141" t="s">
        <v>884</v>
      </c>
      <c r="D950" s="59" t="s">
        <v>1259</v>
      </c>
      <c r="E950" s="65">
        <v>3</v>
      </c>
      <c r="F950" s="152" t="s">
        <v>1289</v>
      </c>
      <c r="G950" s="159"/>
    </row>
    <row r="951" spans="2:11" x14ac:dyDescent="0.25">
      <c r="B951" s="203" t="s">
        <v>752</v>
      </c>
      <c r="C951" s="141" t="s">
        <v>885</v>
      </c>
      <c r="D951" s="59" t="s">
        <v>1258</v>
      </c>
      <c r="E951" s="65">
        <v>5</v>
      </c>
      <c r="F951" s="152" t="s">
        <v>1289</v>
      </c>
      <c r="G951" s="159"/>
    </row>
    <row r="952" spans="2:11" x14ac:dyDescent="0.25">
      <c r="B952" s="203" t="s">
        <v>752</v>
      </c>
      <c r="C952" s="141" t="s">
        <v>886</v>
      </c>
      <c r="D952" s="59" t="s">
        <v>1258</v>
      </c>
      <c r="E952" s="65">
        <v>22</v>
      </c>
      <c r="F952" s="152" t="s">
        <v>1289</v>
      </c>
      <c r="G952" s="159"/>
    </row>
    <row r="953" spans="2:11" x14ac:dyDescent="0.25">
      <c r="B953" s="203" t="s">
        <v>752</v>
      </c>
      <c r="C953" s="141" t="s">
        <v>887</v>
      </c>
      <c r="D953" s="59" t="s">
        <v>1258</v>
      </c>
      <c r="E953" s="65">
        <v>9</v>
      </c>
      <c r="F953" s="152" t="s">
        <v>1289</v>
      </c>
      <c r="G953" s="159"/>
    </row>
    <row r="954" spans="2:11" x14ac:dyDescent="0.25">
      <c r="B954" s="203" t="s">
        <v>752</v>
      </c>
      <c r="C954" s="141" t="s">
        <v>888</v>
      </c>
      <c r="D954" s="59" t="s">
        <v>1258</v>
      </c>
      <c r="E954" s="65">
        <v>13</v>
      </c>
      <c r="F954" s="152" t="s">
        <v>1289</v>
      </c>
      <c r="G954" s="159"/>
    </row>
    <row r="955" spans="2:11" x14ac:dyDescent="0.25">
      <c r="B955" s="203" t="s">
        <v>752</v>
      </c>
      <c r="C955" s="141" t="s">
        <v>889</v>
      </c>
      <c r="D955" s="59" t="s">
        <v>1259</v>
      </c>
      <c r="E955" s="65">
        <v>6</v>
      </c>
      <c r="F955" s="152" t="s">
        <v>1289</v>
      </c>
      <c r="G955" s="159"/>
    </row>
    <row r="956" spans="2:11" x14ac:dyDescent="0.25">
      <c r="B956" s="203" t="s">
        <v>752</v>
      </c>
      <c r="C956" s="141" t="s">
        <v>890</v>
      </c>
      <c r="D956" s="59" t="s">
        <v>1258</v>
      </c>
      <c r="E956" s="65">
        <v>7</v>
      </c>
      <c r="F956" s="152" t="s">
        <v>1289</v>
      </c>
      <c r="G956" s="159"/>
    </row>
    <row r="957" spans="2:11" x14ac:dyDescent="0.25">
      <c r="B957" s="203" t="s">
        <v>752</v>
      </c>
      <c r="C957" s="142" t="s">
        <v>891</v>
      </c>
      <c r="D957" s="78" t="s">
        <v>1260</v>
      </c>
      <c r="E957" s="65">
        <v>7</v>
      </c>
      <c r="F957" s="152" t="s">
        <v>1289</v>
      </c>
      <c r="G957" s="159"/>
    </row>
    <row r="958" spans="2:11" x14ac:dyDescent="0.25">
      <c r="B958" s="203" t="s">
        <v>752</v>
      </c>
      <c r="C958" s="141" t="s">
        <v>892</v>
      </c>
      <c r="D958" s="59" t="s">
        <v>1258</v>
      </c>
      <c r="E958" s="65"/>
      <c r="F958" s="152" t="s">
        <v>1288</v>
      </c>
      <c r="G958" s="160"/>
    </row>
    <row r="959" spans="2:11" ht="15" customHeight="1" x14ac:dyDescent="0.25">
      <c r="B959" s="204" t="s">
        <v>18</v>
      </c>
      <c r="C959" s="199" t="s">
        <v>525</v>
      </c>
      <c r="D959" s="184" t="s">
        <v>1258</v>
      </c>
      <c r="E959" s="185">
        <v>38</v>
      </c>
      <c r="F959" s="149" t="s">
        <v>1289</v>
      </c>
      <c r="G959" s="167"/>
      <c r="I959" s="265" t="s">
        <v>526</v>
      </c>
      <c r="J959" s="266"/>
      <c r="K959" s="79" t="s">
        <v>120</v>
      </c>
    </row>
    <row r="960" spans="2:11" x14ac:dyDescent="0.25">
      <c r="B960" s="204" t="s">
        <v>18</v>
      </c>
      <c r="C960" s="198" t="s">
        <v>527</v>
      </c>
      <c r="D960" s="147" t="s">
        <v>1258</v>
      </c>
      <c r="E960" s="148">
        <v>16</v>
      </c>
      <c r="F960" s="149" t="s">
        <v>1288</v>
      </c>
      <c r="G960" s="151"/>
      <c r="I960" s="42" t="s">
        <v>122</v>
      </c>
      <c r="J960" s="43">
        <v>7</v>
      </c>
      <c r="K960" s="62">
        <v>0.64</v>
      </c>
    </row>
    <row r="961" spans="2:11" x14ac:dyDescent="0.25">
      <c r="B961" s="204" t="s">
        <v>18</v>
      </c>
      <c r="C961" s="198" t="s">
        <v>528</v>
      </c>
      <c r="D961" s="147" t="s">
        <v>1258</v>
      </c>
      <c r="E961" s="148">
        <v>15</v>
      </c>
      <c r="F961" s="149" t="s">
        <v>1288</v>
      </c>
      <c r="G961" s="151"/>
      <c r="I961" s="40" t="s">
        <v>124</v>
      </c>
      <c r="J961" s="44">
        <v>3</v>
      </c>
      <c r="K961" s="63">
        <v>0.27</v>
      </c>
    </row>
    <row r="962" spans="2:11" x14ac:dyDescent="0.25">
      <c r="B962" s="204" t="s">
        <v>18</v>
      </c>
      <c r="C962" s="198" t="s">
        <v>529</v>
      </c>
      <c r="D962" s="147" t="s">
        <v>1258</v>
      </c>
      <c r="E962" s="148">
        <v>11</v>
      </c>
      <c r="F962" s="149" t="s">
        <v>1288</v>
      </c>
      <c r="G962" s="151"/>
      <c r="I962" s="2" t="s">
        <v>29</v>
      </c>
      <c r="J962" s="45">
        <v>1</v>
      </c>
      <c r="K962" s="80">
        <v>0.09</v>
      </c>
    </row>
    <row r="963" spans="2:11" x14ac:dyDescent="0.25">
      <c r="B963" s="204" t="s">
        <v>18</v>
      </c>
      <c r="C963" s="198" t="s">
        <v>530</v>
      </c>
      <c r="D963" s="147" t="s">
        <v>1258</v>
      </c>
      <c r="E963" s="148">
        <v>7</v>
      </c>
      <c r="F963" s="149" t="s">
        <v>1289</v>
      </c>
      <c r="G963" s="151"/>
      <c r="I963" s="46" t="s">
        <v>31</v>
      </c>
      <c r="J963" s="47">
        <f>SUM(J960:J962)</f>
        <v>11</v>
      </c>
      <c r="K963" s="48">
        <v>1</v>
      </c>
    </row>
    <row r="964" spans="2:11" x14ac:dyDescent="0.25">
      <c r="B964" s="204" t="s">
        <v>18</v>
      </c>
      <c r="C964" s="198" t="s">
        <v>531</v>
      </c>
      <c r="D964" s="147" t="s">
        <v>1260</v>
      </c>
      <c r="E964" s="148">
        <v>0</v>
      </c>
      <c r="F964" s="149" t="s">
        <v>1289</v>
      </c>
      <c r="G964" s="151"/>
    </row>
    <row r="965" spans="2:11" x14ac:dyDescent="0.25">
      <c r="B965" s="204" t="s">
        <v>18</v>
      </c>
      <c r="C965" s="198" t="s">
        <v>532</v>
      </c>
      <c r="D965" s="147"/>
      <c r="E965" s="148">
        <v>0</v>
      </c>
      <c r="F965" s="149" t="s">
        <v>1289</v>
      </c>
      <c r="G965" s="151"/>
    </row>
    <row r="966" spans="2:11" x14ac:dyDescent="0.25">
      <c r="B966" s="204" t="s">
        <v>18</v>
      </c>
      <c r="C966" s="198" t="s">
        <v>533</v>
      </c>
      <c r="D966" s="147"/>
      <c r="E966" s="148">
        <v>0</v>
      </c>
      <c r="F966" s="149" t="s">
        <v>1289</v>
      </c>
      <c r="G966" s="151"/>
    </row>
    <row r="967" spans="2:11" x14ac:dyDescent="0.25">
      <c r="B967" s="204" t="s">
        <v>18</v>
      </c>
      <c r="C967" s="198" t="s">
        <v>534</v>
      </c>
      <c r="D967" s="147"/>
      <c r="E967" s="148">
        <v>0</v>
      </c>
      <c r="F967" s="149" t="s">
        <v>1289</v>
      </c>
      <c r="G967" s="151"/>
    </row>
    <row r="968" spans="2:11" x14ac:dyDescent="0.25">
      <c r="B968" s="204" t="s">
        <v>18</v>
      </c>
      <c r="C968" s="198" t="s">
        <v>535</v>
      </c>
      <c r="D968" s="147" t="s">
        <v>1260</v>
      </c>
      <c r="E968" s="148">
        <v>2</v>
      </c>
      <c r="F968" s="149"/>
      <c r="G968" s="151"/>
    </row>
    <row r="969" spans="2:11" x14ac:dyDescent="0.25">
      <c r="B969" s="204" t="s">
        <v>18</v>
      </c>
      <c r="C969" s="198" t="s">
        <v>536</v>
      </c>
      <c r="D969" s="147" t="s">
        <v>1258</v>
      </c>
      <c r="E969" s="148">
        <v>50</v>
      </c>
      <c r="F969" s="149" t="s">
        <v>1289</v>
      </c>
      <c r="G969" s="151"/>
    </row>
    <row r="970" spans="2:11" ht="15" customHeight="1" x14ac:dyDescent="0.25">
      <c r="B970" s="203" t="s">
        <v>671</v>
      </c>
      <c r="C970" s="141" t="s">
        <v>672</v>
      </c>
      <c r="D970" s="59" t="s">
        <v>1258</v>
      </c>
      <c r="E970" s="65">
        <v>135</v>
      </c>
      <c r="F970" s="152" t="s">
        <v>1289</v>
      </c>
      <c r="G970" s="160"/>
      <c r="I970" s="265" t="s">
        <v>723</v>
      </c>
      <c r="J970" s="267"/>
      <c r="K970" s="73" t="s">
        <v>120</v>
      </c>
    </row>
    <row r="971" spans="2:11" x14ac:dyDescent="0.25">
      <c r="B971" s="203" t="s">
        <v>671</v>
      </c>
      <c r="C971" s="141" t="s">
        <v>673</v>
      </c>
      <c r="D971" s="59" t="s">
        <v>1258</v>
      </c>
      <c r="E971" s="65">
        <v>11</v>
      </c>
      <c r="F971" s="152" t="s">
        <v>1289</v>
      </c>
      <c r="G971" s="160"/>
      <c r="I971" s="42" t="s">
        <v>122</v>
      </c>
      <c r="J971" s="74">
        <v>35</v>
      </c>
      <c r="K971" s="75">
        <v>0.67</v>
      </c>
    </row>
    <row r="972" spans="2:11" x14ac:dyDescent="0.25">
      <c r="B972" s="203" t="s">
        <v>671</v>
      </c>
      <c r="C972" s="141" t="s">
        <v>674</v>
      </c>
      <c r="D972" s="59" t="s">
        <v>1258</v>
      </c>
      <c r="E972" s="65">
        <v>2</v>
      </c>
      <c r="F972" s="152" t="s">
        <v>1289</v>
      </c>
      <c r="G972" s="160"/>
      <c r="I972" s="76" t="s">
        <v>124</v>
      </c>
      <c r="J972" s="44">
        <v>17</v>
      </c>
      <c r="K972" s="63">
        <v>0.33</v>
      </c>
    </row>
    <row r="973" spans="2:11" x14ac:dyDescent="0.25">
      <c r="B973" s="203" t="s">
        <v>671</v>
      </c>
      <c r="C973" s="141" t="s">
        <v>675</v>
      </c>
      <c r="D973" s="59" t="s">
        <v>1259</v>
      </c>
      <c r="E973" s="65">
        <v>37</v>
      </c>
      <c r="F973" s="152" t="s">
        <v>1288</v>
      </c>
      <c r="G973" s="160"/>
      <c r="I973" s="46" t="s">
        <v>31</v>
      </c>
      <c r="J973" s="47">
        <f>SUM(J971:J972)</f>
        <v>52</v>
      </c>
      <c r="K973" s="48">
        <v>1</v>
      </c>
    </row>
    <row r="974" spans="2:11" x14ac:dyDescent="0.25">
      <c r="B974" s="203" t="s">
        <v>671</v>
      </c>
      <c r="C974" s="141" t="s">
        <v>676</v>
      </c>
      <c r="D974" s="59" t="s">
        <v>1259</v>
      </c>
      <c r="E974" s="65">
        <v>11</v>
      </c>
      <c r="F974" s="152" t="s">
        <v>1289</v>
      </c>
      <c r="G974" s="160"/>
    </row>
    <row r="975" spans="2:11" x14ac:dyDescent="0.25">
      <c r="B975" s="203" t="s">
        <v>671</v>
      </c>
      <c r="C975" s="141" t="s">
        <v>677</v>
      </c>
      <c r="D975" s="59"/>
      <c r="E975" s="65">
        <v>1</v>
      </c>
      <c r="F975" s="152" t="s">
        <v>1288</v>
      </c>
      <c r="G975" s="160"/>
    </row>
    <row r="976" spans="2:11" x14ac:dyDescent="0.25">
      <c r="B976" s="203" t="s">
        <v>671</v>
      </c>
      <c r="C976" s="141" t="s">
        <v>678</v>
      </c>
      <c r="D976" s="59" t="s">
        <v>1258</v>
      </c>
      <c r="E976" s="65">
        <v>150</v>
      </c>
      <c r="F976" s="152" t="s">
        <v>1289</v>
      </c>
      <c r="G976" s="160"/>
    </row>
    <row r="977" spans="2:10" x14ac:dyDescent="0.25">
      <c r="B977" s="203" t="s">
        <v>671</v>
      </c>
      <c r="C977" s="141" t="s">
        <v>679</v>
      </c>
      <c r="D977" s="59" t="s">
        <v>1258</v>
      </c>
      <c r="E977" s="65">
        <v>94</v>
      </c>
      <c r="F977" s="152" t="s">
        <v>1288</v>
      </c>
      <c r="G977" s="160"/>
    </row>
    <row r="978" spans="2:10" x14ac:dyDescent="0.25">
      <c r="B978" s="203" t="s">
        <v>671</v>
      </c>
      <c r="C978" s="141" t="s">
        <v>680</v>
      </c>
      <c r="D978" s="59" t="s">
        <v>1258</v>
      </c>
      <c r="E978" s="65">
        <v>236</v>
      </c>
      <c r="F978" s="152" t="s">
        <v>1289</v>
      </c>
      <c r="G978" s="160"/>
      <c r="I978" t="s">
        <v>1266</v>
      </c>
      <c r="J978" t="s">
        <v>1269</v>
      </c>
    </row>
    <row r="979" spans="2:10" x14ac:dyDescent="0.25">
      <c r="B979" s="203" t="s">
        <v>671</v>
      </c>
      <c r="C979" s="141" t="s">
        <v>681</v>
      </c>
      <c r="D979" s="59" t="s">
        <v>1260</v>
      </c>
      <c r="E979" s="65">
        <v>18</v>
      </c>
      <c r="F979" s="152" t="s">
        <v>1289</v>
      </c>
      <c r="G979" s="160"/>
      <c r="I979" s="130" t="s">
        <v>1258</v>
      </c>
      <c r="J979">
        <v>1977</v>
      </c>
    </row>
    <row r="980" spans="2:10" x14ac:dyDescent="0.25">
      <c r="B980" s="203" t="s">
        <v>671</v>
      </c>
      <c r="C980" s="141" t="s">
        <v>682</v>
      </c>
      <c r="D980" s="59" t="s">
        <v>1258</v>
      </c>
      <c r="E980" s="65">
        <v>68</v>
      </c>
      <c r="F980" s="152" t="s">
        <v>1288</v>
      </c>
      <c r="G980" s="160"/>
      <c r="I980" s="130" t="s">
        <v>1259</v>
      </c>
      <c r="J980">
        <v>96</v>
      </c>
    </row>
    <row r="981" spans="2:10" x14ac:dyDescent="0.25">
      <c r="B981" s="203" t="s">
        <v>671</v>
      </c>
      <c r="C981" s="141" t="s">
        <v>683</v>
      </c>
      <c r="D981" s="59" t="s">
        <v>1258</v>
      </c>
      <c r="E981" s="65">
        <v>1</v>
      </c>
      <c r="F981" s="152" t="s">
        <v>1289</v>
      </c>
      <c r="G981" s="160"/>
      <c r="I981" s="130" t="s">
        <v>1260</v>
      </c>
      <c r="J981">
        <v>110</v>
      </c>
    </row>
    <row r="982" spans="2:10" x14ac:dyDescent="0.25">
      <c r="B982" s="203" t="s">
        <v>671</v>
      </c>
      <c r="C982" s="141" t="s">
        <v>684</v>
      </c>
      <c r="D982" s="59"/>
      <c r="E982" s="65"/>
      <c r="F982" s="152" t="s">
        <v>1289</v>
      </c>
      <c r="G982" s="160"/>
      <c r="I982" s="130" t="s">
        <v>1264</v>
      </c>
      <c r="J982">
        <v>1</v>
      </c>
    </row>
    <row r="983" spans="2:10" x14ac:dyDescent="0.25">
      <c r="B983" s="203" t="s">
        <v>671</v>
      </c>
      <c r="C983" s="141" t="s">
        <v>685</v>
      </c>
      <c r="D983" s="59" t="s">
        <v>1259</v>
      </c>
      <c r="E983" s="65">
        <v>20</v>
      </c>
      <c r="F983" s="152" t="s">
        <v>1289</v>
      </c>
      <c r="G983" s="160"/>
      <c r="I983" s="130" t="s">
        <v>1265</v>
      </c>
      <c r="J983">
        <v>2184</v>
      </c>
    </row>
    <row r="984" spans="2:10" x14ac:dyDescent="0.25">
      <c r="B984" s="203" t="s">
        <v>671</v>
      </c>
      <c r="C984" s="141" t="s">
        <v>686</v>
      </c>
      <c r="D984" s="59" t="s">
        <v>1260</v>
      </c>
      <c r="E984" s="65">
        <v>2</v>
      </c>
      <c r="F984" s="152" t="s">
        <v>1289</v>
      </c>
      <c r="G984" s="160"/>
    </row>
    <row r="985" spans="2:10" x14ac:dyDescent="0.25">
      <c r="B985" s="203" t="s">
        <v>671</v>
      </c>
      <c r="C985" s="141" t="s">
        <v>687</v>
      </c>
      <c r="D985" s="59" t="s">
        <v>1258</v>
      </c>
      <c r="E985" s="65">
        <v>44</v>
      </c>
      <c r="F985" s="152" t="s">
        <v>1288</v>
      </c>
      <c r="G985" s="160"/>
    </row>
    <row r="986" spans="2:10" x14ac:dyDescent="0.25">
      <c r="B986" s="203" t="s">
        <v>671</v>
      </c>
      <c r="C986" s="206" t="s">
        <v>688</v>
      </c>
      <c r="D986" s="207" t="s">
        <v>1259</v>
      </c>
      <c r="E986" s="208">
        <v>1</v>
      </c>
      <c r="F986" s="209" t="s">
        <v>1288</v>
      </c>
      <c r="G986" s="210"/>
    </row>
    <row r="987" spans="2:10" x14ac:dyDescent="0.25">
      <c r="B987" s="203" t="s">
        <v>671</v>
      </c>
      <c r="C987" s="141" t="s">
        <v>689</v>
      </c>
      <c r="D987" s="59" t="s">
        <v>1258</v>
      </c>
      <c r="E987" s="65">
        <v>33</v>
      </c>
      <c r="F987" s="152" t="s">
        <v>1289</v>
      </c>
      <c r="G987" s="160"/>
    </row>
    <row r="988" spans="2:10" x14ac:dyDescent="0.25">
      <c r="B988" s="203" t="s">
        <v>671</v>
      </c>
      <c r="C988" s="141" t="s">
        <v>690</v>
      </c>
      <c r="D988" s="59" t="s">
        <v>1258</v>
      </c>
      <c r="E988" s="65">
        <v>11</v>
      </c>
      <c r="F988" s="152" t="s">
        <v>1289</v>
      </c>
      <c r="G988" s="160"/>
    </row>
    <row r="989" spans="2:10" x14ac:dyDescent="0.25">
      <c r="B989" s="203" t="s">
        <v>671</v>
      </c>
      <c r="C989" s="141" t="s">
        <v>691</v>
      </c>
      <c r="D989" s="59" t="s">
        <v>1258</v>
      </c>
      <c r="E989" s="65">
        <v>6</v>
      </c>
      <c r="F989" s="152" t="s">
        <v>1288</v>
      </c>
      <c r="G989" s="160"/>
    </row>
    <row r="990" spans="2:10" x14ac:dyDescent="0.25">
      <c r="B990" s="203" t="s">
        <v>671</v>
      </c>
      <c r="C990" s="141" t="s">
        <v>692</v>
      </c>
      <c r="D990" s="59" t="s">
        <v>1258</v>
      </c>
      <c r="E990" s="65">
        <v>129</v>
      </c>
      <c r="F990" s="152" t="s">
        <v>1289</v>
      </c>
      <c r="G990" s="160"/>
    </row>
    <row r="991" spans="2:10" x14ac:dyDescent="0.25">
      <c r="B991" s="203" t="s">
        <v>671</v>
      </c>
      <c r="C991" s="141" t="s">
        <v>693</v>
      </c>
      <c r="D991" s="59" t="s">
        <v>1258</v>
      </c>
      <c r="E991" s="65">
        <v>3</v>
      </c>
      <c r="F991" s="152" t="s">
        <v>1288</v>
      </c>
      <c r="G991" s="160"/>
    </row>
    <row r="992" spans="2:10" x14ac:dyDescent="0.25">
      <c r="B992" s="203" t="s">
        <v>671</v>
      </c>
      <c r="C992" s="141" t="s">
        <v>1263</v>
      </c>
      <c r="D992" s="59" t="s">
        <v>1258</v>
      </c>
      <c r="E992" s="65">
        <v>1</v>
      </c>
      <c r="F992" s="152" t="s">
        <v>1288</v>
      </c>
      <c r="G992" s="160"/>
    </row>
    <row r="993" spans="2:7" x14ac:dyDescent="0.25">
      <c r="B993" s="203" t="s">
        <v>671</v>
      </c>
      <c r="C993" s="141" t="s">
        <v>694</v>
      </c>
      <c r="D993" s="59" t="s">
        <v>1258</v>
      </c>
      <c r="E993" s="65">
        <v>202</v>
      </c>
      <c r="F993" s="152" t="s">
        <v>1288</v>
      </c>
      <c r="G993" s="160"/>
    </row>
    <row r="994" spans="2:7" x14ac:dyDescent="0.25">
      <c r="B994" s="203" t="s">
        <v>671</v>
      </c>
      <c r="C994" s="141" t="s">
        <v>695</v>
      </c>
      <c r="D994" s="59" t="s">
        <v>1258</v>
      </c>
      <c r="E994" s="65">
        <v>98</v>
      </c>
      <c r="F994" s="152" t="s">
        <v>1288</v>
      </c>
      <c r="G994" s="160"/>
    </row>
    <row r="995" spans="2:7" x14ac:dyDescent="0.25">
      <c r="B995" s="203" t="s">
        <v>671</v>
      </c>
      <c r="C995" s="141" t="s">
        <v>696</v>
      </c>
      <c r="D995" s="59" t="s">
        <v>1260</v>
      </c>
      <c r="E995" s="65">
        <v>3</v>
      </c>
      <c r="F995" s="152" t="s">
        <v>1288</v>
      </c>
      <c r="G995" s="160"/>
    </row>
    <row r="996" spans="2:7" x14ac:dyDescent="0.25">
      <c r="B996" s="203" t="s">
        <v>671</v>
      </c>
      <c r="C996" s="141" t="s">
        <v>697</v>
      </c>
      <c r="D996" s="59" t="s">
        <v>1258</v>
      </c>
      <c r="E996" s="65">
        <v>175</v>
      </c>
      <c r="F996" s="152" t="s">
        <v>1288</v>
      </c>
      <c r="G996" s="160"/>
    </row>
    <row r="997" spans="2:7" x14ac:dyDescent="0.25">
      <c r="B997" s="203" t="s">
        <v>671</v>
      </c>
      <c r="C997" s="141" t="s">
        <v>698</v>
      </c>
      <c r="D997" s="59" t="s">
        <v>1258</v>
      </c>
      <c r="E997" s="65">
        <v>142</v>
      </c>
      <c r="F997" s="152" t="s">
        <v>1288</v>
      </c>
      <c r="G997" s="160"/>
    </row>
    <row r="998" spans="2:7" x14ac:dyDescent="0.25">
      <c r="B998" s="203" t="s">
        <v>671</v>
      </c>
      <c r="C998" s="141" t="s">
        <v>699</v>
      </c>
      <c r="D998" s="59" t="s">
        <v>1258</v>
      </c>
      <c r="E998" s="65">
        <v>97</v>
      </c>
      <c r="F998" s="152" t="s">
        <v>1288</v>
      </c>
      <c r="G998" s="160"/>
    </row>
    <row r="999" spans="2:7" x14ac:dyDescent="0.25">
      <c r="B999" s="203" t="s">
        <v>671</v>
      </c>
      <c r="C999" s="141" t="s">
        <v>700</v>
      </c>
      <c r="D999" s="59" t="s">
        <v>1258</v>
      </c>
      <c r="E999" s="65">
        <v>10</v>
      </c>
      <c r="F999" s="152" t="s">
        <v>1289</v>
      </c>
      <c r="G999" s="160"/>
    </row>
    <row r="1000" spans="2:7" x14ac:dyDescent="0.25">
      <c r="B1000" s="203" t="s">
        <v>671</v>
      </c>
      <c r="C1000" s="141" t="s">
        <v>701</v>
      </c>
      <c r="D1000" s="59" t="s">
        <v>1258</v>
      </c>
      <c r="E1000" s="65">
        <v>8</v>
      </c>
      <c r="F1000" s="152" t="s">
        <v>1289</v>
      </c>
      <c r="G1000" s="160"/>
    </row>
    <row r="1001" spans="2:7" x14ac:dyDescent="0.25">
      <c r="B1001" s="203" t="s">
        <v>671</v>
      </c>
      <c r="C1001" s="141" t="s">
        <v>702</v>
      </c>
      <c r="D1001" s="59" t="s">
        <v>1258</v>
      </c>
      <c r="E1001" s="65">
        <v>22</v>
      </c>
      <c r="F1001" s="152" t="s">
        <v>1289</v>
      </c>
      <c r="G1001" s="160"/>
    </row>
    <row r="1002" spans="2:7" x14ac:dyDescent="0.25">
      <c r="B1002" s="203" t="s">
        <v>671</v>
      </c>
      <c r="C1002" s="141" t="s">
        <v>703</v>
      </c>
      <c r="D1002" s="59" t="s">
        <v>1258</v>
      </c>
      <c r="E1002" s="65">
        <v>15</v>
      </c>
      <c r="F1002" s="152" t="s">
        <v>1289</v>
      </c>
      <c r="G1002" s="160"/>
    </row>
    <row r="1003" spans="2:7" x14ac:dyDescent="0.25">
      <c r="B1003" s="203" t="s">
        <v>671</v>
      </c>
      <c r="C1003" s="141" t="s">
        <v>704</v>
      </c>
      <c r="D1003" s="59" t="s">
        <v>1260</v>
      </c>
      <c r="E1003" s="65">
        <v>13</v>
      </c>
      <c r="F1003" s="152" t="s">
        <v>1289</v>
      </c>
      <c r="G1003" s="160"/>
    </row>
    <row r="1004" spans="2:7" x14ac:dyDescent="0.25">
      <c r="B1004" s="203" t="s">
        <v>671</v>
      </c>
      <c r="C1004" s="141" t="s">
        <v>705</v>
      </c>
      <c r="D1004" s="59" t="s">
        <v>1260</v>
      </c>
      <c r="E1004" s="65">
        <v>11</v>
      </c>
      <c r="F1004" s="152" t="s">
        <v>1288</v>
      </c>
      <c r="G1004" s="160"/>
    </row>
    <row r="1005" spans="2:7" x14ac:dyDescent="0.25">
      <c r="B1005" s="203" t="s">
        <v>671</v>
      </c>
      <c r="C1005" s="141" t="s">
        <v>706</v>
      </c>
      <c r="D1005" s="59" t="s">
        <v>1258</v>
      </c>
      <c r="E1005" s="65">
        <v>3</v>
      </c>
      <c r="F1005" s="152" t="s">
        <v>1289</v>
      </c>
      <c r="G1005" s="160"/>
    </row>
    <row r="1006" spans="2:7" x14ac:dyDescent="0.25">
      <c r="B1006" s="203" t="s">
        <v>671</v>
      </c>
      <c r="C1006" s="141" t="s">
        <v>707</v>
      </c>
      <c r="D1006" s="59" t="s">
        <v>1258</v>
      </c>
      <c r="E1006" s="65">
        <v>40</v>
      </c>
      <c r="F1006" s="152" t="s">
        <v>1289</v>
      </c>
      <c r="G1006" s="160"/>
    </row>
    <row r="1007" spans="2:7" x14ac:dyDescent="0.25">
      <c r="B1007" s="203" t="s">
        <v>671</v>
      </c>
      <c r="C1007" s="141" t="s">
        <v>708</v>
      </c>
      <c r="D1007" s="59" t="s">
        <v>1258</v>
      </c>
      <c r="E1007" s="65">
        <v>95</v>
      </c>
      <c r="F1007" s="152" t="s">
        <v>1289</v>
      </c>
      <c r="G1007" s="160"/>
    </row>
    <row r="1008" spans="2:7" x14ac:dyDescent="0.25">
      <c r="B1008" s="203" t="s">
        <v>671</v>
      </c>
      <c r="C1008" s="141" t="s">
        <v>709</v>
      </c>
      <c r="D1008" s="59" t="s">
        <v>1258</v>
      </c>
      <c r="E1008" s="65">
        <v>2</v>
      </c>
      <c r="F1008" s="152" t="s">
        <v>1289</v>
      </c>
      <c r="G1008" s="160"/>
    </row>
    <row r="1009" spans="2:11" x14ac:dyDescent="0.25">
      <c r="B1009" s="203" t="s">
        <v>671</v>
      </c>
      <c r="C1009" s="141" t="s">
        <v>710</v>
      </c>
      <c r="D1009" s="59" t="s">
        <v>1258</v>
      </c>
      <c r="E1009" s="65">
        <v>3</v>
      </c>
      <c r="F1009" s="152" t="s">
        <v>1289</v>
      </c>
      <c r="G1009" s="160"/>
    </row>
    <row r="1010" spans="2:11" x14ac:dyDescent="0.25">
      <c r="B1010" s="203" t="s">
        <v>671</v>
      </c>
      <c r="C1010" s="141" t="s">
        <v>711</v>
      </c>
      <c r="D1010" s="59" t="s">
        <v>1259</v>
      </c>
      <c r="E1010" s="65">
        <v>21</v>
      </c>
      <c r="F1010" s="152" t="s">
        <v>1289</v>
      </c>
      <c r="G1010" s="160"/>
    </row>
    <row r="1011" spans="2:11" x14ac:dyDescent="0.25">
      <c r="B1011" s="203" t="s">
        <v>671</v>
      </c>
      <c r="C1011" s="141" t="s">
        <v>712</v>
      </c>
      <c r="D1011" s="59" t="s">
        <v>1260</v>
      </c>
      <c r="E1011" s="65">
        <v>1</v>
      </c>
      <c r="F1011" s="152" t="s">
        <v>1289</v>
      </c>
      <c r="G1011" s="160"/>
    </row>
    <row r="1012" spans="2:11" x14ac:dyDescent="0.25">
      <c r="B1012" s="203" t="s">
        <v>671</v>
      </c>
      <c r="C1012" s="141" t="s">
        <v>713</v>
      </c>
      <c r="D1012" s="59" t="s">
        <v>1260</v>
      </c>
      <c r="E1012" s="65">
        <v>15</v>
      </c>
      <c r="F1012" s="152" t="s">
        <v>1289</v>
      </c>
      <c r="G1012" s="160"/>
    </row>
    <row r="1013" spans="2:11" x14ac:dyDescent="0.25">
      <c r="B1013" s="203" t="s">
        <v>671</v>
      </c>
      <c r="C1013" s="141" t="s">
        <v>714</v>
      </c>
      <c r="D1013" s="59" t="s">
        <v>1258</v>
      </c>
      <c r="E1013" s="65">
        <v>13</v>
      </c>
      <c r="F1013" s="152" t="s">
        <v>1289</v>
      </c>
      <c r="G1013" s="160"/>
    </row>
    <row r="1014" spans="2:11" x14ac:dyDescent="0.25">
      <c r="B1014" s="203" t="s">
        <v>671</v>
      </c>
      <c r="C1014" s="141" t="s">
        <v>715</v>
      </c>
      <c r="D1014" s="59" t="s">
        <v>1258</v>
      </c>
      <c r="E1014" s="65">
        <v>242</v>
      </c>
      <c r="F1014" s="152" t="s">
        <v>1289</v>
      </c>
      <c r="G1014" s="160"/>
    </row>
    <row r="1015" spans="2:11" x14ac:dyDescent="0.25">
      <c r="B1015" s="203" t="s">
        <v>671</v>
      </c>
      <c r="C1015" s="141" t="s">
        <v>716</v>
      </c>
      <c r="D1015" s="59" t="s">
        <v>1258</v>
      </c>
      <c r="E1015" s="65">
        <v>14</v>
      </c>
      <c r="F1015" s="152" t="s">
        <v>1289</v>
      </c>
      <c r="G1015" s="160"/>
    </row>
    <row r="1016" spans="2:11" x14ac:dyDescent="0.25">
      <c r="B1016" s="203" t="s">
        <v>671</v>
      </c>
      <c r="C1016" s="141" t="s">
        <v>717</v>
      </c>
      <c r="D1016" s="59" t="s">
        <v>1258</v>
      </c>
      <c r="E1016" s="65">
        <v>4</v>
      </c>
      <c r="F1016" s="152" t="s">
        <v>1289</v>
      </c>
      <c r="G1016" s="160"/>
    </row>
    <row r="1017" spans="2:11" x14ac:dyDescent="0.25">
      <c r="B1017" s="203" t="s">
        <v>671</v>
      </c>
      <c r="C1017" s="141" t="s">
        <v>718</v>
      </c>
      <c r="D1017" s="59" t="s">
        <v>1259</v>
      </c>
      <c r="E1017" s="65">
        <v>6</v>
      </c>
      <c r="F1017" s="152" t="s">
        <v>1289</v>
      </c>
      <c r="G1017" s="160"/>
    </row>
    <row r="1018" spans="2:11" x14ac:dyDescent="0.25">
      <c r="B1018" s="203" t="s">
        <v>671</v>
      </c>
      <c r="C1018" s="206" t="s">
        <v>719</v>
      </c>
      <c r="D1018" s="207" t="s">
        <v>1258</v>
      </c>
      <c r="E1018" s="208">
        <v>2</v>
      </c>
      <c r="F1018" s="209" t="s">
        <v>1289</v>
      </c>
      <c r="G1018" s="210"/>
    </row>
    <row r="1019" spans="2:11" x14ac:dyDescent="0.25">
      <c r="B1019" s="203" t="s">
        <v>671</v>
      </c>
      <c r="C1019" s="141" t="s">
        <v>720</v>
      </c>
      <c r="D1019" s="59" t="s">
        <v>1260</v>
      </c>
      <c r="E1019" s="65">
        <v>47</v>
      </c>
      <c r="F1019" s="152" t="s">
        <v>1288</v>
      </c>
      <c r="G1019" s="160"/>
    </row>
    <row r="1020" spans="2:11" x14ac:dyDescent="0.25">
      <c r="B1020" s="203" t="s">
        <v>671</v>
      </c>
      <c r="C1020" s="141" t="s">
        <v>721</v>
      </c>
      <c r="D1020" s="59" t="s">
        <v>1258</v>
      </c>
      <c r="E1020" s="65">
        <v>1</v>
      </c>
      <c r="F1020" s="152" t="s">
        <v>1289</v>
      </c>
      <c r="G1020" s="160"/>
    </row>
    <row r="1021" spans="2:11" ht="15" customHeight="1" x14ac:dyDescent="0.25">
      <c r="B1021" s="204" t="s">
        <v>754</v>
      </c>
      <c r="C1021" s="198" t="s">
        <v>1096</v>
      </c>
      <c r="D1021" s="147" t="s">
        <v>1258</v>
      </c>
      <c r="E1021" s="148">
        <v>205</v>
      </c>
      <c r="F1021" s="149"/>
      <c r="G1021" s="200"/>
    </row>
    <row r="1022" spans="2:11" x14ac:dyDescent="0.25">
      <c r="B1022" s="204" t="s">
        <v>754</v>
      </c>
      <c r="C1022" s="198" t="s">
        <v>1097</v>
      </c>
      <c r="D1022" s="147" t="s">
        <v>1260</v>
      </c>
      <c r="E1022" s="148">
        <v>102</v>
      </c>
      <c r="F1022" s="149"/>
      <c r="G1022" s="200"/>
    </row>
    <row r="1023" spans="2:11" x14ac:dyDescent="0.25">
      <c r="B1023" s="204" t="s">
        <v>754</v>
      </c>
      <c r="C1023" s="198" t="s">
        <v>1098</v>
      </c>
      <c r="D1023" s="147" t="s">
        <v>1258</v>
      </c>
      <c r="E1023" s="148">
        <v>32</v>
      </c>
      <c r="F1023" s="149"/>
      <c r="G1023" s="200"/>
      <c r="J1023" t="s">
        <v>1266</v>
      </c>
      <c r="K1023" t="s">
        <v>1268</v>
      </c>
    </row>
    <row r="1024" spans="2:11" x14ac:dyDescent="0.25">
      <c r="B1024" s="204" t="s">
        <v>754</v>
      </c>
      <c r="C1024" s="198" t="s">
        <v>1099</v>
      </c>
      <c r="D1024" s="147" t="s">
        <v>1258</v>
      </c>
      <c r="E1024" s="148">
        <v>45</v>
      </c>
      <c r="F1024" s="149"/>
      <c r="G1024" s="200"/>
      <c r="J1024" s="130" t="s">
        <v>1258</v>
      </c>
      <c r="K1024">
        <v>5176</v>
      </c>
    </row>
    <row r="1025" spans="2:11" x14ac:dyDescent="0.25">
      <c r="B1025" s="204" t="s">
        <v>754</v>
      </c>
      <c r="C1025" s="198" t="s">
        <v>1100</v>
      </c>
      <c r="D1025" s="147" t="s">
        <v>1260</v>
      </c>
      <c r="E1025" s="148">
        <v>56</v>
      </c>
      <c r="F1025" s="149"/>
      <c r="G1025" s="200"/>
      <c r="J1025" s="130" t="s">
        <v>1259</v>
      </c>
      <c r="K1025">
        <v>1270</v>
      </c>
    </row>
    <row r="1026" spans="2:11" x14ac:dyDescent="0.25">
      <c r="B1026" s="204" t="s">
        <v>754</v>
      </c>
      <c r="C1026" s="198" t="s">
        <v>1101</v>
      </c>
      <c r="D1026" s="147" t="s">
        <v>1260</v>
      </c>
      <c r="E1026" s="148">
        <v>153</v>
      </c>
      <c r="F1026" s="149"/>
      <c r="G1026" s="200"/>
      <c r="J1026" s="130" t="s">
        <v>1260</v>
      </c>
      <c r="K1026">
        <v>943</v>
      </c>
    </row>
    <row r="1027" spans="2:11" x14ac:dyDescent="0.25">
      <c r="B1027" s="204" t="s">
        <v>754</v>
      </c>
      <c r="C1027" s="198" t="s">
        <v>1102</v>
      </c>
      <c r="D1027" s="147" t="s">
        <v>1258</v>
      </c>
      <c r="E1027" s="148">
        <v>56</v>
      </c>
      <c r="F1027" s="149"/>
      <c r="G1027" s="200"/>
      <c r="J1027" s="130" t="s">
        <v>1265</v>
      </c>
      <c r="K1027">
        <v>7389</v>
      </c>
    </row>
    <row r="1028" spans="2:11" x14ac:dyDescent="0.25">
      <c r="B1028" s="204" t="s">
        <v>754</v>
      </c>
      <c r="C1028" s="198" t="s">
        <v>1103</v>
      </c>
      <c r="D1028" s="147" t="s">
        <v>1258</v>
      </c>
      <c r="E1028" s="148">
        <v>178</v>
      </c>
      <c r="F1028" s="149"/>
      <c r="G1028" s="200"/>
    </row>
    <row r="1029" spans="2:11" x14ac:dyDescent="0.25">
      <c r="B1029" s="204" t="s">
        <v>754</v>
      </c>
      <c r="C1029" s="198" t="s">
        <v>1104</v>
      </c>
      <c r="D1029" s="147" t="s">
        <v>1260</v>
      </c>
      <c r="E1029" s="148">
        <v>89</v>
      </c>
      <c r="F1029" s="149"/>
      <c r="G1029" s="200"/>
    </row>
    <row r="1030" spans="2:11" x14ac:dyDescent="0.25">
      <c r="B1030" s="204" t="s">
        <v>754</v>
      </c>
      <c r="C1030" s="198" t="s">
        <v>1105</v>
      </c>
      <c r="D1030" s="147" t="s">
        <v>1258</v>
      </c>
      <c r="E1030" s="148">
        <v>110</v>
      </c>
      <c r="F1030" s="149"/>
      <c r="G1030" s="200"/>
    </row>
    <row r="1031" spans="2:11" x14ac:dyDescent="0.25">
      <c r="B1031" s="204" t="s">
        <v>754</v>
      </c>
      <c r="C1031" s="198" t="s">
        <v>1106</v>
      </c>
      <c r="D1031" s="147" t="s">
        <v>1258</v>
      </c>
      <c r="E1031" s="148">
        <v>112</v>
      </c>
      <c r="F1031" s="149"/>
      <c r="G1031" s="200"/>
    </row>
    <row r="1032" spans="2:11" x14ac:dyDescent="0.25">
      <c r="B1032" s="204" t="s">
        <v>754</v>
      </c>
      <c r="C1032" s="198" t="s">
        <v>1107</v>
      </c>
      <c r="D1032" s="147" t="s">
        <v>1258</v>
      </c>
      <c r="E1032" s="148">
        <v>75</v>
      </c>
      <c r="F1032" s="149"/>
      <c r="G1032" s="200"/>
    </row>
    <row r="1033" spans="2:11" x14ac:dyDescent="0.25">
      <c r="B1033" s="204" t="s">
        <v>754</v>
      </c>
      <c r="C1033" s="198" t="s">
        <v>1108</v>
      </c>
      <c r="D1033" s="147" t="s">
        <v>1258</v>
      </c>
      <c r="E1033" s="148">
        <v>20</v>
      </c>
      <c r="F1033" s="149"/>
      <c r="G1033" s="200"/>
    </row>
    <row r="1034" spans="2:11" x14ac:dyDescent="0.25">
      <c r="B1034" s="204" t="s">
        <v>754</v>
      </c>
      <c r="C1034" s="198" t="s">
        <v>1109</v>
      </c>
      <c r="D1034" s="147" t="s">
        <v>1258</v>
      </c>
      <c r="E1034" s="148">
        <v>63</v>
      </c>
      <c r="F1034" s="149"/>
      <c r="G1034" s="200"/>
    </row>
    <row r="1035" spans="2:11" x14ac:dyDescent="0.25">
      <c r="B1035" s="204" t="s">
        <v>754</v>
      </c>
      <c r="C1035" s="198" t="s">
        <v>1110</v>
      </c>
      <c r="D1035" s="147" t="s">
        <v>1258</v>
      </c>
      <c r="E1035" s="148">
        <v>65</v>
      </c>
      <c r="F1035" s="149"/>
      <c r="G1035" s="200"/>
    </row>
    <row r="1036" spans="2:11" x14ac:dyDescent="0.25">
      <c r="B1036" s="204" t="s">
        <v>754</v>
      </c>
      <c r="C1036" s="198" t="s">
        <v>1111</v>
      </c>
      <c r="D1036" s="147" t="s">
        <v>1260</v>
      </c>
      <c r="E1036" s="148">
        <v>142</v>
      </c>
      <c r="F1036" s="149"/>
      <c r="G1036" s="200"/>
    </row>
    <row r="1037" spans="2:11" x14ac:dyDescent="0.25">
      <c r="B1037" s="204" t="s">
        <v>754</v>
      </c>
      <c r="C1037" s="198" t="s">
        <v>1112</v>
      </c>
      <c r="D1037" s="147" t="s">
        <v>1258</v>
      </c>
      <c r="E1037" s="148">
        <v>74</v>
      </c>
      <c r="F1037" s="149"/>
      <c r="G1037" s="200"/>
    </row>
    <row r="1038" spans="2:11" x14ac:dyDescent="0.25">
      <c r="B1038" s="204" t="s">
        <v>754</v>
      </c>
      <c r="C1038" s="198" t="s">
        <v>1113</v>
      </c>
      <c r="D1038" s="147" t="s">
        <v>1260</v>
      </c>
      <c r="E1038" s="148">
        <v>36</v>
      </c>
      <c r="F1038" s="149"/>
      <c r="G1038" s="200"/>
    </row>
    <row r="1039" spans="2:11" x14ac:dyDescent="0.25">
      <c r="B1039" s="204" t="s">
        <v>754</v>
      </c>
      <c r="C1039" s="198" t="s">
        <v>1114</v>
      </c>
      <c r="D1039" s="147" t="s">
        <v>1259</v>
      </c>
      <c r="E1039" s="148">
        <v>23</v>
      </c>
      <c r="F1039" s="149"/>
      <c r="G1039" s="200"/>
    </row>
    <row r="1040" spans="2:11" x14ac:dyDescent="0.25">
      <c r="B1040" s="204" t="s">
        <v>754</v>
      </c>
      <c r="C1040" s="198" t="s">
        <v>1115</v>
      </c>
      <c r="D1040" s="147" t="s">
        <v>1260</v>
      </c>
      <c r="E1040" s="148">
        <v>12</v>
      </c>
      <c r="F1040" s="149"/>
      <c r="G1040" s="200"/>
    </row>
    <row r="1041" spans="2:7" x14ac:dyDescent="0.25">
      <c r="B1041" s="204" t="s">
        <v>754</v>
      </c>
      <c r="C1041" s="198" t="s">
        <v>1116</v>
      </c>
      <c r="D1041" s="147" t="s">
        <v>1258</v>
      </c>
      <c r="E1041" s="148">
        <v>194</v>
      </c>
      <c r="F1041" s="149"/>
      <c r="G1041" s="200"/>
    </row>
    <row r="1042" spans="2:7" x14ac:dyDescent="0.25">
      <c r="B1042" s="204" t="s">
        <v>754</v>
      </c>
      <c r="C1042" s="198" t="s">
        <v>1117</v>
      </c>
      <c r="D1042" s="147" t="s">
        <v>1258</v>
      </c>
      <c r="E1042" s="148">
        <v>136</v>
      </c>
      <c r="F1042" s="149"/>
      <c r="G1042" s="200"/>
    </row>
    <row r="1043" spans="2:7" x14ac:dyDescent="0.25">
      <c r="B1043" s="204" t="s">
        <v>754</v>
      </c>
      <c r="C1043" s="198" t="s">
        <v>1118</v>
      </c>
      <c r="D1043" s="147" t="s">
        <v>1259</v>
      </c>
      <c r="E1043" s="148">
        <v>157</v>
      </c>
      <c r="F1043" s="149"/>
      <c r="G1043" s="200"/>
    </row>
    <row r="1044" spans="2:7" x14ac:dyDescent="0.25">
      <c r="B1044" s="204" t="s">
        <v>754</v>
      </c>
      <c r="C1044" s="198" t="s">
        <v>1119</v>
      </c>
      <c r="D1044" s="147" t="s">
        <v>1259</v>
      </c>
      <c r="E1044" s="148">
        <v>159</v>
      </c>
      <c r="F1044" s="149"/>
      <c r="G1044" s="200"/>
    </row>
    <row r="1045" spans="2:7" x14ac:dyDescent="0.25">
      <c r="B1045" s="204" t="s">
        <v>754</v>
      </c>
      <c r="C1045" s="198" t="s">
        <v>1120</v>
      </c>
      <c r="D1045" s="147" t="s">
        <v>1258</v>
      </c>
      <c r="E1045" s="148">
        <v>148</v>
      </c>
      <c r="F1045" s="149"/>
      <c r="G1045" s="200"/>
    </row>
    <row r="1046" spans="2:7" x14ac:dyDescent="0.25">
      <c r="B1046" s="204" t="s">
        <v>754</v>
      </c>
      <c r="C1046" s="198" t="s">
        <v>1121</v>
      </c>
      <c r="D1046" s="147" t="s">
        <v>1259</v>
      </c>
      <c r="E1046" s="148">
        <v>225</v>
      </c>
      <c r="F1046" s="149"/>
      <c r="G1046" s="200"/>
    </row>
    <row r="1047" spans="2:7" x14ac:dyDescent="0.25">
      <c r="B1047" s="204" t="s">
        <v>754</v>
      </c>
      <c r="C1047" s="198" t="s">
        <v>1122</v>
      </c>
      <c r="D1047" s="147" t="s">
        <v>1259</v>
      </c>
      <c r="E1047" s="148">
        <v>136</v>
      </c>
      <c r="F1047" s="149"/>
      <c r="G1047" s="200"/>
    </row>
    <row r="1048" spans="2:7" x14ac:dyDescent="0.25">
      <c r="B1048" s="204" t="s">
        <v>754</v>
      </c>
      <c r="C1048" s="198" t="s">
        <v>1123</v>
      </c>
      <c r="D1048" s="147" t="s">
        <v>1259</v>
      </c>
      <c r="E1048" s="148">
        <v>52</v>
      </c>
      <c r="F1048" s="149"/>
      <c r="G1048" s="200"/>
    </row>
    <row r="1049" spans="2:7" x14ac:dyDescent="0.25">
      <c r="B1049" s="204" t="s">
        <v>754</v>
      </c>
      <c r="C1049" s="198" t="s">
        <v>1124</v>
      </c>
      <c r="D1049" s="147" t="s">
        <v>1259</v>
      </c>
      <c r="E1049" s="148">
        <v>85</v>
      </c>
      <c r="F1049" s="149"/>
      <c r="G1049" s="200"/>
    </row>
    <row r="1050" spans="2:7" x14ac:dyDescent="0.25">
      <c r="B1050" s="204" t="s">
        <v>754</v>
      </c>
      <c r="C1050" s="198" t="s">
        <v>1125</v>
      </c>
      <c r="D1050" s="147" t="s">
        <v>1259</v>
      </c>
      <c r="E1050" s="148">
        <v>12</v>
      </c>
      <c r="F1050" s="149"/>
      <c r="G1050" s="200"/>
    </row>
    <row r="1051" spans="2:7" x14ac:dyDescent="0.25">
      <c r="B1051" s="204" t="s">
        <v>754</v>
      </c>
      <c r="C1051" s="198" t="s">
        <v>1126</v>
      </c>
      <c r="D1051" s="147" t="s">
        <v>1260</v>
      </c>
      <c r="E1051" s="148">
        <v>34</v>
      </c>
      <c r="F1051" s="149"/>
      <c r="G1051" s="200"/>
    </row>
    <row r="1052" spans="2:7" x14ac:dyDescent="0.25">
      <c r="B1052" s="204" t="s">
        <v>754</v>
      </c>
      <c r="C1052" s="198" t="s">
        <v>1127</v>
      </c>
      <c r="D1052" s="147" t="s">
        <v>1258</v>
      </c>
      <c r="E1052" s="148">
        <v>15</v>
      </c>
      <c r="F1052" s="149"/>
      <c r="G1052" s="200"/>
    </row>
    <row r="1053" spans="2:7" x14ac:dyDescent="0.25">
      <c r="B1053" s="204" t="s">
        <v>754</v>
      </c>
      <c r="C1053" s="198" t="s">
        <v>1128</v>
      </c>
      <c r="D1053" s="147" t="s">
        <v>1258</v>
      </c>
      <c r="E1053" s="148">
        <v>96</v>
      </c>
      <c r="F1053" s="149"/>
      <c r="G1053" s="200"/>
    </row>
    <row r="1054" spans="2:7" x14ac:dyDescent="0.25">
      <c r="B1054" s="204" t="s">
        <v>754</v>
      </c>
      <c r="C1054" s="198" t="s">
        <v>1129</v>
      </c>
      <c r="D1054" s="147" t="s">
        <v>1258</v>
      </c>
      <c r="E1054" s="148">
        <v>89</v>
      </c>
      <c r="F1054" s="149"/>
      <c r="G1054" s="200"/>
    </row>
    <row r="1055" spans="2:7" x14ac:dyDescent="0.25">
      <c r="B1055" s="204" t="s">
        <v>754</v>
      </c>
      <c r="C1055" s="198" t="s">
        <v>1130</v>
      </c>
      <c r="D1055" s="147" t="s">
        <v>1258</v>
      </c>
      <c r="E1055" s="148">
        <v>136</v>
      </c>
      <c r="F1055" s="149"/>
      <c r="G1055" s="200"/>
    </row>
    <row r="1056" spans="2:7" x14ac:dyDescent="0.25">
      <c r="B1056" s="204" t="s">
        <v>754</v>
      </c>
      <c r="C1056" s="198" t="s">
        <v>1131</v>
      </c>
      <c r="D1056" s="147" t="s">
        <v>1258</v>
      </c>
      <c r="E1056" s="148">
        <v>114</v>
      </c>
      <c r="F1056" s="149"/>
      <c r="G1056" s="200"/>
    </row>
    <row r="1057" spans="2:7" x14ac:dyDescent="0.25">
      <c r="B1057" s="204" t="s">
        <v>754</v>
      </c>
      <c r="C1057" s="198" t="s">
        <v>1132</v>
      </c>
      <c r="D1057" s="147" t="s">
        <v>1258</v>
      </c>
      <c r="E1057" s="148">
        <v>199</v>
      </c>
      <c r="F1057" s="149"/>
      <c r="G1057" s="200"/>
    </row>
    <row r="1058" spans="2:7" x14ac:dyDescent="0.25">
      <c r="B1058" s="204" t="s">
        <v>754</v>
      </c>
      <c r="C1058" s="198" t="s">
        <v>1133</v>
      </c>
      <c r="D1058" s="147" t="s">
        <v>1258</v>
      </c>
      <c r="E1058" s="148">
        <v>63</v>
      </c>
      <c r="F1058" s="149"/>
      <c r="G1058" s="200"/>
    </row>
    <row r="1059" spans="2:7" x14ac:dyDescent="0.25">
      <c r="B1059" s="204" t="s">
        <v>754</v>
      </c>
      <c r="C1059" s="198" t="s">
        <v>1134</v>
      </c>
      <c r="D1059" s="147" t="s">
        <v>1258</v>
      </c>
      <c r="E1059" s="148">
        <v>54</v>
      </c>
      <c r="F1059" s="149"/>
      <c r="G1059" s="200"/>
    </row>
    <row r="1060" spans="2:7" x14ac:dyDescent="0.25">
      <c r="B1060" s="204" t="s">
        <v>754</v>
      </c>
      <c r="C1060" s="198" t="s">
        <v>1135</v>
      </c>
      <c r="D1060" s="147" t="s">
        <v>1260</v>
      </c>
      <c r="E1060" s="148">
        <v>86</v>
      </c>
      <c r="F1060" s="149"/>
      <c r="G1060" s="200"/>
    </row>
    <row r="1061" spans="2:7" x14ac:dyDescent="0.25">
      <c r="B1061" s="204" t="s">
        <v>754</v>
      </c>
      <c r="C1061" s="198" t="s">
        <v>1136</v>
      </c>
      <c r="D1061" s="147" t="s">
        <v>1259</v>
      </c>
      <c r="E1061" s="148">
        <v>67</v>
      </c>
      <c r="F1061" s="149"/>
      <c r="G1061" s="200"/>
    </row>
    <row r="1062" spans="2:7" x14ac:dyDescent="0.25">
      <c r="B1062" s="204" t="s">
        <v>754</v>
      </c>
      <c r="C1062" s="198" t="s">
        <v>1137</v>
      </c>
      <c r="D1062" s="147" t="s">
        <v>1260</v>
      </c>
      <c r="E1062" s="148">
        <v>63</v>
      </c>
      <c r="F1062" s="149"/>
      <c r="G1062" s="200"/>
    </row>
    <row r="1063" spans="2:7" x14ac:dyDescent="0.25">
      <c r="B1063" s="204" t="s">
        <v>754</v>
      </c>
      <c r="C1063" s="198" t="s">
        <v>1138</v>
      </c>
      <c r="D1063" s="147" t="s">
        <v>1260</v>
      </c>
      <c r="E1063" s="148">
        <v>76</v>
      </c>
      <c r="F1063" s="149"/>
      <c r="G1063" s="200"/>
    </row>
    <row r="1064" spans="2:7" x14ac:dyDescent="0.25">
      <c r="B1064" s="204" t="s">
        <v>754</v>
      </c>
      <c r="C1064" s="198" t="s">
        <v>1139</v>
      </c>
      <c r="D1064" s="147" t="s">
        <v>1258</v>
      </c>
      <c r="E1064" s="148">
        <v>10</v>
      </c>
      <c r="F1064" s="149"/>
      <c r="G1064" s="200"/>
    </row>
    <row r="1065" spans="2:7" x14ac:dyDescent="0.25">
      <c r="B1065" s="204" t="s">
        <v>754</v>
      </c>
      <c r="C1065" s="198" t="s">
        <v>1140</v>
      </c>
      <c r="D1065" s="147" t="s">
        <v>1258</v>
      </c>
      <c r="E1065" s="148">
        <v>45</v>
      </c>
      <c r="F1065" s="149"/>
      <c r="G1065" s="200"/>
    </row>
    <row r="1066" spans="2:7" x14ac:dyDescent="0.25">
      <c r="B1066" s="204" t="s">
        <v>754</v>
      </c>
      <c r="C1066" s="198" t="s">
        <v>1141</v>
      </c>
      <c r="D1066" s="147" t="s">
        <v>1258</v>
      </c>
      <c r="E1066" s="148">
        <v>11</v>
      </c>
      <c r="F1066" s="149"/>
      <c r="G1066" s="200"/>
    </row>
    <row r="1067" spans="2:7" x14ac:dyDescent="0.25">
      <c r="B1067" s="204" t="s">
        <v>754</v>
      </c>
      <c r="C1067" s="198" t="s">
        <v>1142</v>
      </c>
      <c r="D1067" s="147" t="s">
        <v>1258</v>
      </c>
      <c r="E1067" s="148">
        <v>56</v>
      </c>
      <c r="F1067" s="149"/>
      <c r="G1067" s="200"/>
    </row>
    <row r="1068" spans="2:7" x14ac:dyDescent="0.25">
      <c r="B1068" s="204" t="s">
        <v>754</v>
      </c>
      <c r="C1068" s="198" t="s">
        <v>1143</v>
      </c>
      <c r="D1068" s="147" t="s">
        <v>1258</v>
      </c>
      <c r="E1068" s="148">
        <v>97</v>
      </c>
      <c r="F1068" s="149"/>
      <c r="G1068" s="200"/>
    </row>
    <row r="1069" spans="2:7" x14ac:dyDescent="0.25">
      <c r="B1069" s="204" t="s">
        <v>754</v>
      </c>
      <c r="C1069" s="198" t="s">
        <v>1144</v>
      </c>
      <c r="D1069" s="147" t="s">
        <v>1258</v>
      </c>
      <c r="E1069" s="148">
        <v>74</v>
      </c>
      <c r="F1069" s="149"/>
      <c r="G1069" s="200"/>
    </row>
    <row r="1070" spans="2:7" x14ac:dyDescent="0.25">
      <c r="B1070" s="204" t="s">
        <v>754</v>
      </c>
      <c r="C1070" s="198" t="s">
        <v>1145</v>
      </c>
      <c r="D1070" s="147" t="s">
        <v>1258</v>
      </c>
      <c r="E1070" s="148">
        <v>142</v>
      </c>
      <c r="F1070" s="149"/>
      <c r="G1070" s="200"/>
    </row>
    <row r="1071" spans="2:7" x14ac:dyDescent="0.25">
      <c r="B1071" s="204" t="s">
        <v>754</v>
      </c>
      <c r="C1071" s="198" t="s">
        <v>1146</v>
      </c>
      <c r="D1071" s="147" t="s">
        <v>1258</v>
      </c>
      <c r="E1071" s="148">
        <v>108</v>
      </c>
      <c r="F1071" s="149"/>
      <c r="G1071" s="200"/>
    </row>
    <row r="1072" spans="2:7" x14ac:dyDescent="0.25">
      <c r="B1072" s="204" t="s">
        <v>754</v>
      </c>
      <c r="C1072" s="198" t="s">
        <v>1147</v>
      </c>
      <c r="D1072" s="147" t="s">
        <v>1260</v>
      </c>
      <c r="E1072" s="148">
        <v>10</v>
      </c>
      <c r="F1072" s="149"/>
      <c r="G1072" s="200"/>
    </row>
    <row r="1073" spans="2:7" x14ac:dyDescent="0.25">
      <c r="B1073" s="204" t="s">
        <v>754</v>
      </c>
      <c r="C1073" s="198" t="s">
        <v>1148</v>
      </c>
      <c r="D1073" s="147" t="s">
        <v>1258</v>
      </c>
      <c r="E1073" s="148">
        <v>58</v>
      </c>
      <c r="F1073" s="149"/>
      <c r="G1073" s="200"/>
    </row>
    <row r="1074" spans="2:7" x14ac:dyDescent="0.25">
      <c r="B1074" s="204" t="s">
        <v>754</v>
      </c>
      <c r="C1074" s="198" t="s">
        <v>1149</v>
      </c>
      <c r="D1074" s="147" t="s">
        <v>1258</v>
      </c>
      <c r="E1074" s="148">
        <v>194</v>
      </c>
      <c r="F1074" s="149"/>
      <c r="G1074" s="200"/>
    </row>
    <row r="1075" spans="2:7" x14ac:dyDescent="0.25">
      <c r="B1075" s="204" t="s">
        <v>754</v>
      </c>
      <c r="C1075" s="198" t="s">
        <v>1150</v>
      </c>
      <c r="D1075" s="147" t="s">
        <v>1258</v>
      </c>
      <c r="E1075" s="148">
        <v>156</v>
      </c>
      <c r="F1075" s="149"/>
      <c r="G1075" s="200"/>
    </row>
    <row r="1076" spans="2:7" x14ac:dyDescent="0.25">
      <c r="B1076" s="204" t="s">
        <v>754</v>
      </c>
      <c r="C1076" s="198" t="s">
        <v>1151</v>
      </c>
      <c r="D1076" s="147" t="s">
        <v>1258</v>
      </c>
      <c r="E1076" s="148">
        <v>155</v>
      </c>
      <c r="F1076" s="149"/>
      <c r="G1076" s="200"/>
    </row>
    <row r="1077" spans="2:7" x14ac:dyDescent="0.25">
      <c r="B1077" s="204" t="s">
        <v>754</v>
      </c>
      <c r="C1077" s="198" t="s">
        <v>1152</v>
      </c>
      <c r="D1077" s="147" t="s">
        <v>1258</v>
      </c>
      <c r="E1077" s="148">
        <v>23</v>
      </c>
      <c r="F1077" s="149"/>
      <c r="G1077" s="200"/>
    </row>
    <row r="1078" spans="2:7" x14ac:dyDescent="0.25">
      <c r="B1078" s="204" t="s">
        <v>754</v>
      </c>
      <c r="C1078" s="198" t="s">
        <v>1153</v>
      </c>
      <c r="D1078" s="147" t="s">
        <v>1258</v>
      </c>
      <c r="E1078" s="148">
        <v>43</v>
      </c>
      <c r="F1078" s="149"/>
      <c r="G1078" s="200"/>
    </row>
    <row r="1079" spans="2:7" x14ac:dyDescent="0.25">
      <c r="B1079" s="204" t="s">
        <v>754</v>
      </c>
      <c r="C1079" s="198" t="s">
        <v>1154</v>
      </c>
      <c r="D1079" s="147" t="s">
        <v>1258</v>
      </c>
      <c r="E1079" s="148">
        <v>133</v>
      </c>
      <c r="F1079" s="149"/>
      <c r="G1079" s="200"/>
    </row>
    <row r="1080" spans="2:7" x14ac:dyDescent="0.25">
      <c r="B1080" s="204" t="s">
        <v>754</v>
      </c>
      <c r="C1080" s="198" t="s">
        <v>1155</v>
      </c>
      <c r="D1080" s="147" t="s">
        <v>1260</v>
      </c>
      <c r="E1080" s="148">
        <v>25</v>
      </c>
      <c r="F1080" s="149"/>
      <c r="G1080" s="200"/>
    </row>
    <row r="1081" spans="2:7" x14ac:dyDescent="0.25">
      <c r="B1081" s="204" t="s">
        <v>754</v>
      </c>
      <c r="C1081" s="198" t="s">
        <v>1156</v>
      </c>
      <c r="D1081" s="147" t="s">
        <v>1258</v>
      </c>
      <c r="E1081" s="148">
        <v>116</v>
      </c>
      <c r="F1081" s="149"/>
      <c r="G1081" s="200"/>
    </row>
    <row r="1082" spans="2:7" x14ac:dyDescent="0.25">
      <c r="B1082" s="204" t="s">
        <v>754</v>
      </c>
      <c r="C1082" s="198" t="s">
        <v>1157</v>
      </c>
      <c r="D1082" s="147" t="s">
        <v>1258</v>
      </c>
      <c r="E1082" s="148">
        <v>207</v>
      </c>
      <c r="F1082" s="149"/>
      <c r="G1082" s="200"/>
    </row>
    <row r="1083" spans="2:7" x14ac:dyDescent="0.25">
      <c r="B1083" s="204" t="s">
        <v>754</v>
      </c>
      <c r="C1083" s="198" t="s">
        <v>1158</v>
      </c>
      <c r="D1083" s="147" t="s">
        <v>1258</v>
      </c>
      <c r="E1083" s="148">
        <v>158</v>
      </c>
      <c r="F1083" s="149"/>
      <c r="G1083" s="200"/>
    </row>
    <row r="1084" spans="2:7" x14ac:dyDescent="0.25">
      <c r="B1084" s="204" t="s">
        <v>754</v>
      </c>
      <c r="C1084" s="198" t="s">
        <v>1159</v>
      </c>
      <c r="D1084" s="147" t="s">
        <v>1258</v>
      </c>
      <c r="E1084" s="148">
        <v>224</v>
      </c>
      <c r="F1084" s="149"/>
      <c r="G1084" s="200"/>
    </row>
    <row r="1085" spans="2:7" x14ac:dyDescent="0.25">
      <c r="B1085" s="204" t="s">
        <v>754</v>
      </c>
      <c r="C1085" s="198" t="s">
        <v>1160</v>
      </c>
      <c r="D1085" s="147" t="s">
        <v>1258</v>
      </c>
      <c r="E1085" s="148">
        <v>99</v>
      </c>
      <c r="F1085" s="149"/>
      <c r="G1085" s="200"/>
    </row>
    <row r="1086" spans="2:7" x14ac:dyDescent="0.25">
      <c r="B1086" s="204" t="s">
        <v>754</v>
      </c>
      <c r="C1086" s="198" t="s">
        <v>1161</v>
      </c>
      <c r="D1086" s="147" t="s">
        <v>1258</v>
      </c>
      <c r="E1086" s="148">
        <v>77</v>
      </c>
      <c r="F1086" s="149"/>
      <c r="G1086" s="200"/>
    </row>
    <row r="1087" spans="2:7" x14ac:dyDescent="0.25">
      <c r="B1087" s="204" t="s">
        <v>754</v>
      </c>
      <c r="C1087" s="198" t="s">
        <v>1162</v>
      </c>
      <c r="D1087" s="147" t="s">
        <v>1260</v>
      </c>
      <c r="E1087" s="148">
        <v>12</v>
      </c>
      <c r="F1087" s="149"/>
      <c r="G1087" s="200"/>
    </row>
    <row r="1088" spans="2:7" x14ac:dyDescent="0.25">
      <c r="B1088" s="204" t="s">
        <v>754</v>
      </c>
      <c r="C1088" s="198" t="s">
        <v>1163</v>
      </c>
      <c r="D1088" s="147" t="s">
        <v>1259</v>
      </c>
      <c r="E1088" s="148">
        <v>268</v>
      </c>
      <c r="F1088" s="149"/>
      <c r="G1088" s="200"/>
    </row>
    <row r="1089" spans="2:11" x14ac:dyDescent="0.25">
      <c r="B1089" s="204" t="s">
        <v>754</v>
      </c>
      <c r="C1089" s="198" t="s">
        <v>1164</v>
      </c>
      <c r="D1089" s="147" t="s">
        <v>1258</v>
      </c>
      <c r="E1089" s="148">
        <v>169</v>
      </c>
      <c r="F1089" s="149"/>
      <c r="G1089" s="200"/>
    </row>
    <row r="1090" spans="2:11" x14ac:dyDescent="0.25">
      <c r="B1090" s="204" t="s">
        <v>754</v>
      </c>
      <c r="C1090" s="198" t="s">
        <v>1165</v>
      </c>
      <c r="D1090" s="147" t="s">
        <v>1260</v>
      </c>
      <c r="E1090" s="148">
        <v>47</v>
      </c>
      <c r="F1090" s="149"/>
      <c r="G1090" s="200"/>
    </row>
    <row r="1091" spans="2:11" x14ac:dyDescent="0.25">
      <c r="B1091" s="204" t="s">
        <v>754</v>
      </c>
      <c r="C1091" s="198" t="s">
        <v>1166</v>
      </c>
      <c r="D1091" s="147" t="s">
        <v>1258</v>
      </c>
      <c r="E1091" s="148">
        <v>99</v>
      </c>
      <c r="F1091" s="149"/>
      <c r="G1091" s="200"/>
    </row>
    <row r="1092" spans="2:11" x14ac:dyDescent="0.25">
      <c r="B1092" s="204" t="s">
        <v>754</v>
      </c>
      <c r="C1092" s="198" t="s">
        <v>1167</v>
      </c>
      <c r="D1092" s="147" t="s">
        <v>1258</v>
      </c>
      <c r="E1092" s="148">
        <v>95</v>
      </c>
      <c r="F1092" s="149"/>
      <c r="G1092" s="200"/>
    </row>
    <row r="1093" spans="2:11" x14ac:dyDescent="0.25">
      <c r="B1093" s="204" t="s">
        <v>754</v>
      </c>
      <c r="C1093" s="198" t="s">
        <v>1168</v>
      </c>
      <c r="D1093" s="147" t="s">
        <v>1258</v>
      </c>
      <c r="E1093" s="148">
        <v>172</v>
      </c>
      <c r="F1093" s="149"/>
      <c r="G1093" s="200"/>
    </row>
    <row r="1094" spans="2:11" x14ac:dyDescent="0.25">
      <c r="B1094" s="204" t="s">
        <v>754</v>
      </c>
      <c r="C1094" s="198" t="s">
        <v>1169</v>
      </c>
      <c r="D1094" s="147" t="s">
        <v>1258</v>
      </c>
      <c r="E1094" s="148">
        <v>183</v>
      </c>
      <c r="F1094" s="149"/>
      <c r="G1094" s="200"/>
    </row>
    <row r="1095" spans="2:11" x14ac:dyDescent="0.25">
      <c r="B1095" s="204" t="s">
        <v>754</v>
      </c>
      <c r="C1095" s="198" t="s">
        <v>1170</v>
      </c>
      <c r="D1095" s="147" t="s">
        <v>1258</v>
      </c>
      <c r="E1095" s="148">
        <v>45</v>
      </c>
      <c r="F1095" s="149"/>
      <c r="G1095" s="200"/>
    </row>
    <row r="1096" spans="2:11" x14ac:dyDescent="0.25">
      <c r="B1096" s="204" t="s">
        <v>754</v>
      </c>
      <c r="C1096" s="198" t="s">
        <v>1171</v>
      </c>
      <c r="D1096" s="147" t="s">
        <v>1258</v>
      </c>
      <c r="E1096" s="148">
        <v>84</v>
      </c>
      <c r="F1096" s="149"/>
      <c r="G1096" s="200"/>
    </row>
    <row r="1097" spans="2:11" x14ac:dyDescent="0.25">
      <c r="B1097" s="204" t="s">
        <v>754</v>
      </c>
      <c r="C1097" s="198" t="s">
        <v>1172</v>
      </c>
      <c r="D1097" s="147" t="s">
        <v>1258</v>
      </c>
      <c r="E1097" s="148">
        <v>69</v>
      </c>
      <c r="F1097" s="149"/>
      <c r="G1097" s="200"/>
    </row>
    <row r="1098" spans="2:11" x14ac:dyDescent="0.25">
      <c r="B1098" s="204" t="s">
        <v>754</v>
      </c>
      <c r="C1098" s="198" t="s">
        <v>1173</v>
      </c>
      <c r="D1098" s="147" t="s">
        <v>1259</v>
      </c>
      <c r="E1098" s="148">
        <v>86</v>
      </c>
      <c r="F1098" s="149"/>
      <c r="G1098" s="200"/>
    </row>
    <row r="1099" spans="2:11" ht="15" customHeight="1" x14ac:dyDescent="0.25">
      <c r="B1099" s="203" t="s">
        <v>537</v>
      </c>
      <c r="C1099" s="142" t="s">
        <v>538</v>
      </c>
      <c r="D1099" s="78" t="s">
        <v>1258</v>
      </c>
      <c r="E1099" s="144">
        <v>1</v>
      </c>
      <c r="F1099" s="152" t="s">
        <v>1289</v>
      </c>
      <c r="G1099" s="153"/>
      <c r="I1099" s="265" t="s">
        <v>539</v>
      </c>
      <c r="J1099" s="266"/>
      <c r="K1099" s="113" t="s">
        <v>120</v>
      </c>
    </row>
    <row r="1100" spans="2:11" x14ac:dyDescent="0.25">
      <c r="B1100" s="203" t="s">
        <v>537</v>
      </c>
      <c r="C1100" s="141" t="s">
        <v>540</v>
      </c>
      <c r="D1100" s="59" t="s">
        <v>1258</v>
      </c>
      <c r="E1100" s="65">
        <v>1</v>
      </c>
      <c r="F1100" s="152" t="s">
        <v>1289</v>
      </c>
      <c r="G1100" s="159"/>
      <c r="I1100" s="42" t="s">
        <v>122</v>
      </c>
      <c r="J1100" s="43">
        <v>18</v>
      </c>
      <c r="K1100" s="62">
        <v>0.86</v>
      </c>
    </row>
    <row r="1101" spans="2:11" x14ac:dyDescent="0.25">
      <c r="B1101" s="203" t="s">
        <v>537</v>
      </c>
      <c r="C1101" s="141" t="s">
        <v>541</v>
      </c>
      <c r="D1101" s="59" t="s">
        <v>1258</v>
      </c>
      <c r="E1101" s="65">
        <v>2</v>
      </c>
      <c r="F1101" s="152" t="s">
        <v>1289</v>
      </c>
      <c r="G1101" s="160"/>
      <c r="I1101" s="40" t="s">
        <v>124</v>
      </c>
      <c r="J1101" s="44">
        <v>3</v>
      </c>
      <c r="K1101" s="63">
        <v>0.14000000000000001</v>
      </c>
    </row>
    <row r="1102" spans="2:11" x14ac:dyDescent="0.25">
      <c r="B1102" s="203" t="s">
        <v>537</v>
      </c>
      <c r="C1102" s="141" t="s">
        <v>542</v>
      </c>
      <c r="D1102" s="59" t="s">
        <v>1258</v>
      </c>
      <c r="E1102" s="65">
        <v>34</v>
      </c>
      <c r="F1102" s="152" t="s">
        <v>1289</v>
      </c>
      <c r="G1102" s="160"/>
      <c r="I1102" s="46" t="s">
        <v>31</v>
      </c>
      <c r="J1102" s="47">
        <f>SUM(J1100:J1101)</f>
        <v>21</v>
      </c>
      <c r="K1102" s="48">
        <v>1</v>
      </c>
    </row>
    <row r="1103" spans="2:11" x14ac:dyDescent="0.25">
      <c r="B1103" s="203" t="s">
        <v>537</v>
      </c>
      <c r="C1103" s="141" t="s">
        <v>543</v>
      </c>
      <c r="D1103" s="59" t="s">
        <v>1258</v>
      </c>
      <c r="E1103" s="65">
        <v>52</v>
      </c>
      <c r="F1103" s="152" t="s">
        <v>1289</v>
      </c>
      <c r="G1103" s="160"/>
    </row>
    <row r="1104" spans="2:11" x14ac:dyDescent="0.25">
      <c r="B1104" s="203" t="s">
        <v>537</v>
      </c>
      <c r="C1104" s="141" t="s">
        <v>544</v>
      </c>
      <c r="D1104" s="59" t="s">
        <v>1258</v>
      </c>
      <c r="E1104" s="65">
        <v>7</v>
      </c>
      <c r="F1104" s="152" t="s">
        <v>1289</v>
      </c>
      <c r="G1104" s="160"/>
    </row>
    <row r="1105" spans="2:7" x14ac:dyDescent="0.25">
      <c r="B1105" s="203" t="s">
        <v>537</v>
      </c>
      <c r="C1105" s="141" t="s">
        <v>545</v>
      </c>
      <c r="D1105" s="59" t="s">
        <v>1258</v>
      </c>
      <c r="E1105" s="65">
        <v>13</v>
      </c>
      <c r="F1105" s="152" t="s">
        <v>1289</v>
      </c>
      <c r="G1105" s="160"/>
    </row>
    <row r="1106" spans="2:7" x14ac:dyDescent="0.25">
      <c r="B1106" s="203" t="s">
        <v>537</v>
      </c>
      <c r="C1106" s="141" t="s">
        <v>546</v>
      </c>
      <c r="D1106" s="59" t="s">
        <v>1258</v>
      </c>
      <c r="E1106" s="65">
        <v>0</v>
      </c>
      <c r="F1106" s="152" t="s">
        <v>1289</v>
      </c>
      <c r="G1106" s="160"/>
    </row>
    <row r="1107" spans="2:7" x14ac:dyDescent="0.25">
      <c r="B1107" s="203" t="s">
        <v>537</v>
      </c>
      <c r="C1107" s="141" t="s">
        <v>547</v>
      </c>
      <c r="D1107" s="59" t="s">
        <v>1258</v>
      </c>
      <c r="E1107" s="65">
        <v>0</v>
      </c>
      <c r="F1107" s="152" t="s">
        <v>1289</v>
      </c>
      <c r="G1107" s="160"/>
    </row>
    <row r="1108" spans="2:7" x14ac:dyDescent="0.25">
      <c r="B1108" s="203" t="s">
        <v>537</v>
      </c>
      <c r="C1108" s="141" t="s">
        <v>548</v>
      </c>
      <c r="D1108" s="59" t="s">
        <v>1259</v>
      </c>
      <c r="E1108" s="65">
        <v>0</v>
      </c>
      <c r="F1108" s="152" t="s">
        <v>1289</v>
      </c>
      <c r="G1108" s="160"/>
    </row>
    <row r="1109" spans="2:7" x14ac:dyDescent="0.25">
      <c r="B1109" s="203" t="s">
        <v>537</v>
      </c>
      <c r="C1109" s="141" t="s">
        <v>258</v>
      </c>
      <c r="D1109" s="59" t="s">
        <v>1258</v>
      </c>
      <c r="E1109" s="65">
        <v>40</v>
      </c>
      <c r="F1109" s="152" t="s">
        <v>1289</v>
      </c>
      <c r="G1109" s="160"/>
    </row>
    <row r="1110" spans="2:7" ht="15.75" customHeight="1" x14ac:dyDescent="0.25">
      <c r="B1110" s="203" t="s">
        <v>537</v>
      </c>
      <c r="C1110" s="141" t="s">
        <v>549</v>
      </c>
      <c r="D1110" s="59" t="s">
        <v>1258</v>
      </c>
      <c r="E1110" s="65">
        <v>38</v>
      </c>
      <c r="F1110" s="152" t="s">
        <v>1289</v>
      </c>
      <c r="G1110" s="160"/>
    </row>
    <row r="1111" spans="2:7" x14ac:dyDescent="0.25">
      <c r="B1111" s="203" t="s">
        <v>537</v>
      </c>
      <c r="C1111" s="141" t="s">
        <v>550</v>
      </c>
      <c r="D1111" s="59" t="s">
        <v>1258</v>
      </c>
      <c r="E1111" s="65">
        <v>78</v>
      </c>
      <c r="F1111" s="152" t="s">
        <v>1289</v>
      </c>
      <c r="G1111" s="160"/>
    </row>
    <row r="1112" spans="2:7" x14ac:dyDescent="0.25">
      <c r="B1112" s="203" t="s">
        <v>537</v>
      </c>
      <c r="C1112" s="141" t="s">
        <v>551</v>
      </c>
      <c r="D1112" s="59" t="s">
        <v>1258</v>
      </c>
      <c r="E1112" s="65">
        <v>41</v>
      </c>
      <c r="F1112" s="152" t="s">
        <v>1289</v>
      </c>
      <c r="G1112" s="160"/>
    </row>
    <row r="1113" spans="2:7" x14ac:dyDescent="0.25">
      <c r="B1113" s="203" t="s">
        <v>537</v>
      </c>
      <c r="C1113" s="141" t="s">
        <v>552</v>
      </c>
      <c r="D1113" s="59" t="s">
        <v>1258</v>
      </c>
      <c r="E1113" s="65">
        <v>62</v>
      </c>
      <c r="F1113" s="152" t="s">
        <v>1288</v>
      </c>
      <c r="G1113" s="160"/>
    </row>
    <row r="1114" spans="2:7" x14ac:dyDescent="0.25">
      <c r="B1114" s="203" t="s">
        <v>537</v>
      </c>
      <c r="C1114" s="141" t="s">
        <v>553</v>
      </c>
      <c r="D1114" s="59" t="s">
        <v>1258</v>
      </c>
      <c r="E1114" s="65">
        <v>27</v>
      </c>
      <c r="F1114" s="152" t="s">
        <v>1288</v>
      </c>
      <c r="G1114" s="160"/>
    </row>
    <row r="1115" spans="2:7" x14ac:dyDescent="0.25">
      <c r="B1115" s="203" t="s">
        <v>537</v>
      </c>
      <c r="C1115" s="141" t="s">
        <v>554</v>
      </c>
      <c r="D1115" s="59" t="s">
        <v>1258</v>
      </c>
      <c r="E1115" s="65">
        <v>38</v>
      </c>
      <c r="F1115" s="152" t="s">
        <v>1289</v>
      </c>
      <c r="G1115" s="160"/>
    </row>
    <row r="1116" spans="2:7" x14ac:dyDescent="0.25">
      <c r="B1116" s="203" t="s">
        <v>537</v>
      </c>
      <c r="C1116" s="141" t="s">
        <v>555</v>
      </c>
      <c r="D1116" s="59" t="s">
        <v>1258</v>
      </c>
      <c r="E1116" s="65">
        <v>251</v>
      </c>
      <c r="F1116" s="152" t="s">
        <v>1289</v>
      </c>
      <c r="G1116" s="160"/>
    </row>
    <row r="1117" spans="2:7" x14ac:dyDescent="0.25">
      <c r="B1117" s="203" t="s">
        <v>537</v>
      </c>
      <c r="C1117" s="141" t="s">
        <v>556</v>
      </c>
      <c r="D1117" s="59" t="s">
        <v>1259</v>
      </c>
      <c r="E1117" s="65">
        <v>2</v>
      </c>
      <c r="F1117" s="152" t="s">
        <v>1289</v>
      </c>
      <c r="G1117" s="160"/>
    </row>
    <row r="1118" spans="2:7" x14ac:dyDescent="0.25">
      <c r="B1118" s="203" t="s">
        <v>537</v>
      </c>
      <c r="C1118" s="141" t="s">
        <v>557</v>
      </c>
      <c r="D1118" s="59" t="s">
        <v>1258</v>
      </c>
      <c r="E1118" s="65">
        <v>67</v>
      </c>
      <c r="F1118" s="152" t="s">
        <v>1288</v>
      </c>
      <c r="G1118" s="160"/>
    </row>
    <row r="1119" spans="2:7" x14ac:dyDescent="0.25">
      <c r="B1119" s="203" t="s">
        <v>537</v>
      </c>
      <c r="C1119" s="141" t="s">
        <v>558</v>
      </c>
      <c r="D1119" s="59" t="s">
        <v>1258</v>
      </c>
      <c r="E1119" s="65">
        <v>53</v>
      </c>
      <c r="F1119" s="152" t="s">
        <v>1289</v>
      </c>
      <c r="G1119" s="160"/>
    </row>
  </sheetData>
  <mergeCells count="31">
    <mergeCell ref="I1099:J1099"/>
    <mergeCell ref="I932:J932"/>
    <mergeCell ref="I959:J959"/>
    <mergeCell ref="I970:J970"/>
    <mergeCell ref="I807:J807"/>
    <mergeCell ref="I812:J812"/>
    <mergeCell ref="I898:J898"/>
    <mergeCell ref="I788:J788"/>
    <mergeCell ref="I799:J799"/>
    <mergeCell ref="I803:J803"/>
    <mergeCell ref="I544:J544"/>
    <mergeCell ref="I636:J636"/>
    <mergeCell ref="I732:J732"/>
    <mergeCell ref="I742:J742"/>
    <mergeCell ref="I436:J436"/>
    <mergeCell ref="I464:J464"/>
    <mergeCell ref="I492:J492"/>
    <mergeCell ref="I521:J521"/>
    <mergeCell ref="I539:J539"/>
    <mergeCell ref="I102:J102"/>
    <mergeCell ref="I431:J431"/>
    <mergeCell ref="I145:J145"/>
    <mergeCell ref="I167:J167"/>
    <mergeCell ref="I195:J195"/>
    <mergeCell ref="I342:J342"/>
    <mergeCell ref="I360:J360"/>
    <mergeCell ref="I3:J3"/>
    <mergeCell ref="I19:J19"/>
    <mergeCell ref="I56:J56"/>
    <mergeCell ref="I62:J62"/>
    <mergeCell ref="I89:J89"/>
  </mergeCells>
  <pageMargins left="0.7" right="0.7" top="0.75" bottom="0.75" header="0.3" footer="0.3"/>
  <pageSetup paperSize="9" orientation="portrait" r:id="rId17"/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6:C28"/>
  <sheetViews>
    <sheetView topLeftCell="A13" workbookViewId="0">
      <selection activeCell="B18" sqref="B18"/>
    </sheetView>
  </sheetViews>
  <sheetFormatPr baseColWidth="10" defaultRowHeight="15" x14ac:dyDescent="0.25"/>
  <cols>
    <col min="2" max="2" width="21" customWidth="1"/>
    <col min="3" max="3" width="22" bestFit="1" customWidth="1"/>
    <col min="4" max="4" width="23" customWidth="1"/>
    <col min="5" max="5" width="12.5703125" customWidth="1"/>
    <col min="6" max="6" width="3.5703125" customWidth="1"/>
    <col min="7" max="7" width="6.140625" customWidth="1"/>
    <col min="8" max="8" width="7.140625" customWidth="1"/>
    <col min="9" max="9" width="12.5703125" bestFit="1" customWidth="1"/>
  </cols>
  <sheetData>
    <row r="6" spans="2:3" x14ac:dyDescent="0.25">
      <c r="B6" s="129" t="s">
        <v>1266</v>
      </c>
      <c r="C6" t="s">
        <v>1290</v>
      </c>
    </row>
    <row r="7" spans="2:3" x14ac:dyDescent="0.25">
      <c r="B7" s="130" t="s">
        <v>1288</v>
      </c>
      <c r="C7">
        <v>16</v>
      </c>
    </row>
    <row r="8" spans="2:3" x14ac:dyDescent="0.25">
      <c r="B8" s="202" t="s">
        <v>1258</v>
      </c>
      <c r="C8">
        <v>11</v>
      </c>
    </row>
    <row r="9" spans="2:3" x14ac:dyDescent="0.25">
      <c r="B9" s="202" t="s">
        <v>1259</v>
      </c>
      <c r="C9">
        <v>4</v>
      </c>
    </row>
    <row r="10" spans="2:3" x14ac:dyDescent="0.25">
      <c r="B10" s="202" t="s">
        <v>1260</v>
      </c>
      <c r="C10">
        <v>1</v>
      </c>
    </row>
    <row r="11" spans="2:3" x14ac:dyDescent="0.25">
      <c r="B11" s="130" t="s">
        <v>1289</v>
      </c>
      <c r="C11">
        <v>24</v>
      </c>
    </row>
    <row r="12" spans="2:3" x14ac:dyDescent="0.25">
      <c r="B12" s="202" t="s">
        <v>1258</v>
      </c>
      <c r="C12">
        <v>21</v>
      </c>
    </row>
    <row r="13" spans="2:3" x14ac:dyDescent="0.25">
      <c r="B13" s="202" t="s">
        <v>1259</v>
      </c>
      <c r="C13">
        <v>3</v>
      </c>
    </row>
    <row r="14" spans="2:3" x14ac:dyDescent="0.25">
      <c r="B14" s="130" t="s">
        <v>1265</v>
      </c>
      <c r="C14">
        <v>40</v>
      </c>
    </row>
    <row r="26" spans="2:3" x14ac:dyDescent="0.25">
      <c r="B26" s="129" t="s">
        <v>1266</v>
      </c>
      <c r="C26" t="s">
        <v>1267</v>
      </c>
    </row>
    <row r="27" spans="2:3" x14ac:dyDescent="0.25">
      <c r="B27" s="130" t="s">
        <v>1258</v>
      </c>
      <c r="C27">
        <v>15</v>
      </c>
    </row>
    <row r="28" spans="2:3" x14ac:dyDescent="0.25">
      <c r="B28" s="130" t="s">
        <v>1265</v>
      </c>
      <c r="C28">
        <v>15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RES Licenciées</vt:lpstr>
      <vt:lpstr>RES Bénévoles</vt:lpstr>
      <vt:lpstr>RES Educatrices</vt:lpstr>
      <vt:lpstr>RES Arbitres</vt:lpstr>
      <vt:lpstr>RES Prés. Clubs</vt:lpstr>
      <vt:lpstr>RES Prés. Comités</vt:lpstr>
      <vt:lpstr>RES Prés. Fédérations</vt:lpstr>
      <vt:lpstr>Recap Général 2021</vt:lpstr>
      <vt:lpstr>Recap par clubs 2021</vt:lpstr>
      <vt:lpstr>Tableaux croisés dynamiques</vt:lpstr>
    </vt:vector>
  </TitlesOfParts>
  <Manager/>
  <Company>CGVO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CHERY Eva</dc:creator>
  <cp:keywords/>
  <dc:description/>
  <cp:lastModifiedBy>CHAFFOT NELLY</cp:lastModifiedBy>
  <cp:revision/>
  <dcterms:created xsi:type="dcterms:W3CDTF">2021-04-12T08:03:49Z</dcterms:created>
  <dcterms:modified xsi:type="dcterms:W3CDTF">2026-06-03T09:25:36Z</dcterms:modified>
  <cp:category/>
  <cp:contentStatus/>
</cp:coreProperties>
</file>