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85F4C307-635A-4B14-81BA-0E16B0F4251C}" xr6:coauthVersionLast="47" xr6:coauthVersionMax="47" xr10:uidLastSave="{00000000-0000-0000-0000-000000000000}"/>
  <bookViews>
    <workbookView xWindow="-120" yWindow="-120" windowWidth="29040" windowHeight="15720" activeTab="3" xr2:uid="{9EB706B2-190B-44CC-9289-C1FB06A363F9}"/>
  </bookViews>
  <sheets>
    <sheet name="2019-2022" sheetId="4" r:id="rId1"/>
    <sheet name="Détail 2022 2024" sheetId="2" r:id="rId2"/>
    <sheet name="Détail 2024 2026" sheetId="3" r:id="rId3"/>
    <sheet name="Bilan " sheetId="1" r:id="rId4"/>
  </sheets>
  <externalReferences>
    <externalReference r:id="rId5"/>
  </externalReferences>
  <definedNames>
    <definedName name="InterADH1">[1]PTS!$J$4</definedName>
    <definedName name="InterADH2">[1]PTS!$J$7</definedName>
    <definedName name="InterADH3">[1]PTS!$J$10</definedName>
    <definedName name="PCT_Limite1">[1]PTS!$J$2</definedName>
    <definedName name="PCT_Limite2">[1]PTS!$J$5</definedName>
    <definedName name="PCT_Limite3">[1]PTS!$J$8</definedName>
    <definedName name="PCT_Limite4">[1]PTS!$J$11</definedName>
    <definedName name="Plafond1">[1]PTS!$J$3</definedName>
    <definedName name="Plafond2">[1]PTS!$J$6</definedName>
    <definedName name="Plafond3">[1]PTS!$J$9</definedName>
    <definedName name="Plafond4">[1]PTS!$J$12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3" i="1" l="1"/>
  <c r="I75" i="3"/>
  <c r="I87" i="3"/>
  <c r="P87" i="3"/>
  <c r="O87" i="3"/>
  <c r="N87" i="3"/>
  <c r="M87" i="3"/>
  <c r="L87" i="3"/>
  <c r="K87" i="3"/>
  <c r="J87" i="3"/>
  <c r="H87" i="3"/>
  <c r="G87" i="3"/>
  <c r="F87" i="3"/>
  <c r="E87" i="3"/>
  <c r="D87" i="3"/>
  <c r="C87" i="3"/>
  <c r="P75" i="3"/>
  <c r="O75" i="3"/>
  <c r="N75" i="3"/>
  <c r="M75" i="3"/>
  <c r="L75" i="3"/>
  <c r="K75" i="3"/>
  <c r="J75" i="3"/>
  <c r="H75" i="3"/>
  <c r="G75" i="3"/>
  <c r="F75" i="3"/>
  <c r="E75" i="3"/>
  <c r="D75" i="3"/>
  <c r="C75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P56" i="3"/>
  <c r="O56" i="3"/>
  <c r="N56" i="3"/>
  <c r="M56" i="3"/>
  <c r="L56" i="3"/>
  <c r="K56" i="3"/>
  <c r="J56" i="3"/>
  <c r="I56" i="3"/>
  <c r="I77" i="3" s="1"/>
  <c r="I90" i="3" s="1"/>
  <c r="H56" i="3"/>
  <c r="G56" i="3"/>
  <c r="F56" i="3"/>
  <c r="E56" i="3"/>
  <c r="D56" i="3"/>
  <c r="C56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K77" i="3" l="1"/>
  <c r="K90" i="3" s="1"/>
  <c r="H77" i="3"/>
  <c r="H90" i="3" s="1"/>
  <c r="O77" i="3"/>
  <c r="O90" i="3" s="1"/>
  <c r="G77" i="3"/>
  <c r="G90" i="3" s="1"/>
  <c r="F77" i="3"/>
  <c r="F90" i="3" s="1"/>
  <c r="P77" i="3"/>
  <c r="P90" i="3" s="1"/>
  <c r="J77" i="3"/>
  <c r="J90" i="3" s="1"/>
  <c r="L77" i="3"/>
  <c r="L90" i="3" s="1"/>
  <c r="E77" i="3"/>
  <c r="E90" i="3" s="1"/>
  <c r="C77" i="3"/>
  <c r="C90" i="3" s="1"/>
  <c r="M77" i="3"/>
  <c r="M90" i="3" s="1"/>
  <c r="D77" i="3"/>
  <c r="D90" i="3" s="1"/>
  <c r="N77" i="3"/>
  <c r="N90" i="3" s="1"/>
  <c r="I56" i="2" l="1"/>
  <c r="I66" i="2"/>
  <c r="I75" i="2"/>
  <c r="I87" i="2"/>
  <c r="P87" i="2" l="1"/>
  <c r="O87" i="2"/>
  <c r="N87" i="2"/>
  <c r="M87" i="2"/>
  <c r="L87" i="2"/>
  <c r="K87" i="2"/>
  <c r="J87" i="2"/>
  <c r="H87" i="2"/>
  <c r="G87" i="2"/>
  <c r="F87" i="2"/>
  <c r="E87" i="2"/>
  <c r="D87" i="2"/>
  <c r="C87" i="2"/>
  <c r="P75" i="2"/>
  <c r="O75" i="2"/>
  <c r="N75" i="2"/>
  <c r="M75" i="2"/>
  <c r="L75" i="2"/>
  <c r="K75" i="2"/>
  <c r="J75" i="2"/>
  <c r="H75" i="2"/>
  <c r="G75" i="2"/>
  <c r="F75" i="2"/>
  <c r="E75" i="2"/>
  <c r="D75" i="2"/>
  <c r="C75" i="2"/>
  <c r="P66" i="2"/>
  <c r="O66" i="2"/>
  <c r="N66" i="2"/>
  <c r="M66" i="2"/>
  <c r="L66" i="2"/>
  <c r="K66" i="2"/>
  <c r="J66" i="2"/>
  <c r="H66" i="2"/>
  <c r="G66" i="2"/>
  <c r="F66" i="2"/>
  <c r="E66" i="2"/>
  <c r="D66" i="2"/>
  <c r="C66" i="2"/>
  <c r="P56" i="2"/>
  <c r="O56" i="2"/>
  <c r="N56" i="2"/>
  <c r="M56" i="2"/>
  <c r="L56" i="2"/>
  <c r="K56" i="2"/>
  <c r="J56" i="2"/>
  <c r="H56" i="2"/>
  <c r="G56" i="2"/>
  <c r="F56" i="2"/>
  <c r="E56" i="2"/>
  <c r="D56" i="2"/>
  <c r="C56" i="2"/>
  <c r="P34" i="2"/>
  <c r="O34" i="2"/>
  <c r="N34" i="2"/>
  <c r="M34" i="2"/>
  <c r="L34" i="2"/>
  <c r="K34" i="2"/>
  <c r="J34" i="2"/>
  <c r="I34" i="2"/>
  <c r="I77" i="2" s="1"/>
  <c r="I90" i="2" s="1"/>
  <c r="H34" i="2"/>
  <c r="G34" i="2"/>
  <c r="F34" i="2"/>
  <c r="E34" i="2"/>
  <c r="D34" i="2"/>
  <c r="C34" i="2"/>
  <c r="K77" i="2" l="1"/>
  <c r="K90" i="2" s="1"/>
  <c r="L77" i="2"/>
  <c r="L90" i="2" s="1"/>
  <c r="H77" i="2"/>
  <c r="H90" i="2" s="1"/>
  <c r="P77" i="2"/>
  <c r="P90" i="2" s="1"/>
  <c r="O77" i="2"/>
  <c r="O90" i="2" s="1"/>
  <c r="M77" i="2"/>
  <c r="M90" i="2" s="1"/>
  <c r="C77" i="2"/>
  <c r="C90" i="2" s="1"/>
  <c r="F77" i="2"/>
  <c r="F90" i="2" s="1"/>
  <c r="G77" i="2"/>
  <c r="G90" i="2" s="1"/>
  <c r="E77" i="2"/>
  <c r="D77" i="2"/>
  <c r="D90" i="2" s="1"/>
  <c r="N77" i="2"/>
  <c r="N90" i="2" s="1"/>
  <c r="J77" i="2"/>
  <c r="J90" i="2" s="1"/>
  <c r="E90" i="2" l="1"/>
  <c r="AF62" i="1" l="1"/>
  <c r="AE62" i="1"/>
  <c r="AD62" i="1"/>
  <c r="AC62" i="1"/>
  <c r="AB62" i="1"/>
  <c r="AA62" i="1"/>
  <c r="Y62" i="1"/>
  <c r="X62" i="1"/>
  <c r="W62" i="1"/>
  <c r="V62" i="1"/>
  <c r="U62" i="1"/>
  <c r="S62" i="1"/>
  <c r="R62" i="1"/>
  <c r="Q62" i="1"/>
  <c r="P62" i="1"/>
  <c r="O62" i="1"/>
  <c r="M62" i="1"/>
  <c r="L62" i="1"/>
  <c r="K62" i="1"/>
  <c r="J62" i="1"/>
  <c r="I62" i="1"/>
  <c r="G62" i="1"/>
  <c r="F62" i="1"/>
  <c r="E62" i="1"/>
  <c r="D62" i="1"/>
  <c r="AE63" i="1" l="1"/>
</calcChain>
</file>

<file path=xl/sharedStrings.xml><?xml version="1.0" encoding="utf-8"?>
<sst xmlns="http://schemas.openxmlformats.org/spreadsheetml/2006/main" count="417" uniqueCount="174">
  <si>
    <t>2021/2022</t>
  </si>
  <si>
    <t>2022/2023</t>
  </si>
  <si>
    <t>2023/2024</t>
  </si>
  <si>
    <t>2024/2025</t>
  </si>
  <si>
    <t>2025/2026</t>
  </si>
  <si>
    <t>COMITE</t>
  </si>
  <si>
    <t>Nombre d'associations représentées</t>
  </si>
  <si>
    <t>Nombre de licenciés</t>
  </si>
  <si>
    <r>
      <t xml:space="preserve">Nombre de jeunes 
</t>
    </r>
    <r>
      <rPr>
        <i/>
        <sz val="11"/>
        <color theme="1"/>
        <rFont val="Aptos Narrow"/>
        <family val="2"/>
        <scheme val="minor"/>
      </rPr>
      <t>(10 ans et moins)</t>
    </r>
  </si>
  <si>
    <r>
      <t xml:space="preserve">Nombre de jeunes
</t>
    </r>
    <r>
      <rPr>
        <i/>
        <sz val="11"/>
        <color theme="1"/>
        <rFont val="Aptos Narrow"/>
        <family val="2"/>
        <scheme val="minor"/>
      </rPr>
      <t>(11 à 19 ans)</t>
    </r>
  </si>
  <si>
    <t>Nombre de féminines</t>
  </si>
  <si>
    <t>Nombre de personne en situation de handicap</t>
  </si>
  <si>
    <r>
      <t xml:space="preserve">Nombre de jeunes </t>
    </r>
    <r>
      <rPr>
        <i/>
        <sz val="11"/>
        <color theme="1"/>
        <rFont val="Aptos Narrow"/>
        <family val="2"/>
        <scheme val="minor"/>
      </rPr>
      <t>(moins de 18 ans)</t>
    </r>
  </si>
  <si>
    <r>
      <t>Nombre de jeunes</t>
    </r>
    <r>
      <rPr>
        <i/>
        <sz val="11"/>
        <color theme="1"/>
        <rFont val="Aptos Narrow"/>
        <family val="2"/>
        <scheme val="minor"/>
      </rPr>
      <t xml:space="preserve"> (moins de 18 ans)</t>
    </r>
  </si>
  <si>
    <r>
      <t xml:space="preserve">Nombre de jeunes 
</t>
    </r>
    <r>
      <rPr>
        <i/>
        <sz val="11"/>
        <color theme="1"/>
        <rFont val="Aptos Narrow"/>
        <family val="2"/>
        <scheme val="minor"/>
      </rPr>
      <t>(11 à 15 ans)</t>
    </r>
  </si>
  <si>
    <t>AIKIDO ET BUDO</t>
  </si>
  <si>
    <t>ATHLETISME</t>
  </si>
  <si>
    <t>AVIRON</t>
  </si>
  <si>
    <t>BADMINTON</t>
  </si>
  <si>
    <t>BASE BALL - SOFTBALL et CRICKET</t>
  </si>
  <si>
    <t>BASKET BALL</t>
  </si>
  <si>
    <t>BILLARD</t>
  </si>
  <si>
    <t>BOXE ANGLAISE</t>
  </si>
  <si>
    <t>COURSE D'ORIENTATION</t>
  </si>
  <si>
    <t>CYCLISME</t>
  </si>
  <si>
    <t>CYCLOTOURISME</t>
  </si>
  <si>
    <t>CRICKET</t>
  </si>
  <si>
    <t>FFD CD 95 COMITE DEPARTEMENTAL DANSE 95</t>
  </si>
  <si>
    <t>ECHECS</t>
  </si>
  <si>
    <t>EQUITATION</t>
  </si>
  <si>
    <t>ESCRIME</t>
  </si>
  <si>
    <t>FLYING DISC</t>
  </si>
  <si>
    <t>FOOTBALL</t>
  </si>
  <si>
    <t xml:space="preserve">FOOT AMERICAIN </t>
  </si>
  <si>
    <r>
      <rPr>
        <b/>
        <sz val="11"/>
        <rFont val="Arial"/>
        <family val="2"/>
      </rPr>
      <t>FSCF</t>
    </r>
    <r>
      <rPr>
        <b/>
        <sz val="10"/>
        <rFont val="Arial"/>
        <family val="2"/>
      </rPr>
      <t xml:space="preserve">
</t>
    </r>
    <r>
      <rPr>
        <i/>
        <sz val="8"/>
        <rFont val="Arial"/>
        <family val="2"/>
      </rPr>
      <t>(FEDERATION SPORTIVE ET CULTURELLE DE France)</t>
    </r>
  </si>
  <si>
    <r>
      <rPr>
        <b/>
        <sz val="11"/>
        <rFont val="Arial"/>
        <family val="2"/>
      </rPr>
      <t>FSGT</t>
    </r>
    <r>
      <rPr>
        <b/>
        <sz val="10"/>
        <rFont val="Arial"/>
        <family val="2"/>
      </rPr>
      <t xml:space="preserve">
</t>
    </r>
    <r>
      <rPr>
        <i/>
        <sz val="8"/>
        <rFont val="Arial"/>
        <family val="2"/>
      </rPr>
      <t>(FEDERATION SPORTIVE ET GYMNIQUE DU TRAVAIL)</t>
    </r>
  </si>
  <si>
    <t>GOLF</t>
  </si>
  <si>
    <t>GYMNASTIQUE</t>
  </si>
  <si>
    <r>
      <rPr>
        <b/>
        <sz val="11"/>
        <rFont val="Arial"/>
        <family val="2"/>
      </rPr>
      <t>EPGV-GYMNASTIQUE VOLONTAIRE</t>
    </r>
    <r>
      <rPr>
        <b/>
        <sz val="10"/>
        <rFont val="Arial"/>
        <family val="2"/>
      </rPr>
      <t xml:space="preserve">
</t>
    </r>
    <r>
      <rPr>
        <i/>
        <sz val="8"/>
        <rFont val="Arial"/>
        <family val="2"/>
      </rPr>
      <t>(EDUCATION PHYSIQUE et GYMNASTIQUE VOLONTAIRE)</t>
    </r>
  </si>
  <si>
    <t>HALTEROPHILIE et MUSCULATION</t>
  </si>
  <si>
    <t>HANDBALL</t>
  </si>
  <si>
    <t>HANDISPORT</t>
  </si>
  <si>
    <t>HOCKEY SUR GLACE</t>
  </si>
  <si>
    <t>COMITE DE JUDO DU VAL D'OISE</t>
  </si>
  <si>
    <t>KARATE ET DISCIPLINES ASSOCIEES</t>
  </si>
  <si>
    <t>MEDAILLES JEUNESSE ET SPORTS et ENGAGEMENT ASSOCIATIF</t>
  </si>
  <si>
    <t>MONTAGNE ET ESCALADE</t>
  </si>
  <si>
    <t>NATATION</t>
  </si>
  <si>
    <t>OLYMPIQUE ET SPORTIF - CDOS</t>
  </si>
  <si>
    <t>PETANQUE ET JEU PROVENCAL</t>
  </si>
  <si>
    <t>PLONGEE SOUS-MARINE</t>
  </si>
  <si>
    <t xml:space="preserve">RANDONNEE PEDESTRE </t>
  </si>
  <si>
    <t>RETRAITE SPORTIVE</t>
  </si>
  <si>
    <t>ROLLER SKATEBOARD</t>
  </si>
  <si>
    <t>RUGBY</t>
  </si>
  <si>
    <t>SAVATE BOXE FRANCAISE</t>
  </si>
  <si>
    <t>SPELEOLOGIE</t>
  </si>
  <si>
    <t>SPORT ADAPTE</t>
  </si>
  <si>
    <t>SPORT EMPLOI VAL D'OISE</t>
  </si>
  <si>
    <t>SPORTS DE GLACE</t>
  </si>
  <si>
    <t>SQUASH</t>
  </si>
  <si>
    <t>TAEKWONDO</t>
  </si>
  <si>
    <t>TENNIS</t>
  </si>
  <si>
    <t>TENNIS DE TABLE</t>
  </si>
  <si>
    <t>TIR</t>
  </si>
  <si>
    <t>TIR A L'ARC</t>
  </si>
  <si>
    <t>TRIATHLON</t>
  </si>
  <si>
    <t>UFOLEP</t>
  </si>
  <si>
    <t>UNSS</t>
  </si>
  <si>
    <t>USEP</t>
  </si>
  <si>
    <t>VOL EN PLANEUR</t>
  </si>
  <si>
    <t>VOILE</t>
  </si>
  <si>
    <t>VOLLEY BALL</t>
  </si>
  <si>
    <t>TOTAL de 10 à 19 ans</t>
  </si>
  <si>
    <t>Total de 11 à 18 ans</t>
  </si>
  <si>
    <t>FEDERATIONS UNISPORT 
OLYMPIQUES</t>
  </si>
  <si>
    <t>licenciés 2022/2023</t>
  </si>
  <si>
    <t>licenciés
2023/ 2024</t>
  </si>
  <si>
    <t>licenciés
2024/2025</t>
  </si>
  <si>
    <t>Nombre de
 -18 ans</t>
  </si>
  <si>
    <t>Nombre de Féminines</t>
  </si>
  <si>
    <t>Nombre de personne en situation d'handicap</t>
  </si>
  <si>
    <t>nombre de clubs 2022/2023</t>
  </si>
  <si>
    <t>nombre de clubs 2023/2024</t>
  </si>
  <si>
    <t>nombre de clubs 2024/2025</t>
  </si>
  <si>
    <t>Formation des encadrants /dirigeants</t>
  </si>
  <si>
    <t>Organisation de manifestations sportives</t>
  </si>
  <si>
    <t>Nombre d'actions Sport-Santé</t>
  </si>
  <si>
    <t>Nombre d'actions Pratique féminine</t>
  </si>
  <si>
    <t>Nombre d'actions 
Sport handicap</t>
  </si>
  <si>
    <t>COMITE DEPARTEMENTAL OLYMPIQUE ET SPORTIF
C.D.O.S. VAL D'OISE</t>
  </si>
  <si>
    <t>COMITE DEPART.ATHLETISME</t>
  </si>
  <si>
    <t>COMITE DEPART.AVIRON</t>
  </si>
  <si>
    <t>COMITE DEPART.BADMINTON</t>
  </si>
  <si>
    <t>COMITE DEPART BASE BALL</t>
  </si>
  <si>
    <t>COMITE DEPART.BASKETBALL</t>
  </si>
  <si>
    <t>COMITE DEPART.BOXE ANGLAISE</t>
  </si>
  <si>
    <t>COMITE DEPART.CYCLISME</t>
  </si>
  <si>
    <t>COMITE DEPART. DANSE</t>
  </si>
  <si>
    <t>COMITE DEPART.EQUITATION</t>
  </si>
  <si>
    <t>COMITE DEPART.ESCRIME</t>
  </si>
  <si>
    <t>COMITE DEPART. FOOTBALL</t>
  </si>
  <si>
    <t>COMITE DEPART. GOLF</t>
  </si>
  <si>
    <t>COMITE DEPART.GYMNASTIQUE</t>
  </si>
  <si>
    <t>COMITE DEPART.HALTEROPHILIE</t>
  </si>
  <si>
    <t>COMITE DEPART.HANDBALL</t>
  </si>
  <si>
    <t>COMITE DEPART.HOCKEY SUR GLACE</t>
  </si>
  <si>
    <t xml:space="preserve">COMITE DEPART. DE JUDO </t>
  </si>
  <si>
    <t>COMITE DEPART. DE KARATE</t>
  </si>
  <si>
    <t>COMITE MONTAGNE/ESCALADE</t>
  </si>
  <si>
    <t>COMITE DEPART.NATATION</t>
  </si>
  <si>
    <t>COMITE DEPART.RUGBY</t>
  </si>
  <si>
    <t>COMITE DEPART.SPORTS DE GLACE</t>
  </si>
  <si>
    <t>COMITE DEPART.  TAEKWONDO</t>
  </si>
  <si>
    <t xml:space="preserve">COMITE VAL D'OISE DE TENNIS </t>
  </si>
  <si>
    <t>COMITE DEPART.TENNIS DE TABLE</t>
  </si>
  <si>
    <t>COMITE DEPART.TIR A L'ARC</t>
  </si>
  <si>
    <t>COMTE DEPART. TRIATHLON</t>
  </si>
  <si>
    <t>COMITE DEPART.VOILE</t>
  </si>
  <si>
    <t>COMITE DEPART.VOLLEY BALL</t>
  </si>
  <si>
    <t>Sous-total</t>
  </si>
  <si>
    <t>SUBVENTIONS AUX COMITES SPORTIFS CIVILS DEPARTEMENTAUX - PROPOSITIONS 2025</t>
  </si>
  <si>
    <t>2 - FEDERATIONS UNISPORT NON OLYMPIQUES</t>
  </si>
  <si>
    <t>FEDERATIONS UNISPORT 
NON OLYMPIQUES</t>
  </si>
  <si>
    <t>licenciés 2015</t>
  </si>
  <si>
    <t>licenciés 2016</t>
  </si>
  <si>
    <t>nombre de clubs 2015</t>
  </si>
  <si>
    <t>nombre de clubs 2016</t>
  </si>
  <si>
    <t>FEDERATIONS UNISPORT NON
OLYMPIQUES</t>
  </si>
  <si>
    <t>Nombre d'actions Sport handicap</t>
  </si>
  <si>
    <t>COMITE DEPART. AIKIDO BUDO</t>
  </si>
  <si>
    <t>COMITE DEPART.BILLARD</t>
  </si>
  <si>
    <t>COMITE DEPART.COURSE ORIENTATION</t>
  </si>
  <si>
    <t>COMITE DEPART.CYCLOTOURISME</t>
  </si>
  <si>
    <t>COMITE DEPART ECHECS</t>
  </si>
  <si>
    <t>COMITE FLYING DISC 95</t>
  </si>
  <si>
    <t>COMITE DEPAR. PETANQUE</t>
  </si>
  <si>
    <t>COMITE DEPART.PLONGEE SUBAQUATIQUE</t>
  </si>
  <si>
    <t>COMITE DEPARTEMENTAL RANDONNEE PEDESTRE</t>
  </si>
  <si>
    <t>COMITE DEPART. ROLLER ET SKATEBOARD</t>
  </si>
  <si>
    <t>COMITE DEPART. DE SAVATE BOXE FRANCAISE</t>
  </si>
  <si>
    <t>COMITE DEPART.SPELEOLOGIE</t>
  </si>
  <si>
    <t>COMITE DEPART.SQUASH</t>
  </si>
  <si>
    <t>COMITE DEPART. VOL A VOILE</t>
  </si>
  <si>
    <t>3 - FEDERATIONS AFFINITAIRES ET MULTISPORTS</t>
  </si>
  <si>
    <t>FEDERATIONS AFFINITAIRES</t>
  </si>
  <si>
    <t>COMITE DEPART.FSCF</t>
  </si>
  <si>
    <t>COMITE DEPART.FSGT</t>
  </si>
  <si>
    <t>COMITE DEPART.UFOLEP</t>
  </si>
  <si>
    <t>FEDERATIONS MULTISPORT</t>
  </si>
  <si>
    <t>COMITE DEPART.GYM. VOLONTAIRE</t>
  </si>
  <si>
    <t>COMITE DEPART.HANDISPORT</t>
  </si>
  <si>
    <t>COMITE DEPART. MEDAILLES JEUNESSE ET SPORT</t>
  </si>
  <si>
    <t>COMITE DEPART.RETRAITE SPORTIVE</t>
  </si>
  <si>
    <t>COMITE DEPART. SPORT ADAPTE</t>
  </si>
  <si>
    <t>TOTAL COMITES 
SPORTIFS CIVILS</t>
  </si>
  <si>
    <t>SUBVENTIONS AUX COMITES SPORTIFS SCOLAIRES DEPARTEMENTAUX - PROPOSITIONS 2025</t>
  </si>
  <si>
    <t>4 - FEDERATIONS SPORTIVES SCOLAIRES</t>
  </si>
  <si>
    <t>FEDERATIONS SCOLAIRES</t>
  </si>
  <si>
    <t>U.N.S.S.</t>
  </si>
  <si>
    <t>U.S.E.P.</t>
  </si>
  <si>
    <t>TOTAL COMITES 
SPORTIFS SCOLAIRES</t>
  </si>
  <si>
    <t>TOTAL GENERAL</t>
  </si>
  <si>
    <t>licenciés 2023/2024</t>
  </si>
  <si>
    <t>licenciés
2024/ 2025</t>
  </si>
  <si>
    <t>licenciés
2023/2024</t>
  </si>
  <si>
    <t>licenciés
2024/2024</t>
  </si>
  <si>
    <t>licenciés
2025/2026</t>
  </si>
  <si>
    <t>nombre de clubs 2025/2026</t>
  </si>
  <si>
    <t>nombre de clubs 2024/2024</t>
  </si>
  <si>
    <t>licenciés
2024/ 2024</t>
  </si>
  <si>
    <t>Nombre de Licenciés</t>
  </si>
  <si>
    <t>Nombre de clubs</t>
  </si>
  <si>
    <t xml:space="preserve">Total des licenciés et des clubs par année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</si>
</sst>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0_ ;[Red]\-0\ "/>
    <numFmt numFmtId="165" formatCode="#,##0\ &quot;€&quot;"/>
    <numFmt numFmtId="166" formatCode="#,##0_ ;[Red]\-#,##0\ "/>
    <numFmt numFmtId="167" formatCode="0.00_ ;[Red]\-0.00\ "/>
    <numFmt numFmtId="168" formatCode="_-* #,##0.00\ [$€-1]_-;\-* #,##0.00\ [$€-1]_-;_-* &quot;-&quot;??\ [$€-1]_-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i/>
      <sz val="11"/>
      <name val="Aptos Narrow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i/>
      <sz val="10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indexed="10"/>
      <name val="EuroMysoft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FCFE"/>
        <bgColor indexed="64"/>
      </patternFill>
    </fill>
    <fill>
      <patternFill patternType="solid">
        <fgColor rgb="FFFFD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5" fillId="0" borderId="0" applyFont="0" applyFill="0" applyBorder="0" applyAlignment="0" applyProtection="0"/>
    <xf numFmtId="168" fontId="17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3" fontId="7" fillId="3" borderId="10" xfId="0" applyNumberFormat="1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3" borderId="10" xfId="0" applyNumberFormat="1" applyFill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" fontId="0" fillId="2" borderId="12" xfId="0" applyNumberForma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2" borderId="14" xfId="0" applyNumberFormat="1" applyFill="1" applyBorder="1" applyAlignment="1">
      <alignment horizontal="center" vertical="center" wrapText="1"/>
    </xf>
    <xf numFmtId="3" fontId="0" fillId="3" borderId="13" xfId="0" applyNumberFormat="1" applyFill="1" applyBorder="1" applyAlignment="1">
      <alignment horizontal="center" vertical="center" wrapText="1"/>
    </xf>
    <xf numFmtId="3" fontId="0" fillId="3" borderId="9" xfId="0" applyNumberFormat="1" applyFill="1" applyBorder="1" applyAlignment="1">
      <alignment horizontal="center" vertical="center" wrapText="1"/>
    </xf>
    <xf numFmtId="3" fontId="6" fillId="3" borderId="11" xfId="0" applyNumberFormat="1" applyFont="1" applyFill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3" fontId="0" fillId="3" borderId="11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 wrapText="1"/>
    </xf>
    <xf numFmtId="3" fontId="0" fillId="3" borderId="17" xfId="0" applyNumberForma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3" fontId="0" fillId="2" borderId="15" xfId="0" applyNumberFormat="1" applyFill="1" applyBorder="1" applyAlignment="1">
      <alignment horizontal="center" vertical="center" wrapText="1"/>
    </xf>
    <xf numFmtId="3" fontId="0" fillId="0" borderId="16" xfId="0" applyNumberFormat="1" applyBorder="1" applyAlignment="1">
      <alignment horizontal="center" vertical="center" wrapText="1"/>
    </xf>
    <xf numFmtId="3" fontId="0" fillId="0" borderId="19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3" fillId="0" borderId="21" xfId="0" applyNumberFormat="1" applyFont="1" applyBorder="1" applyAlignment="1">
      <alignment horizontal="center" vertical="center" wrapText="1"/>
    </xf>
    <xf numFmtId="3" fontId="13" fillId="0" borderId="22" xfId="0" applyNumberFormat="1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3" fontId="1" fillId="2" borderId="25" xfId="0" applyNumberFormat="1" applyFont="1" applyFill="1" applyBorder="1" applyAlignment="1">
      <alignment horizontal="center" vertical="center" wrapText="1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26" xfId="0" applyNumberFormat="1" applyFont="1" applyBorder="1" applyAlignment="1">
      <alignment horizontal="center" vertical="center" wrapText="1"/>
    </xf>
    <xf numFmtId="3" fontId="1" fillId="0" borderId="27" xfId="0" applyNumberFormat="1" applyFont="1" applyBorder="1" applyAlignment="1">
      <alignment horizontal="center" vertical="center" wrapText="1"/>
    </xf>
    <xf numFmtId="3" fontId="1" fillId="0" borderId="25" xfId="0" applyNumberFormat="1" applyFont="1" applyBorder="1" applyAlignment="1">
      <alignment horizontal="center" vertical="center" wrapText="1"/>
    </xf>
    <xf numFmtId="3" fontId="1" fillId="2" borderId="15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16" fillId="3" borderId="10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164" fontId="16" fillId="3" borderId="10" xfId="0" applyNumberFormat="1" applyFont="1" applyFill="1" applyBorder="1" applyAlignment="1">
      <alignment horizontal="center" vertical="center" wrapText="1" shrinkToFit="1"/>
    </xf>
    <xf numFmtId="1" fontId="16" fillId="3" borderId="10" xfId="0" applyNumberFormat="1" applyFont="1" applyFill="1" applyBorder="1" applyAlignment="1">
      <alignment horizontal="center" vertical="center" wrapText="1"/>
    </xf>
    <xf numFmtId="164" fontId="18" fillId="4" borderId="10" xfId="0" applyNumberFormat="1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166" fontId="19" fillId="0" borderId="10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/>
    </xf>
    <xf numFmtId="3" fontId="19" fillId="6" borderId="10" xfId="0" applyNumberFormat="1" applyFont="1" applyFill="1" applyBorder="1" applyAlignment="1">
      <alignment horizontal="center" vertical="center"/>
    </xf>
    <xf numFmtId="3" fontId="19" fillId="7" borderId="10" xfId="0" applyNumberFormat="1" applyFont="1" applyFill="1" applyBorder="1" applyAlignment="1">
      <alignment horizontal="center" vertical="center"/>
    </xf>
    <xf numFmtId="166" fontId="19" fillId="9" borderId="10" xfId="0" applyNumberFormat="1" applyFont="1" applyFill="1" applyBorder="1" applyAlignment="1">
      <alignment horizontal="center" vertical="center"/>
    </xf>
    <xf numFmtId="1" fontId="19" fillId="9" borderId="10" xfId="0" applyNumberFormat="1" applyFont="1" applyFill="1" applyBorder="1" applyAlignment="1">
      <alignment horizontal="center" vertical="center"/>
    </xf>
    <xf numFmtId="164" fontId="19" fillId="4" borderId="10" xfId="0" applyNumberFormat="1" applyFont="1" applyFill="1" applyBorder="1" applyAlignment="1">
      <alignment horizontal="center" vertical="center" wrapText="1"/>
    </xf>
    <xf numFmtId="166" fontId="20" fillId="9" borderId="10" xfId="0" applyNumberFormat="1" applyFont="1" applyFill="1" applyBorder="1" applyAlignment="1">
      <alignment horizontal="center" vertical="center"/>
    </xf>
    <xf numFmtId="1" fontId="20" fillId="9" borderId="10" xfId="0" applyNumberFormat="1" applyFont="1" applyFill="1" applyBorder="1" applyAlignment="1">
      <alignment horizontal="center" vertical="center"/>
    </xf>
    <xf numFmtId="1" fontId="19" fillId="10" borderId="10" xfId="0" applyNumberFormat="1" applyFont="1" applyFill="1" applyBorder="1" applyAlignment="1">
      <alignment horizontal="center" vertical="center"/>
    </xf>
    <xf numFmtId="166" fontId="19" fillId="10" borderId="10" xfId="0" applyNumberFormat="1" applyFont="1" applyFill="1" applyBorder="1" applyAlignment="1">
      <alignment horizontal="center" vertical="center"/>
    </xf>
    <xf numFmtId="164" fontId="19" fillId="10" borderId="10" xfId="0" applyNumberFormat="1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/>
    </xf>
    <xf numFmtId="3" fontId="19" fillId="10" borderId="10" xfId="0" applyNumberFormat="1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164" fontId="19" fillId="9" borderId="10" xfId="0" applyNumberFormat="1" applyFont="1" applyFill="1" applyBorder="1" applyAlignment="1">
      <alignment horizontal="center" vertical="center" wrapText="1"/>
    </xf>
    <xf numFmtId="164" fontId="20" fillId="4" borderId="10" xfId="0" applyNumberFormat="1" applyFont="1" applyFill="1" applyBorder="1" applyAlignment="1">
      <alignment horizontal="center" vertical="center" wrapText="1"/>
    </xf>
    <xf numFmtId="1" fontId="19" fillId="9" borderId="10" xfId="0" applyNumberFormat="1" applyFont="1" applyFill="1" applyBorder="1" applyAlignment="1">
      <alignment horizontal="center" vertical="center" wrapText="1"/>
    </xf>
    <xf numFmtId="164" fontId="18" fillId="11" borderId="10" xfId="0" applyNumberFormat="1" applyFont="1" applyFill="1" applyBorder="1" applyAlignment="1">
      <alignment horizontal="center" vertical="center" wrapText="1"/>
    </xf>
    <xf numFmtId="166" fontId="19" fillId="9" borderId="10" xfId="0" applyNumberFormat="1" applyFont="1" applyFill="1" applyBorder="1" applyAlignment="1">
      <alignment horizontal="center" vertical="center" wrapText="1"/>
    </xf>
    <xf numFmtId="3" fontId="19" fillId="6" borderId="0" xfId="0" applyNumberFormat="1" applyFont="1" applyFill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center" vertical="center" wrapText="1"/>
    </xf>
    <xf numFmtId="3" fontId="19" fillId="6" borderId="1" xfId="0" applyNumberFormat="1" applyFont="1" applyFill="1" applyBorder="1" applyAlignment="1">
      <alignment horizontal="center" vertical="center"/>
    </xf>
    <xf numFmtId="3" fontId="19" fillId="7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6" fontId="19" fillId="9" borderId="1" xfId="0" applyNumberFormat="1" applyFont="1" applyFill="1" applyBorder="1" applyAlignment="1">
      <alignment horizontal="center" vertical="center"/>
    </xf>
    <xf numFmtId="1" fontId="19" fillId="9" borderId="1" xfId="0" applyNumberFormat="1" applyFont="1" applyFill="1" applyBorder="1" applyAlignment="1">
      <alignment horizontal="center" vertical="center"/>
    </xf>
    <xf numFmtId="164" fontId="21" fillId="12" borderId="31" xfId="0" applyNumberFormat="1" applyFont="1" applyFill="1" applyBorder="1" applyAlignment="1">
      <alignment horizontal="center" vertical="center"/>
    </xf>
    <xf numFmtId="0" fontId="21" fillId="12" borderId="31" xfId="0" applyFont="1" applyFill="1" applyBorder="1" applyAlignment="1">
      <alignment horizontal="center" vertical="center"/>
    </xf>
    <xf numFmtId="3" fontId="21" fillId="12" borderId="31" xfId="0" applyNumberFormat="1" applyFont="1" applyFill="1" applyBorder="1" applyAlignment="1">
      <alignment horizontal="center" vertical="center"/>
    </xf>
    <xf numFmtId="1" fontId="21" fillId="12" borderId="31" xfId="0" applyNumberFormat="1" applyFont="1" applyFill="1" applyBorder="1" applyAlignment="1">
      <alignment horizontal="center" vertical="center"/>
    </xf>
    <xf numFmtId="1" fontId="21" fillId="12" borderId="32" xfId="0" applyNumberFormat="1" applyFont="1" applyFill="1" applyBorder="1" applyAlignment="1">
      <alignment horizontal="center" vertical="center"/>
    </xf>
    <xf numFmtId="166" fontId="21" fillId="12" borderId="31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1" fontId="19" fillId="0" borderId="0" xfId="0" applyNumberFormat="1" applyFont="1"/>
    <xf numFmtId="164" fontId="16" fillId="3" borderId="34" xfId="0" applyNumberFormat="1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horizontal="center" vertical="center" wrapText="1"/>
    </xf>
    <xf numFmtId="164" fontId="16" fillId="3" borderId="34" xfId="0" applyNumberFormat="1" applyFont="1" applyFill="1" applyBorder="1" applyAlignment="1">
      <alignment horizontal="center" vertical="center" wrapText="1" shrinkToFit="1"/>
    </xf>
    <xf numFmtId="1" fontId="16" fillId="3" borderId="34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" fontId="19" fillId="10" borderId="10" xfId="0" applyNumberFormat="1" applyFont="1" applyFill="1" applyBorder="1" applyAlignment="1">
      <alignment horizontal="center" vertical="center" wrapText="1"/>
    </xf>
    <xf numFmtId="164" fontId="19" fillId="10" borderId="1" xfId="0" applyNumberFormat="1" applyFont="1" applyFill="1" applyBorder="1" applyAlignment="1">
      <alignment horizontal="center" vertical="center" wrapText="1"/>
    </xf>
    <xf numFmtId="1" fontId="19" fillId="10" borderId="1" xfId="0" applyNumberFormat="1" applyFont="1" applyFill="1" applyBorder="1" applyAlignment="1">
      <alignment horizontal="center" vertical="center" wrapText="1"/>
    </xf>
    <xf numFmtId="166" fontId="21" fillId="12" borderId="32" xfId="0" applyNumberFormat="1" applyFont="1" applyFill="1" applyBorder="1" applyAlignment="1">
      <alignment horizontal="center" vertical="center"/>
    </xf>
    <xf numFmtId="164" fontId="21" fillId="12" borderId="32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22" fillId="0" borderId="0" xfId="1" applyNumberFormat="1" applyFont="1" applyFill="1" applyBorder="1" applyAlignment="1">
      <alignment horizontal="center" vertical="center"/>
    </xf>
    <xf numFmtId="164" fontId="19" fillId="9" borderId="1" xfId="0" applyNumberFormat="1" applyFont="1" applyFill="1" applyBorder="1" applyAlignment="1">
      <alignment horizontal="center" vertical="center" wrapText="1"/>
    </xf>
    <xf numFmtId="166" fontId="23" fillId="12" borderId="31" xfId="0" applyNumberFormat="1" applyFont="1" applyFill="1" applyBorder="1" applyAlignment="1">
      <alignment horizontal="center" vertical="center" wrapText="1"/>
    </xf>
    <xf numFmtId="166" fontId="23" fillId="12" borderId="35" xfId="0" applyNumberFormat="1" applyFont="1" applyFill="1" applyBorder="1" applyAlignment="1">
      <alignment horizontal="center" vertical="center" wrapText="1"/>
    </xf>
    <xf numFmtId="164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/>
    <xf numFmtId="1" fontId="19" fillId="0" borderId="12" xfId="0" applyNumberFormat="1" applyFont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1" fontId="19" fillId="9" borderId="1" xfId="0" applyNumberFormat="1" applyFont="1" applyFill="1" applyBorder="1" applyAlignment="1">
      <alignment horizontal="center" vertical="center" wrapText="1"/>
    </xf>
    <xf numFmtId="164" fontId="16" fillId="12" borderId="31" xfId="0" applyNumberFormat="1" applyFont="1" applyFill="1" applyBorder="1" applyAlignment="1">
      <alignment horizontal="center" vertical="center"/>
    </xf>
    <xf numFmtId="166" fontId="16" fillId="12" borderId="31" xfId="0" applyNumberFormat="1" applyFont="1" applyFill="1" applyBorder="1" applyAlignment="1">
      <alignment horizontal="center" vertical="center"/>
    </xf>
    <xf numFmtId="166" fontId="24" fillId="12" borderId="31" xfId="0" applyNumberFormat="1" applyFont="1" applyFill="1" applyBorder="1" applyAlignment="1">
      <alignment horizontal="center" vertical="center" wrapText="1"/>
    </xf>
    <xf numFmtId="166" fontId="24" fillId="12" borderId="32" xfId="0" applyNumberFormat="1" applyFont="1" applyFill="1" applyBorder="1" applyAlignment="1">
      <alignment horizontal="center" vertical="center" wrapText="1"/>
    </xf>
    <xf numFmtId="164" fontId="16" fillId="12" borderId="32" xfId="0" applyNumberFormat="1" applyFont="1" applyFill="1" applyBorder="1" applyAlignment="1">
      <alignment horizontal="center" vertical="center"/>
    </xf>
    <xf numFmtId="1" fontId="16" fillId="12" borderId="31" xfId="0" applyNumberFormat="1" applyFont="1" applyFill="1" applyBorder="1" applyAlignment="1">
      <alignment horizontal="center" vertical="center"/>
    </xf>
    <xf numFmtId="6" fontId="16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9" fillId="12" borderId="31" xfId="0" applyNumberFormat="1" applyFont="1" applyFill="1" applyBorder="1" applyAlignment="1">
      <alignment horizontal="center" vertical="center" wrapText="1"/>
    </xf>
    <xf numFmtId="166" fontId="5" fillId="12" borderId="31" xfId="0" applyNumberFormat="1" applyFont="1" applyFill="1" applyBorder="1" applyAlignment="1">
      <alignment horizontal="center" vertical="center"/>
    </xf>
    <xf numFmtId="1" fontId="5" fillId="12" borderId="31" xfId="0" applyNumberFormat="1" applyFont="1" applyFill="1" applyBorder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4" fontId="16" fillId="0" borderId="33" xfId="0" applyNumberFormat="1" applyFont="1" applyBorder="1" applyAlignment="1">
      <alignment horizontal="center" vertical="center" wrapText="1"/>
    </xf>
    <xf numFmtId="166" fontId="19" fillId="6" borderId="1" xfId="0" applyNumberFormat="1" applyFont="1" applyFill="1" applyBorder="1" applyAlignment="1">
      <alignment horizontal="center" vertical="center" wrapText="1"/>
    </xf>
    <xf numFmtId="166" fontId="19" fillId="7" borderId="1" xfId="0" applyNumberFormat="1" applyFont="1" applyFill="1" applyBorder="1" applyAlignment="1">
      <alignment horizontal="center" vertical="center" wrapText="1"/>
    </xf>
    <xf numFmtId="164" fontId="19" fillId="8" borderId="1" xfId="0" applyNumberFormat="1" applyFont="1" applyFill="1" applyBorder="1" applyAlignment="1">
      <alignment horizontal="center" vertical="center" wrapText="1"/>
    </xf>
    <xf numFmtId="164" fontId="19" fillId="8" borderId="10" xfId="0" applyNumberFormat="1" applyFont="1" applyFill="1" applyBorder="1" applyAlignment="1">
      <alignment horizontal="center" vertical="center" wrapText="1"/>
    </xf>
    <xf numFmtId="164" fontId="21" fillId="12" borderId="31" xfId="0" applyNumberFormat="1" applyFont="1" applyFill="1" applyBorder="1" applyAlignment="1">
      <alignment horizontal="center" vertical="center" wrapText="1"/>
    </xf>
    <xf numFmtId="0" fontId="21" fillId="12" borderId="32" xfId="0" applyFont="1" applyFill="1" applyBorder="1" applyAlignment="1">
      <alignment horizontal="center" vertical="center"/>
    </xf>
    <xf numFmtId="166" fontId="22" fillId="0" borderId="0" xfId="2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9" fillId="5" borderId="17" xfId="0" applyNumberFormat="1" applyFont="1" applyFill="1" applyBorder="1" applyAlignment="1">
      <alignment horizontal="center" vertical="center"/>
    </xf>
    <xf numFmtId="166" fontId="9" fillId="5" borderId="18" xfId="0" applyNumberFormat="1" applyFont="1" applyFill="1" applyBorder="1" applyAlignment="1">
      <alignment horizontal="center" vertical="center"/>
    </xf>
    <xf numFmtId="166" fontId="9" fillId="5" borderId="16" xfId="0" applyNumberFormat="1" applyFont="1" applyFill="1" applyBorder="1" applyAlignment="1">
      <alignment horizontal="center" vertical="center"/>
    </xf>
    <xf numFmtId="1" fontId="9" fillId="5" borderId="17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  <xf numFmtId="164" fontId="19" fillId="0" borderId="12" xfId="0" applyNumberFormat="1" applyFont="1" applyBorder="1" applyAlignment="1">
      <alignment horizontal="center" vertical="center" wrapText="1"/>
    </xf>
    <xf numFmtId="164" fontId="16" fillId="12" borderId="31" xfId="0" applyNumberFormat="1" applyFont="1" applyFill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164" fontId="16" fillId="5" borderId="37" xfId="0" applyNumberFormat="1" applyFont="1" applyFill="1" applyBorder="1" applyAlignment="1">
      <alignment horizontal="center" vertical="center" wrapText="1"/>
    </xf>
    <xf numFmtId="164" fontId="16" fillId="5" borderId="3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18" fillId="10" borderId="10" xfId="0" applyNumberFormat="1" applyFont="1" applyFill="1" applyBorder="1" applyAlignment="1">
      <alignment horizontal="center" vertical="center" wrapText="1"/>
    </xf>
    <xf numFmtId="3" fontId="21" fillId="12" borderId="35" xfId="0" applyNumberFormat="1" applyFont="1" applyFill="1" applyBorder="1" applyAlignment="1">
      <alignment horizontal="center" vertical="center"/>
    </xf>
    <xf numFmtId="3" fontId="16" fillId="12" borderId="31" xfId="0" applyNumberFormat="1" applyFont="1" applyFill="1" applyBorder="1" applyAlignment="1">
      <alignment horizontal="center" vertical="center"/>
    </xf>
    <xf numFmtId="3" fontId="5" fillId="12" borderId="31" xfId="0" applyNumberFormat="1" applyFont="1" applyFill="1" applyBorder="1" applyAlignment="1">
      <alignment horizontal="center" vertical="center"/>
    </xf>
    <xf numFmtId="0" fontId="0" fillId="0" borderId="10" xfId="0" applyBorder="1"/>
    <xf numFmtId="3" fontId="0" fillId="0" borderId="10" xfId="0" applyNumberFormat="1" applyBorder="1"/>
    <xf numFmtId="164" fontId="21" fillId="3" borderId="35" xfId="0" applyNumberFormat="1" applyFont="1" applyFill="1" applyBorder="1" applyAlignment="1">
      <alignment horizontal="center" vertical="center" wrapText="1"/>
    </xf>
    <xf numFmtId="164" fontId="21" fillId="3" borderId="36" xfId="0" applyNumberFormat="1" applyFont="1" applyFill="1" applyBorder="1" applyAlignment="1">
      <alignment horizontal="center" vertical="center" wrapText="1"/>
    </xf>
    <xf numFmtId="164" fontId="16" fillId="5" borderId="39" xfId="0" applyNumberFormat="1" applyFont="1" applyFill="1" applyBorder="1" applyAlignment="1">
      <alignment horizontal="center" vertical="center" wrapText="1"/>
    </xf>
    <xf numFmtId="164" fontId="16" fillId="5" borderId="40" xfId="0" applyNumberFormat="1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/>
    </xf>
    <xf numFmtId="164" fontId="21" fillId="3" borderId="33" xfId="0" applyNumberFormat="1" applyFont="1" applyFill="1" applyBorder="1" applyAlignment="1">
      <alignment horizontal="center" vertical="center" wrapText="1"/>
    </xf>
    <xf numFmtId="164" fontId="21" fillId="3" borderId="0" xfId="0" applyNumberFormat="1" applyFont="1" applyFill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</cellXfs>
  <cellStyles count="3">
    <cellStyle name="Euro" xfId="2" xr:uid="{73923312-E64D-47BE-8787-3356E25741CD}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OMITES%20DEPARTEMENTAUX/TABLEAUX%20COMITES%20DEPART.%20-%20SUBVENTIONS/ARCHIVES%20tableaux/TABLEAUX%20INSTRUCTION%202025/Tableau%20d'instruction%20d&#233;taill&#233;%202025.xlsx" TargetMode="External"/><Relationship Id="rId2" Type="http://schemas.openxmlformats.org/officeDocument/2006/relationships/externalLinkPath" Target="file:///F:\COMITES%20DEPARTEMENTAUX\TABLEAUX%20COMITES%20DEPART.%20-%20SUBVENTIONS\ARCHIVES%20tableaux\TABLEAUX%20INSTRUCTION%202025\Tableau%20d'instruction%20d&#233;taill&#233;%202025.xlsx" TargetMode="External"/><Relationship Id="rId1" Type="http://schemas.openxmlformats.org/officeDocument/2006/relationships/externalLinkPath" Target="/COMITES%20DEPARTEMENTAUX/TABLEAUX%20COMITES%20DEPART.%20-%20SUBVENTIONS/ARCHIVES%20tableaux/TABLEAUX%20INSTRUCTION%202025/Tableau%20d'instruction%20d&#233;taill&#233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au détaillé 24-25"/>
      <sheetName val="Feuil1"/>
      <sheetName val="PTS"/>
    </sheetNames>
    <sheetDataSet>
      <sheetData sheetId="0"/>
      <sheetData sheetId="1"/>
      <sheetData sheetId="2">
        <row r="2">
          <cell r="E2">
            <v>2</v>
          </cell>
          <cell r="J2">
            <v>0.03</v>
          </cell>
        </row>
        <row r="3">
          <cell r="J3">
            <v>4000</v>
          </cell>
        </row>
        <row r="4">
          <cell r="J4">
            <v>10</v>
          </cell>
        </row>
        <row r="5">
          <cell r="J5">
            <v>0.03</v>
          </cell>
        </row>
        <row r="6">
          <cell r="J6">
            <v>10000</v>
          </cell>
        </row>
        <row r="7">
          <cell r="J7">
            <v>25</v>
          </cell>
        </row>
        <row r="8">
          <cell r="J8">
            <v>0.05</v>
          </cell>
        </row>
        <row r="9">
          <cell r="J9">
            <v>15000</v>
          </cell>
        </row>
        <row r="10">
          <cell r="J10">
            <v>75</v>
          </cell>
        </row>
        <row r="11">
          <cell r="J11">
            <v>0.15</v>
          </cell>
        </row>
        <row r="12">
          <cell r="J12">
            <v>25000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4AE5-7F91-43DD-9C59-B5D1EBCF9831}">
  <dimension ref="A1:E5"/>
  <sheetViews>
    <sheetView workbookViewId="0">
      <selection activeCell="D20" sqref="D20"/>
    </sheetView>
  </sheetViews>
  <sheetFormatPr baseColWidth="10" defaultRowHeight="15"/>
  <cols>
    <col min="1" max="1" width="19" customWidth="1"/>
  </cols>
  <sheetData>
    <row r="1" spans="1:5">
      <c r="B1" s="189" t="s">
        <v>173</v>
      </c>
      <c r="C1" s="189"/>
      <c r="D1" s="189"/>
      <c r="E1" s="189"/>
    </row>
    <row r="2" spans="1:5">
      <c r="B2" s="189"/>
      <c r="C2" s="189"/>
      <c r="D2" s="189"/>
      <c r="E2" s="189"/>
    </row>
    <row r="3" spans="1:5">
      <c r="B3" s="183">
        <v>2019</v>
      </c>
      <c r="C3" s="183">
        <v>2020</v>
      </c>
      <c r="D3" s="183">
        <v>2021</v>
      </c>
      <c r="E3" s="183">
        <v>2022</v>
      </c>
    </row>
    <row r="4" spans="1:5">
      <c r="A4" s="183" t="s">
        <v>171</v>
      </c>
      <c r="B4" s="184">
        <v>236725</v>
      </c>
      <c r="C4" s="184">
        <v>233963</v>
      </c>
      <c r="D4" s="184">
        <v>219688</v>
      </c>
      <c r="E4" s="184">
        <v>200855</v>
      </c>
    </row>
    <row r="5" spans="1:5">
      <c r="A5" s="183" t="s">
        <v>172</v>
      </c>
      <c r="B5" s="184">
        <v>1743</v>
      </c>
      <c r="C5" s="184">
        <v>1910</v>
      </c>
      <c r="D5" s="184">
        <v>1965</v>
      </c>
      <c r="E5" s="184">
        <v>1898</v>
      </c>
    </row>
  </sheetData>
  <mergeCells count="1">
    <mergeCell ref="B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8D0B-A6BA-4117-BC3B-163C4416DB7D}">
  <dimension ref="B3:P90"/>
  <sheetViews>
    <sheetView topLeftCell="A89" workbookViewId="0">
      <selection activeCell="B3" sqref="B3:P90"/>
    </sheetView>
  </sheetViews>
  <sheetFormatPr baseColWidth="10" defaultRowHeight="15"/>
  <cols>
    <col min="2" max="2" width="19.140625" style="178" customWidth="1"/>
    <col min="13" max="13" width="13.5703125" customWidth="1"/>
  </cols>
  <sheetData>
    <row r="3" spans="2:16" ht="45">
      <c r="B3" s="67" t="s">
        <v>75</v>
      </c>
      <c r="C3" s="68" t="s">
        <v>76</v>
      </c>
      <c r="D3" s="68" t="s">
        <v>77</v>
      </c>
      <c r="E3" s="68" t="s">
        <v>78</v>
      </c>
      <c r="F3" s="68" t="s">
        <v>79</v>
      </c>
      <c r="G3" s="68" t="s">
        <v>80</v>
      </c>
      <c r="H3" s="68" t="s">
        <v>81</v>
      </c>
      <c r="I3" s="69" t="s">
        <v>82</v>
      </c>
      <c r="J3" s="69" t="s">
        <v>83</v>
      </c>
      <c r="K3" s="69" t="s">
        <v>84</v>
      </c>
      <c r="L3" s="67" t="s">
        <v>85</v>
      </c>
      <c r="M3" s="67" t="s">
        <v>86</v>
      </c>
      <c r="N3" s="67" t="s">
        <v>87</v>
      </c>
      <c r="O3" s="67" t="s">
        <v>88</v>
      </c>
      <c r="P3" s="70" t="s">
        <v>89</v>
      </c>
    </row>
    <row r="4" spans="2:16" ht="45">
      <c r="B4" s="71" t="s">
        <v>90</v>
      </c>
      <c r="C4" s="72"/>
      <c r="D4" s="72"/>
      <c r="E4" s="72">
        <v>0</v>
      </c>
      <c r="F4" s="73">
        <v>0</v>
      </c>
      <c r="G4" s="73">
        <v>0</v>
      </c>
      <c r="H4" s="73">
        <v>0</v>
      </c>
      <c r="I4" s="75"/>
      <c r="J4" s="75">
        <v>57</v>
      </c>
      <c r="K4" s="75">
        <v>53</v>
      </c>
      <c r="L4" s="76">
        <v>0</v>
      </c>
      <c r="M4" s="76">
        <v>0</v>
      </c>
      <c r="N4" s="76"/>
      <c r="O4" s="76"/>
      <c r="P4" s="77"/>
    </row>
    <row r="5" spans="2:16" ht="22.5">
      <c r="B5" s="71" t="s">
        <v>91</v>
      </c>
      <c r="C5" s="79">
        <v>5719</v>
      </c>
      <c r="D5" s="79">
        <v>5716</v>
      </c>
      <c r="E5" s="79">
        <v>5971</v>
      </c>
      <c r="F5" s="80">
        <v>3524</v>
      </c>
      <c r="G5" s="80">
        <v>2925</v>
      </c>
      <c r="H5" s="80">
        <v>27</v>
      </c>
      <c r="I5" s="75">
        <v>35</v>
      </c>
      <c r="J5" s="75">
        <v>38</v>
      </c>
      <c r="K5" s="75">
        <v>40</v>
      </c>
      <c r="L5" s="81">
        <v>65</v>
      </c>
      <c r="M5" s="81">
        <v>106</v>
      </c>
      <c r="N5" s="81">
        <v>4</v>
      </c>
      <c r="O5" s="81">
        <v>19</v>
      </c>
      <c r="P5" s="82">
        <v>5</v>
      </c>
    </row>
    <row r="6" spans="2:16">
      <c r="B6" s="83" t="s">
        <v>92</v>
      </c>
      <c r="C6" s="79">
        <v>600</v>
      </c>
      <c r="D6" s="79">
        <v>640</v>
      </c>
      <c r="E6" s="72">
        <v>650</v>
      </c>
      <c r="F6" s="80">
        <v>160</v>
      </c>
      <c r="G6" s="80">
        <v>300</v>
      </c>
      <c r="H6" s="80">
        <v>0</v>
      </c>
      <c r="I6" s="75">
        <v>7</v>
      </c>
      <c r="J6" s="75">
        <v>7</v>
      </c>
      <c r="K6" s="75">
        <v>7</v>
      </c>
      <c r="L6" s="81">
        <v>4</v>
      </c>
      <c r="M6" s="84">
        <v>3</v>
      </c>
      <c r="N6" s="84">
        <v>1</v>
      </c>
      <c r="O6" s="84">
        <v>2</v>
      </c>
      <c r="P6" s="85">
        <v>1</v>
      </c>
    </row>
    <row r="7" spans="2:16" ht="22.5">
      <c r="B7" s="71" t="s">
        <v>93</v>
      </c>
      <c r="C7" s="79">
        <v>3458</v>
      </c>
      <c r="D7" s="79">
        <v>3705</v>
      </c>
      <c r="E7" s="79">
        <v>4574</v>
      </c>
      <c r="F7" s="80">
        <v>1569</v>
      </c>
      <c r="G7" s="80">
        <v>1619</v>
      </c>
      <c r="H7" s="80">
        <v>15</v>
      </c>
      <c r="I7" s="75">
        <v>27</v>
      </c>
      <c r="J7" s="75">
        <v>29</v>
      </c>
      <c r="K7" s="75">
        <v>29</v>
      </c>
      <c r="L7" s="81">
        <v>5</v>
      </c>
      <c r="M7" s="81">
        <v>28</v>
      </c>
      <c r="N7" s="81">
        <v>1</v>
      </c>
      <c r="O7" s="81">
        <v>2</v>
      </c>
      <c r="P7" s="86">
        <v>8</v>
      </c>
    </row>
    <row r="8" spans="2:16" ht="22.5">
      <c r="B8" s="88" t="s">
        <v>94</v>
      </c>
      <c r="C8" s="90"/>
      <c r="D8" s="90">
        <v>359</v>
      </c>
      <c r="E8" s="91"/>
      <c r="F8" s="90">
        <v>130</v>
      </c>
      <c r="G8" s="90">
        <v>90</v>
      </c>
      <c r="H8" s="90">
        <v>0</v>
      </c>
      <c r="I8" s="89"/>
      <c r="J8" s="89">
        <v>7</v>
      </c>
      <c r="K8" s="89"/>
      <c r="L8" s="87">
        <v>5</v>
      </c>
      <c r="M8" s="87">
        <v>13</v>
      </c>
      <c r="N8" s="87">
        <v>0</v>
      </c>
      <c r="O8" s="87">
        <v>2</v>
      </c>
      <c r="P8" s="86">
        <v>0</v>
      </c>
    </row>
    <row r="9" spans="2:16" ht="22.5">
      <c r="B9" s="71" t="s">
        <v>95</v>
      </c>
      <c r="C9" s="79">
        <v>9828</v>
      </c>
      <c r="D9" s="79">
        <v>9890</v>
      </c>
      <c r="E9" s="79">
        <v>10309</v>
      </c>
      <c r="F9" s="80">
        <v>7654</v>
      </c>
      <c r="G9" s="80">
        <v>2909</v>
      </c>
      <c r="H9" s="80">
        <v>0</v>
      </c>
      <c r="I9" s="75">
        <v>40</v>
      </c>
      <c r="J9" s="75">
        <v>40</v>
      </c>
      <c r="K9" s="75">
        <v>42</v>
      </c>
      <c r="L9" s="81">
        <v>5</v>
      </c>
      <c r="M9" s="81">
        <v>3860</v>
      </c>
      <c r="N9" s="81">
        <v>0</v>
      </c>
      <c r="O9" s="81">
        <v>6</v>
      </c>
      <c r="P9" s="82">
        <v>0</v>
      </c>
    </row>
    <row r="10" spans="2:16" ht="22.5">
      <c r="B10" s="71" t="s">
        <v>96</v>
      </c>
      <c r="C10" s="72">
        <v>795</v>
      </c>
      <c r="D10" s="79">
        <v>808</v>
      </c>
      <c r="E10" s="72">
        <v>876</v>
      </c>
      <c r="F10" s="73">
        <v>496</v>
      </c>
      <c r="G10" s="73">
        <v>236</v>
      </c>
      <c r="H10" s="73">
        <v>0</v>
      </c>
      <c r="I10" s="75">
        <v>18</v>
      </c>
      <c r="J10" s="75">
        <v>19</v>
      </c>
      <c r="K10" s="75">
        <v>20</v>
      </c>
      <c r="L10" s="81">
        <v>1</v>
      </c>
      <c r="M10" s="81">
        <v>7</v>
      </c>
      <c r="N10" s="81">
        <v>1</v>
      </c>
      <c r="O10" s="81">
        <v>0</v>
      </c>
      <c r="P10" s="82">
        <v>3</v>
      </c>
    </row>
    <row r="11" spans="2:16" ht="22.5">
      <c r="B11" s="83" t="s">
        <v>97</v>
      </c>
      <c r="C11" s="79">
        <v>1043</v>
      </c>
      <c r="D11" s="79">
        <v>991</v>
      </c>
      <c r="E11" s="79">
        <v>1070</v>
      </c>
      <c r="F11" s="80">
        <v>514</v>
      </c>
      <c r="G11" s="80">
        <v>106</v>
      </c>
      <c r="H11" s="80">
        <v>6</v>
      </c>
      <c r="I11" s="75">
        <v>21</v>
      </c>
      <c r="J11" s="75">
        <v>21</v>
      </c>
      <c r="K11" s="75">
        <v>21</v>
      </c>
      <c r="L11" s="81">
        <v>2</v>
      </c>
      <c r="M11" s="81">
        <v>50</v>
      </c>
      <c r="N11" s="92">
        <v>0</v>
      </c>
      <c r="O11" s="81">
        <v>2</v>
      </c>
      <c r="P11" s="92">
        <v>0</v>
      </c>
    </row>
    <row r="12" spans="2:16">
      <c r="B12" s="93" t="s">
        <v>98</v>
      </c>
      <c r="C12" s="72">
        <v>0</v>
      </c>
      <c r="D12" s="79">
        <v>2052</v>
      </c>
      <c r="E12" s="79">
        <v>2118</v>
      </c>
      <c r="F12" s="73">
        <v>925</v>
      </c>
      <c r="G12" s="80">
        <v>1846</v>
      </c>
      <c r="H12" s="73">
        <v>0</v>
      </c>
      <c r="I12" s="75">
        <v>31</v>
      </c>
      <c r="J12" s="75">
        <v>0</v>
      </c>
      <c r="K12" s="75">
        <v>36</v>
      </c>
      <c r="L12" s="92">
        <v>0</v>
      </c>
      <c r="M12" s="92">
        <v>0</v>
      </c>
      <c r="N12" s="92">
        <v>0</v>
      </c>
      <c r="O12" s="92">
        <v>0</v>
      </c>
      <c r="P12" s="94">
        <v>0</v>
      </c>
    </row>
    <row r="13" spans="2:16" ht="22.5">
      <c r="B13" s="71" t="s">
        <v>99</v>
      </c>
      <c r="C13" s="79">
        <v>9306</v>
      </c>
      <c r="D13" s="79">
        <v>8803</v>
      </c>
      <c r="E13" s="79">
        <v>8373</v>
      </c>
      <c r="F13" s="80">
        <v>4962</v>
      </c>
      <c r="G13" s="80">
        <v>7240</v>
      </c>
      <c r="H13" s="80">
        <v>0</v>
      </c>
      <c r="I13" s="75">
        <v>83</v>
      </c>
      <c r="J13" s="75">
        <v>81</v>
      </c>
      <c r="K13" s="75">
        <v>80</v>
      </c>
      <c r="L13" s="81">
        <v>46</v>
      </c>
      <c r="M13" s="81">
        <v>159</v>
      </c>
      <c r="N13" s="81">
        <v>3</v>
      </c>
      <c r="O13" s="81">
        <v>0</v>
      </c>
      <c r="P13" s="82">
        <v>3</v>
      </c>
    </row>
    <row r="14" spans="2:16">
      <c r="B14" s="95" t="s">
        <v>100</v>
      </c>
      <c r="C14" s="78">
        <v>1198</v>
      </c>
      <c r="D14" s="78">
        <v>1269</v>
      </c>
      <c r="E14" s="78">
        <v>1504</v>
      </c>
      <c r="F14" s="78">
        <v>988</v>
      </c>
      <c r="G14" s="78">
        <v>555</v>
      </c>
      <c r="H14" s="78">
        <v>0</v>
      </c>
      <c r="I14" s="74">
        <v>16</v>
      </c>
      <c r="J14" s="74">
        <v>16</v>
      </c>
      <c r="K14" s="74">
        <v>16</v>
      </c>
      <c r="L14" s="76">
        <v>6</v>
      </c>
      <c r="M14" s="76">
        <v>5</v>
      </c>
      <c r="N14" s="76">
        <v>0</v>
      </c>
      <c r="O14" s="76">
        <v>0</v>
      </c>
      <c r="P14" s="77">
        <v>0</v>
      </c>
    </row>
    <row r="15" spans="2:16" ht="22.5">
      <c r="B15" s="71" t="s">
        <v>101</v>
      </c>
      <c r="C15" s="79">
        <v>40421</v>
      </c>
      <c r="D15" s="79">
        <v>43309</v>
      </c>
      <c r="E15" s="79">
        <v>42331</v>
      </c>
      <c r="F15" s="80">
        <v>27653</v>
      </c>
      <c r="G15" s="80">
        <v>3449</v>
      </c>
      <c r="H15" s="80">
        <v>0</v>
      </c>
      <c r="I15" s="75">
        <v>114</v>
      </c>
      <c r="J15" s="75">
        <v>108</v>
      </c>
      <c r="K15" s="75">
        <v>114</v>
      </c>
      <c r="L15" s="81">
        <v>38</v>
      </c>
      <c r="M15" s="81">
        <v>8869</v>
      </c>
      <c r="N15" s="81">
        <v>1</v>
      </c>
      <c r="O15" s="81">
        <v>10</v>
      </c>
      <c r="P15" s="86">
        <v>10</v>
      </c>
    </row>
    <row r="16" spans="2:16">
      <c r="B16" s="71" t="s">
        <v>102</v>
      </c>
      <c r="C16" s="79">
        <v>10950</v>
      </c>
      <c r="D16" s="79">
        <v>10481</v>
      </c>
      <c r="E16" s="79">
        <v>9725</v>
      </c>
      <c r="F16" s="80">
        <v>968</v>
      </c>
      <c r="G16" s="80">
        <v>2462</v>
      </c>
      <c r="H16" s="80">
        <v>0</v>
      </c>
      <c r="I16" s="75">
        <v>27</v>
      </c>
      <c r="J16" s="75">
        <v>24</v>
      </c>
      <c r="K16" s="75">
        <v>24</v>
      </c>
      <c r="L16" s="96">
        <v>20</v>
      </c>
      <c r="M16" s="96">
        <v>55</v>
      </c>
      <c r="N16" s="96">
        <v>2</v>
      </c>
      <c r="O16" s="96">
        <v>5</v>
      </c>
      <c r="P16" s="94">
        <v>2</v>
      </c>
    </row>
    <row r="17" spans="2:16" ht="22.5">
      <c r="B17" s="71" t="s">
        <v>103</v>
      </c>
      <c r="C17" s="79">
        <v>5580</v>
      </c>
      <c r="D17" s="79">
        <v>6209</v>
      </c>
      <c r="E17" s="79">
        <v>6212</v>
      </c>
      <c r="F17" s="80">
        <v>5342</v>
      </c>
      <c r="G17" s="80">
        <v>5467</v>
      </c>
      <c r="H17" s="80">
        <v>0</v>
      </c>
      <c r="I17" s="75">
        <v>25</v>
      </c>
      <c r="J17" s="75">
        <v>25</v>
      </c>
      <c r="K17" s="75">
        <v>24</v>
      </c>
      <c r="L17" s="81">
        <v>4</v>
      </c>
      <c r="M17" s="81">
        <v>10</v>
      </c>
      <c r="N17" s="81">
        <v>0</v>
      </c>
      <c r="O17" s="92">
        <v>0</v>
      </c>
      <c r="P17" s="92">
        <v>1</v>
      </c>
    </row>
    <row r="18" spans="2:16" ht="22.5">
      <c r="B18" s="71" t="s">
        <v>104</v>
      </c>
      <c r="C18" s="79">
        <v>152</v>
      </c>
      <c r="D18" s="79">
        <v>166</v>
      </c>
      <c r="E18" s="72">
        <v>117</v>
      </c>
      <c r="F18" s="80">
        <v>15</v>
      </c>
      <c r="G18" s="80">
        <v>54</v>
      </c>
      <c r="H18" s="80">
        <v>0</v>
      </c>
      <c r="I18" s="75">
        <v>4</v>
      </c>
      <c r="J18" s="75">
        <v>3</v>
      </c>
      <c r="K18" s="75">
        <v>3</v>
      </c>
      <c r="L18" s="81">
        <v>0</v>
      </c>
      <c r="M18" s="81">
        <v>9</v>
      </c>
      <c r="N18" s="81">
        <v>1</v>
      </c>
      <c r="O18" s="81">
        <v>1</v>
      </c>
      <c r="P18" s="82">
        <v>0</v>
      </c>
    </row>
    <row r="19" spans="2:16" ht="22.5">
      <c r="B19" s="71" t="s">
        <v>105</v>
      </c>
      <c r="C19" s="79">
        <v>5267</v>
      </c>
      <c r="D19" s="79">
        <v>5578</v>
      </c>
      <c r="E19" s="79">
        <v>5829</v>
      </c>
      <c r="F19" s="80">
        <v>3758</v>
      </c>
      <c r="G19" s="80">
        <v>2022</v>
      </c>
      <c r="H19" s="80">
        <v>0</v>
      </c>
      <c r="I19" s="75">
        <v>28</v>
      </c>
      <c r="J19" s="75">
        <v>26</v>
      </c>
      <c r="K19" s="75">
        <v>27</v>
      </c>
      <c r="L19" s="81">
        <v>5</v>
      </c>
      <c r="M19" s="81">
        <v>2268</v>
      </c>
      <c r="N19" s="81">
        <v>1</v>
      </c>
      <c r="O19" s="81">
        <v>6</v>
      </c>
      <c r="P19" s="82">
        <v>1</v>
      </c>
    </row>
    <row r="20" spans="2:16" ht="22.5">
      <c r="B20" s="71" t="s">
        <v>106</v>
      </c>
      <c r="C20" s="79"/>
      <c r="D20" s="79">
        <v>1049</v>
      </c>
      <c r="E20" s="97">
        <v>1120</v>
      </c>
      <c r="F20" s="80">
        <v>616</v>
      </c>
      <c r="G20" s="80">
        <v>211</v>
      </c>
      <c r="H20" s="80">
        <v>4</v>
      </c>
      <c r="I20" s="75"/>
      <c r="J20" s="75">
        <v>4</v>
      </c>
      <c r="K20" s="75">
        <v>4</v>
      </c>
      <c r="L20" s="81">
        <v>0</v>
      </c>
      <c r="M20" s="81">
        <v>0</v>
      </c>
      <c r="N20" s="81">
        <v>0</v>
      </c>
      <c r="O20" s="81">
        <v>0</v>
      </c>
      <c r="P20" s="82">
        <v>0</v>
      </c>
    </row>
    <row r="21" spans="2:16" ht="22.5">
      <c r="B21" s="71" t="s">
        <v>107</v>
      </c>
      <c r="C21" s="79">
        <v>11567</v>
      </c>
      <c r="D21" s="79">
        <v>11593</v>
      </c>
      <c r="E21" s="79">
        <v>12088</v>
      </c>
      <c r="F21" s="80">
        <v>10118</v>
      </c>
      <c r="G21" s="80">
        <v>4382</v>
      </c>
      <c r="H21" s="80">
        <v>71</v>
      </c>
      <c r="I21" s="75">
        <v>91</v>
      </c>
      <c r="J21" s="75">
        <v>90</v>
      </c>
      <c r="K21" s="75">
        <v>89</v>
      </c>
      <c r="L21" s="81">
        <v>6</v>
      </c>
      <c r="M21" s="81">
        <v>50</v>
      </c>
      <c r="N21" s="81">
        <v>8</v>
      </c>
      <c r="O21" s="81">
        <v>12</v>
      </c>
      <c r="P21" s="82">
        <v>12</v>
      </c>
    </row>
    <row r="22" spans="2:16" ht="22.5">
      <c r="B22" s="98" t="s">
        <v>108</v>
      </c>
      <c r="C22" s="79">
        <v>7532</v>
      </c>
      <c r="D22" s="79">
        <v>7600</v>
      </c>
      <c r="E22" s="79">
        <v>7900</v>
      </c>
      <c r="F22" s="80">
        <v>5400</v>
      </c>
      <c r="G22" s="80">
        <v>3042</v>
      </c>
      <c r="H22" s="80">
        <v>0</v>
      </c>
      <c r="I22" s="75">
        <v>107</v>
      </c>
      <c r="J22" s="75">
        <v>110</v>
      </c>
      <c r="K22" s="75">
        <v>109</v>
      </c>
      <c r="L22" s="96">
        <v>40</v>
      </c>
      <c r="M22" s="96">
        <v>10</v>
      </c>
      <c r="N22" s="96">
        <v>0</v>
      </c>
      <c r="O22" s="96">
        <v>2</v>
      </c>
      <c r="P22" s="94">
        <v>1</v>
      </c>
    </row>
    <row r="23" spans="2:16" ht="22.5">
      <c r="B23" s="99" t="s">
        <v>109</v>
      </c>
      <c r="C23" s="79">
        <v>1469</v>
      </c>
      <c r="D23" s="79">
        <v>1565</v>
      </c>
      <c r="E23" s="79">
        <v>1653</v>
      </c>
      <c r="F23" s="80">
        <v>969</v>
      </c>
      <c r="G23" s="80">
        <v>818</v>
      </c>
      <c r="H23" s="80">
        <v>15</v>
      </c>
      <c r="I23" s="75">
        <v>10</v>
      </c>
      <c r="J23" s="75">
        <v>12</v>
      </c>
      <c r="K23" s="75">
        <v>12</v>
      </c>
      <c r="L23" s="96">
        <v>6</v>
      </c>
      <c r="M23" s="96">
        <v>8</v>
      </c>
      <c r="N23" s="96">
        <v>1</v>
      </c>
      <c r="O23" s="96">
        <v>1</v>
      </c>
      <c r="P23" s="94">
        <v>3</v>
      </c>
    </row>
    <row r="24" spans="2:16" ht="22.5">
      <c r="B24" s="71" t="s">
        <v>110</v>
      </c>
      <c r="C24" s="79">
        <v>9937</v>
      </c>
      <c r="D24" s="79">
        <v>7789</v>
      </c>
      <c r="E24" s="79">
        <v>8555</v>
      </c>
      <c r="F24" s="80">
        <v>6252</v>
      </c>
      <c r="G24" s="80">
        <v>4699</v>
      </c>
      <c r="H24" s="80">
        <v>2</v>
      </c>
      <c r="I24" s="75">
        <v>24</v>
      </c>
      <c r="J24" s="75">
        <v>25</v>
      </c>
      <c r="K24" s="75">
        <v>26</v>
      </c>
      <c r="L24" s="81">
        <v>10</v>
      </c>
      <c r="M24" s="81">
        <v>36</v>
      </c>
      <c r="N24" s="96">
        <v>6</v>
      </c>
      <c r="O24" s="96">
        <v>28</v>
      </c>
      <c r="P24" s="82">
        <v>2</v>
      </c>
    </row>
    <row r="25" spans="2:16">
      <c r="B25" s="71" t="s">
        <v>111</v>
      </c>
      <c r="C25" s="79">
        <v>2068</v>
      </c>
      <c r="D25" s="79">
        <v>2277</v>
      </c>
      <c r="E25" s="79">
        <v>2308</v>
      </c>
      <c r="F25" s="80">
        <v>1182</v>
      </c>
      <c r="G25" s="80">
        <v>316</v>
      </c>
      <c r="H25" s="80">
        <v>50</v>
      </c>
      <c r="I25" s="75">
        <v>11</v>
      </c>
      <c r="J25" s="75">
        <v>11</v>
      </c>
      <c r="K25" s="75">
        <v>12</v>
      </c>
      <c r="L25" s="96">
        <v>5</v>
      </c>
      <c r="M25" s="96">
        <v>33</v>
      </c>
      <c r="N25" s="96">
        <v>3</v>
      </c>
      <c r="O25" s="96">
        <v>5</v>
      </c>
      <c r="P25" s="94">
        <v>2</v>
      </c>
    </row>
    <row r="26" spans="2:16" ht="22.5">
      <c r="B26" s="93" t="s">
        <v>112</v>
      </c>
      <c r="C26" s="79">
        <v>1306</v>
      </c>
      <c r="D26" s="79">
        <v>1279</v>
      </c>
      <c r="E26" s="79">
        <v>1347</v>
      </c>
      <c r="F26" s="80">
        <v>981</v>
      </c>
      <c r="G26" s="80">
        <v>1191</v>
      </c>
      <c r="H26" s="80">
        <v>4</v>
      </c>
      <c r="I26" s="75">
        <v>4</v>
      </c>
      <c r="J26" s="75">
        <v>4</v>
      </c>
      <c r="K26" s="75">
        <v>4</v>
      </c>
      <c r="L26" s="81">
        <v>2</v>
      </c>
      <c r="M26" s="81">
        <v>9</v>
      </c>
      <c r="N26" s="81">
        <v>2</v>
      </c>
      <c r="O26" s="81">
        <v>1</v>
      </c>
      <c r="P26" s="82">
        <v>1</v>
      </c>
    </row>
    <row r="27" spans="2:16" ht="22.5">
      <c r="B27" s="83" t="s">
        <v>113</v>
      </c>
      <c r="C27" s="72">
        <v>905</v>
      </c>
      <c r="D27" s="79">
        <v>1203</v>
      </c>
      <c r="E27" s="79">
        <v>1002</v>
      </c>
      <c r="F27" s="73">
        <v>875</v>
      </c>
      <c r="G27" s="73">
        <v>408</v>
      </c>
      <c r="H27" s="73">
        <v>7</v>
      </c>
      <c r="I27" s="75">
        <v>17</v>
      </c>
      <c r="J27" s="75">
        <v>17</v>
      </c>
      <c r="K27" s="75">
        <v>17</v>
      </c>
      <c r="L27" s="81">
        <v>3</v>
      </c>
      <c r="M27" s="81">
        <v>9</v>
      </c>
      <c r="N27" s="81">
        <v>7</v>
      </c>
      <c r="O27" s="81">
        <v>5</v>
      </c>
      <c r="P27" s="82">
        <v>1</v>
      </c>
    </row>
    <row r="28" spans="2:16" ht="22.5">
      <c r="B28" s="83" t="s">
        <v>114</v>
      </c>
      <c r="C28" s="79">
        <v>21103</v>
      </c>
      <c r="D28" s="79">
        <v>21793</v>
      </c>
      <c r="E28" s="79">
        <v>22600</v>
      </c>
      <c r="F28" s="80">
        <v>11157</v>
      </c>
      <c r="G28" s="80">
        <v>6897</v>
      </c>
      <c r="H28" s="80">
        <v>0</v>
      </c>
      <c r="I28" s="75">
        <v>84</v>
      </c>
      <c r="J28" s="75">
        <v>84</v>
      </c>
      <c r="K28" s="75">
        <v>85</v>
      </c>
      <c r="L28" s="81">
        <v>8</v>
      </c>
      <c r="M28" s="81">
        <v>27</v>
      </c>
      <c r="N28" s="81">
        <v>2</v>
      </c>
      <c r="O28" s="81">
        <v>3</v>
      </c>
      <c r="P28" s="82">
        <v>1</v>
      </c>
    </row>
    <row r="29" spans="2:16" ht="22.5">
      <c r="B29" s="83" t="s">
        <v>115</v>
      </c>
      <c r="C29" s="79">
        <v>3037</v>
      </c>
      <c r="D29" s="79">
        <v>3169</v>
      </c>
      <c r="E29" s="79">
        <v>3984</v>
      </c>
      <c r="F29" s="80">
        <v>1916</v>
      </c>
      <c r="G29" s="80">
        <v>597</v>
      </c>
      <c r="H29" s="80">
        <v>12</v>
      </c>
      <c r="I29" s="75">
        <v>41</v>
      </c>
      <c r="J29" s="75">
        <v>40</v>
      </c>
      <c r="K29" s="75">
        <v>40</v>
      </c>
      <c r="L29" s="81">
        <v>4</v>
      </c>
      <c r="M29" s="81">
        <v>235</v>
      </c>
      <c r="N29" s="81">
        <v>1</v>
      </c>
      <c r="O29" s="81">
        <v>6</v>
      </c>
      <c r="P29" s="82">
        <v>1</v>
      </c>
    </row>
    <row r="30" spans="2:16" ht="22.5">
      <c r="B30" s="83" t="s">
        <v>116</v>
      </c>
      <c r="C30" s="79">
        <v>1422</v>
      </c>
      <c r="D30" s="79">
        <v>1542</v>
      </c>
      <c r="E30" s="79">
        <v>1711</v>
      </c>
      <c r="F30" s="80">
        <v>409</v>
      </c>
      <c r="G30" s="80">
        <v>628</v>
      </c>
      <c r="H30" s="80">
        <v>7</v>
      </c>
      <c r="I30" s="75">
        <v>28</v>
      </c>
      <c r="J30" s="75">
        <v>28</v>
      </c>
      <c r="K30" s="75">
        <v>28</v>
      </c>
      <c r="L30" s="81">
        <v>3</v>
      </c>
      <c r="M30" s="81">
        <v>9</v>
      </c>
      <c r="N30" s="81">
        <v>0</v>
      </c>
      <c r="O30" s="81">
        <v>1</v>
      </c>
      <c r="P30" s="82">
        <v>1</v>
      </c>
    </row>
    <row r="31" spans="2:16" ht="22.5">
      <c r="B31" s="83" t="s">
        <v>117</v>
      </c>
      <c r="C31" s="79">
        <v>858</v>
      </c>
      <c r="D31" s="79">
        <v>794</v>
      </c>
      <c r="E31" s="72">
        <v>656</v>
      </c>
      <c r="F31" s="80">
        <v>153</v>
      </c>
      <c r="G31" s="80">
        <v>155</v>
      </c>
      <c r="H31" s="80">
        <v>0</v>
      </c>
      <c r="I31" s="75">
        <v>14</v>
      </c>
      <c r="J31" s="75">
        <v>14</v>
      </c>
      <c r="K31" s="75">
        <v>9</v>
      </c>
      <c r="L31" s="81">
        <v>11</v>
      </c>
      <c r="M31" s="81">
        <v>4</v>
      </c>
      <c r="N31" s="81">
        <v>1</v>
      </c>
      <c r="O31" s="81">
        <v>0</v>
      </c>
      <c r="P31" s="82">
        <v>0</v>
      </c>
    </row>
    <row r="32" spans="2:16">
      <c r="B32" s="71" t="s">
        <v>118</v>
      </c>
      <c r="C32" s="72">
        <v>395</v>
      </c>
      <c r="D32" s="79">
        <v>441</v>
      </c>
      <c r="E32" s="72">
        <v>395</v>
      </c>
      <c r="F32" s="73">
        <v>160</v>
      </c>
      <c r="G32" s="73">
        <v>98</v>
      </c>
      <c r="H32" s="80">
        <v>0</v>
      </c>
      <c r="I32" s="75">
        <v>7</v>
      </c>
      <c r="J32" s="75">
        <v>6</v>
      </c>
      <c r="K32" s="75">
        <v>6</v>
      </c>
      <c r="L32" s="81">
        <v>3</v>
      </c>
      <c r="M32" s="81">
        <v>5</v>
      </c>
      <c r="N32" s="81">
        <v>0</v>
      </c>
      <c r="O32" s="81">
        <v>0</v>
      </c>
      <c r="P32" s="81">
        <v>0</v>
      </c>
    </row>
    <row r="33" spans="2:16" ht="23.25" thickBot="1">
      <c r="B33" s="100" t="s">
        <v>119</v>
      </c>
      <c r="C33" s="101">
        <v>3380</v>
      </c>
      <c r="D33" s="79">
        <v>3625</v>
      </c>
      <c r="E33" s="101">
        <v>4021</v>
      </c>
      <c r="F33" s="102">
        <v>2286</v>
      </c>
      <c r="G33" s="102">
        <v>1888</v>
      </c>
      <c r="H33" s="80">
        <v>15</v>
      </c>
      <c r="I33" s="103">
        <v>21</v>
      </c>
      <c r="J33" s="75">
        <v>21</v>
      </c>
      <c r="K33" s="75">
        <v>23</v>
      </c>
      <c r="L33" s="104">
        <v>6</v>
      </c>
      <c r="M33" s="104">
        <v>23</v>
      </c>
      <c r="N33" s="104">
        <v>2</v>
      </c>
      <c r="O33" s="104">
        <v>0</v>
      </c>
      <c r="P33" s="105">
        <v>27</v>
      </c>
    </row>
    <row r="34" spans="2:16" ht="15.75" thickBot="1">
      <c r="B34" s="163" t="s">
        <v>120</v>
      </c>
      <c r="C34" s="108">
        <f t="shared" ref="C34:H34" si="0">SUM(C4:C33)</f>
        <v>159296</v>
      </c>
      <c r="D34" s="108">
        <f t="shared" si="0"/>
        <v>165695</v>
      </c>
      <c r="E34" s="108">
        <f t="shared" si="0"/>
        <v>168999</v>
      </c>
      <c r="F34" s="108">
        <f t="shared" si="0"/>
        <v>101132</v>
      </c>
      <c r="G34" s="108">
        <f t="shared" si="0"/>
        <v>56610</v>
      </c>
      <c r="H34" s="108">
        <f t="shared" si="0"/>
        <v>235</v>
      </c>
      <c r="I34" s="109">
        <f t="shared" ref="I34:P34" si="1">SUM(I4:I33)</f>
        <v>935</v>
      </c>
      <c r="J34" s="109">
        <f t="shared" si="1"/>
        <v>967</v>
      </c>
      <c r="K34" s="110">
        <f t="shared" si="1"/>
        <v>1000</v>
      </c>
      <c r="L34" s="111">
        <f t="shared" si="1"/>
        <v>313</v>
      </c>
      <c r="M34" s="111">
        <f t="shared" si="1"/>
        <v>15900</v>
      </c>
      <c r="N34" s="111">
        <f t="shared" si="1"/>
        <v>48</v>
      </c>
      <c r="O34" s="111">
        <f t="shared" si="1"/>
        <v>119</v>
      </c>
      <c r="P34" s="109">
        <f t="shared" si="1"/>
        <v>86</v>
      </c>
    </row>
    <row r="35" spans="2:16">
      <c r="B35" s="171"/>
      <c r="C35" s="112"/>
      <c r="D35" s="112"/>
      <c r="E35" s="112"/>
      <c r="F35" s="112"/>
      <c r="G35" s="112"/>
      <c r="H35" s="112"/>
      <c r="I35" s="114"/>
      <c r="J35" s="112"/>
      <c r="K35" s="112"/>
      <c r="L35" s="113"/>
      <c r="M35" s="113"/>
      <c r="N35" s="113"/>
      <c r="O35" s="113"/>
      <c r="P35" s="115"/>
    </row>
    <row r="36" spans="2:16">
      <c r="B36" s="190" t="s">
        <v>121</v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</row>
    <row r="37" spans="2:16"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7"/>
    </row>
    <row r="38" spans="2:16">
      <c r="B38" s="190" t="s">
        <v>122</v>
      </c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</row>
    <row r="39" spans="2:16" ht="15.75" thickBot="1">
      <c r="B39" s="172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9"/>
    </row>
    <row r="40" spans="2:16" ht="33.75">
      <c r="B40" s="120" t="s">
        <v>123</v>
      </c>
      <c r="C40" s="121" t="s">
        <v>124</v>
      </c>
      <c r="D40" s="121" t="s">
        <v>125</v>
      </c>
      <c r="E40" s="121"/>
      <c r="F40" s="121"/>
      <c r="G40" s="121"/>
      <c r="H40" s="121"/>
      <c r="I40" s="122" t="s">
        <v>126</v>
      </c>
      <c r="J40" s="122" t="s">
        <v>127</v>
      </c>
      <c r="K40" s="122"/>
      <c r="L40" s="120"/>
      <c r="M40" s="120"/>
      <c r="N40" s="120"/>
      <c r="O40" s="120"/>
      <c r="P40" s="123"/>
    </row>
    <row r="41" spans="2:16" ht="45">
      <c r="B41" s="67" t="s">
        <v>128</v>
      </c>
      <c r="C41" s="68" t="s">
        <v>76</v>
      </c>
      <c r="D41" s="68" t="s">
        <v>77</v>
      </c>
      <c r="E41" s="68" t="s">
        <v>78</v>
      </c>
      <c r="F41" s="68" t="s">
        <v>79</v>
      </c>
      <c r="G41" s="68" t="s">
        <v>80</v>
      </c>
      <c r="H41" s="68" t="s">
        <v>81</v>
      </c>
      <c r="I41" s="69" t="s">
        <v>82</v>
      </c>
      <c r="J41" s="69" t="s">
        <v>83</v>
      </c>
      <c r="K41" s="69" t="s">
        <v>84</v>
      </c>
      <c r="L41" s="67" t="s">
        <v>85</v>
      </c>
      <c r="M41" s="67" t="s">
        <v>86</v>
      </c>
      <c r="N41" s="67" t="s">
        <v>87</v>
      </c>
      <c r="O41" s="67" t="s">
        <v>88</v>
      </c>
      <c r="P41" s="70" t="s">
        <v>129</v>
      </c>
    </row>
    <row r="42" spans="2:16" ht="22.5">
      <c r="B42" s="83" t="s">
        <v>130</v>
      </c>
      <c r="C42" s="72">
        <v>489</v>
      </c>
      <c r="D42" s="79">
        <v>429</v>
      </c>
      <c r="E42" s="72">
        <v>421</v>
      </c>
      <c r="F42" s="73">
        <v>171</v>
      </c>
      <c r="G42" s="124">
        <v>125</v>
      </c>
      <c r="H42" s="124">
        <v>4</v>
      </c>
      <c r="I42" s="75">
        <v>16</v>
      </c>
      <c r="J42" s="75">
        <v>16</v>
      </c>
      <c r="K42" s="75">
        <v>16</v>
      </c>
      <c r="L42" s="92">
        <v>0</v>
      </c>
      <c r="M42" s="92">
        <v>5</v>
      </c>
      <c r="N42" s="92">
        <v>0</v>
      </c>
      <c r="O42" s="92">
        <v>1</v>
      </c>
      <c r="P42" s="94">
        <v>0</v>
      </c>
    </row>
    <row r="43" spans="2:16">
      <c r="B43" s="71" t="s">
        <v>131</v>
      </c>
      <c r="C43" s="72">
        <v>301</v>
      </c>
      <c r="D43" s="79">
        <v>327</v>
      </c>
      <c r="E43" s="72">
        <v>324</v>
      </c>
      <c r="F43" s="73">
        <v>36</v>
      </c>
      <c r="G43" s="124">
        <v>27</v>
      </c>
      <c r="H43" s="124">
        <v>0</v>
      </c>
      <c r="I43" s="75">
        <v>5</v>
      </c>
      <c r="J43" s="75">
        <v>5</v>
      </c>
      <c r="K43" s="75">
        <v>5</v>
      </c>
      <c r="L43" s="92">
        <v>7</v>
      </c>
      <c r="M43" s="92">
        <v>67</v>
      </c>
      <c r="N43" s="92">
        <v>0</v>
      </c>
      <c r="O43" s="92">
        <v>2</v>
      </c>
      <c r="P43" s="94">
        <v>0</v>
      </c>
    </row>
    <row r="44" spans="2:16" ht="22.5">
      <c r="B44" s="71" t="s">
        <v>132</v>
      </c>
      <c r="C44" s="72">
        <v>55</v>
      </c>
      <c r="D44" s="79">
        <v>60</v>
      </c>
      <c r="E44" s="72">
        <v>55</v>
      </c>
      <c r="F44" s="73">
        <v>10</v>
      </c>
      <c r="G44" s="124">
        <v>12</v>
      </c>
      <c r="H44" s="124">
        <v>0</v>
      </c>
      <c r="I44" s="75">
        <v>3</v>
      </c>
      <c r="J44" s="75">
        <v>3</v>
      </c>
      <c r="K44" s="75">
        <v>2</v>
      </c>
      <c r="L44" s="92">
        <v>0</v>
      </c>
      <c r="M44" s="92">
        <v>7</v>
      </c>
      <c r="N44" s="92">
        <v>0</v>
      </c>
      <c r="O44" s="92">
        <v>0</v>
      </c>
      <c r="P44" s="94">
        <v>1</v>
      </c>
    </row>
    <row r="45" spans="2:16" ht="33.75">
      <c r="B45" s="83" t="s">
        <v>133</v>
      </c>
      <c r="C45" s="72">
        <v>1055</v>
      </c>
      <c r="D45" s="79">
        <v>1113</v>
      </c>
      <c r="E45" s="79">
        <v>1048</v>
      </c>
      <c r="F45" s="80">
        <v>114</v>
      </c>
      <c r="G45" s="102">
        <v>212</v>
      </c>
      <c r="H45" s="102">
        <v>9</v>
      </c>
      <c r="I45" s="75">
        <v>28</v>
      </c>
      <c r="J45" s="75">
        <v>26</v>
      </c>
      <c r="K45" s="75">
        <v>25</v>
      </c>
      <c r="L45" s="92">
        <v>2</v>
      </c>
      <c r="M45" s="92">
        <v>7</v>
      </c>
      <c r="N45" s="92">
        <v>0</v>
      </c>
      <c r="O45" s="92">
        <v>3</v>
      </c>
      <c r="P45" s="94">
        <v>1</v>
      </c>
    </row>
    <row r="46" spans="2:16">
      <c r="B46" s="83" t="s">
        <v>134</v>
      </c>
      <c r="C46" s="72">
        <v>1315</v>
      </c>
      <c r="D46" s="79">
        <v>1519</v>
      </c>
      <c r="E46" s="79">
        <v>2014</v>
      </c>
      <c r="F46" s="80">
        <v>1464</v>
      </c>
      <c r="G46" s="102">
        <v>402</v>
      </c>
      <c r="H46" s="102">
        <v>0</v>
      </c>
      <c r="I46" s="75">
        <v>18</v>
      </c>
      <c r="J46" s="75">
        <v>17</v>
      </c>
      <c r="K46" s="75">
        <v>18</v>
      </c>
      <c r="L46" s="92">
        <v>2</v>
      </c>
      <c r="M46" s="92">
        <v>6</v>
      </c>
      <c r="N46" s="92">
        <v>1</v>
      </c>
      <c r="O46" s="92">
        <v>1</v>
      </c>
      <c r="P46" s="94">
        <v>1</v>
      </c>
    </row>
    <row r="47" spans="2:16">
      <c r="B47" s="83" t="s">
        <v>135</v>
      </c>
      <c r="C47" s="72">
        <v>206</v>
      </c>
      <c r="D47" s="79">
        <v>237</v>
      </c>
      <c r="E47" s="72">
        <v>228</v>
      </c>
      <c r="F47" s="80">
        <v>121</v>
      </c>
      <c r="G47" s="102">
        <v>60</v>
      </c>
      <c r="H47" s="102">
        <v>0</v>
      </c>
      <c r="I47" s="75">
        <v>4</v>
      </c>
      <c r="J47" s="75">
        <v>4</v>
      </c>
      <c r="K47" s="75">
        <v>4</v>
      </c>
      <c r="L47" s="92">
        <v>1</v>
      </c>
      <c r="M47" s="92">
        <v>3</v>
      </c>
      <c r="N47" s="92">
        <v>1</v>
      </c>
      <c r="O47" s="92">
        <v>0</v>
      </c>
      <c r="P47" s="94">
        <v>0</v>
      </c>
    </row>
    <row r="48" spans="2:16" ht="22.5">
      <c r="B48" s="83" t="s">
        <v>136</v>
      </c>
      <c r="C48" s="72">
        <v>0</v>
      </c>
      <c r="D48" s="79">
        <v>2383</v>
      </c>
      <c r="E48" s="79">
        <v>2605</v>
      </c>
      <c r="F48" s="80">
        <v>65</v>
      </c>
      <c r="G48" s="102">
        <v>385</v>
      </c>
      <c r="H48" s="102">
        <v>0</v>
      </c>
      <c r="I48" s="75"/>
      <c r="J48" s="75">
        <v>54</v>
      </c>
      <c r="K48" s="75">
        <v>54</v>
      </c>
      <c r="L48" s="92">
        <v>3</v>
      </c>
      <c r="M48" s="92">
        <v>700</v>
      </c>
      <c r="N48" s="92">
        <v>0</v>
      </c>
      <c r="O48" s="92">
        <v>4</v>
      </c>
      <c r="P48" s="94">
        <v>3</v>
      </c>
    </row>
    <row r="49" spans="2:16" ht="33.75">
      <c r="B49" s="83" t="s">
        <v>137</v>
      </c>
      <c r="C49" s="72">
        <v>2468</v>
      </c>
      <c r="D49" s="79">
        <v>2474</v>
      </c>
      <c r="E49" s="79">
        <v>2424</v>
      </c>
      <c r="F49" s="80">
        <v>404</v>
      </c>
      <c r="G49" s="102">
        <v>842</v>
      </c>
      <c r="H49" s="102">
        <v>50</v>
      </c>
      <c r="I49" s="75">
        <v>37</v>
      </c>
      <c r="J49" s="75">
        <v>35</v>
      </c>
      <c r="K49" s="75">
        <v>35</v>
      </c>
      <c r="L49" s="92">
        <v>5</v>
      </c>
      <c r="M49" s="92">
        <v>10</v>
      </c>
      <c r="N49" s="92">
        <v>1</v>
      </c>
      <c r="O49" s="92">
        <v>1</v>
      </c>
      <c r="P49" s="94">
        <v>4</v>
      </c>
    </row>
    <row r="50" spans="2:16" ht="33.75">
      <c r="B50" s="88" t="s">
        <v>138</v>
      </c>
      <c r="C50" s="89">
        <v>3250</v>
      </c>
      <c r="D50" s="90">
        <v>0</v>
      </c>
      <c r="E50" s="89"/>
      <c r="F50" s="89">
        <v>0</v>
      </c>
      <c r="G50" s="125">
        <v>2138</v>
      </c>
      <c r="H50" s="125">
        <v>0</v>
      </c>
      <c r="I50" s="89">
        <v>39</v>
      </c>
      <c r="J50" s="89">
        <v>0</v>
      </c>
      <c r="K50" s="89"/>
      <c r="L50" s="88">
        <v>0</v>
      </c>
      <c r="M50" s="88">
        <v>6</v>
      </c>
      <c r="N50" s="88">
        <v>0</v>
      </c>
      <c r="O50" s="88">
        <v>0</v>
      </c>
      <c r="P50" s="126">
        <v>0</v>
      </c>
    </row>
    <row r="51" spans="2:16" ht="22.5">
      <c r="B51" s="83" t="s">
        <v>139</v>
      </c>
      <c r="C51" s="72">
        <v>948</v>
      </c>
      <c r="D51" s="79">
        <v>0</v>
      </c>
      <c r="E51" s="72">
        <v>944</v>
      </c>
      <c r="F51" s="73">
        <v>519</v>
      </c>
      <c r="G51" s="124">
        <v>440</v>
      </c>
      <c r="H51" s="124">
        <v>0</v>
      </c>
      <c r="I51" s="75">
        <v>13</v>
      </c>
      <c r="J51" s="75">
        <v>0</v>
      </c>
      <c r="K51" s="75">
        <v>14</v>
      </c>
      <c r="L51" s="92">
        <v>0</v>
      </c>
      <c r="M51" s="92">
        <v>0</v>
      </c>
      <c r="N51" s="92">
        <v>3</v>
      </c>
      <c r="O51" s="92">
        <v>2</v>
      </c>
      <c r="P51" s="94">
        <v>1</v>
      </c>
    </row>
    <row r="52" spans="2:16" ht="33.75">
      <c r="B52" s="83" t="s">
        <v>140</v>
      </c>
      <c r="C52" s="72">
        <v>1959</v>
      </c>
      <c r="D52" s="79">
        <v>2089</v>
      </c>
      <c r="E52" s="79">
        <v>1929</v>
      </c>
      <c r="F52" s="80">
        <v>1048</v>
      </c>
      <c r="G52" s="102">
        <v>770</v>
      </c>
      <c r="H52" s="102">
        <v>0</v>
      </c>
      <c r="I52" s="75">
        <v>19</v>
      </c>
      <c r="J52" s="75">
        <v>19</v>
      </c>
      <c r="K52" s="75">
        <v>30</v>
      </c>
      <c r="L52" s="92">
        <v>6</v>
      </c>
      <c r="M52" s="92">
        <v>3</v>
      </c>
      <c r="N52" s="92">
        <v>1</v>
      </c>
      <c r="O52" s="92">
        <v>1</v>
      </c>
      <c r="P52" s="94">
        <v>0</v>
      </c>
    </row>
    <row r="53" spans="2:16" ht="22.5">
      <c r="B53" s="83" t="s">
        <v>141</v>
      </c>
      <c r="C53" s="72">
        <v>66</v>
      </c>
      <c r="D53" s="79">
        <v>71</v>
      </c>
      <c r="E53" s="72">
        <v>70</v>
      </c>
      <c r="F53" s="73">
        <v>19</v>
      </c>
      <c r="G53" s="124">
        <v>31</v>
      </c>
      <c r="H53" s="124">
        <v>0</v>
      </c>
      <c r="I53" s="75">
        <v>2</v>
      </c>
      <c r="J53" s="75">
        <v>2</v>
      </c>
      <c r="K53" s="75">
        <v>2</v>
      </c>
      <c r="L53" s="92">
        <v>0</v>
      </c>
      <c r="M53" s="92">
        <v>6</v>
      </c>
      <c r="N53" s="92">
        <v>0</v>
      </c>
      <c r="O53" s="92">
        <v>5</v>
      </c>
      <c r="P53" s="94">
        <v>1</v>
      </c>
    </row>
    <row r="54" spans="2:16" ht="22.5">
      <c r="B54" s="83" t="s">
        <v>142</v>
      </c>
      <c r="C54" s="72">
        <v>1238</v>
      </c>
      <c r="D54" s="79">
        <v>1196</v>
      </c>
      <c r="E54" s="79">
        <v>1237</v>
      </c>
      <c r="F54" s="80">
        <v>284</v>
      </c>
      <c r="G54" s="102">
        <v>496</v>
      </c>
      <c r="H54" s="102">
        <v>18</v>
      </c>
      <c r="I54" s="75">
        <v>3</v>
      </c>
      <c r="J54" s="75">
        <v>2</v>
      </c>
      <c r="K54" s="75">
        <v>2</v>
      </c>
      <c r="L54" s="92">
        <v>16</v>
      </c>
      <c r="M54" s="92">
        <v>15</v>
      </c>
      <c r="N54" s="92">
        <v>5</v>
      </c>
      <c r="O54" s="92">
        <v>4</v>
      </c>
      <c r="P54" s="94">
        <v>4</v>
      </c>
    </row>
    <row r="55" spans="2:16" ht="23.25" thickBot="1">
      <c r="B55" s="127" t="s">
        <v>143</v>
      </c>
      <c r="C55" s="125">
        <v>395</v>
      </c>
      <c r="D55" s="90">
        <v>248</v>
      </c>
      <c r="E55" s="89"/>
      <c r="F55" s="125">
        <v>120</v>
      </c>
      <c r="G55" s="125">
        <v>42</v>
      </c>
      <c r="H55" s="125">
        <v>4</v>
      </c>
      <c r="I55" s="125">
        <v>7</v>
      </c>
      <c r="J55" s="125">
        <v>1</v>
      </c>
      <c r="K55" s="89"/>
      <c r="L55" s="127">
        <v>0</v>
      </c>
      <c r="M55" s="127">
        <v>0</v>
      </c>
      <c r="N55" s="127">
        <v>0</v>
      </c>
      <c r="O55" s="127">
        <v>1</v>
      </c>
      <c r="P55" s="128">
        <v>0</v>
      </c>
    </row>
    <row r="56" spans="2:16" ht="15.75" thickBot="1">
      <c r="B56" s="163" t="s">
        <v>120</v>
      </c>
      <c r="C56" s="111">
        <f>SUM(C42:C55)</f>
        <v>13745</v>
      </c>
      <c r="D56" s="111">
        <f>SUM(C42:C55)</f>
        <v>13745</v>
      </c>
      <c r="E56" s="129">
        <f>SUM(E42:E55)</f>
        <v>13299</v>
      </c>
      <c r="F56" s="111">
        <f>SUM(F42:F55)</f>
        <v>4375</v>
      </c>
      <c r="G56" s="111">
        <f>SUM(G42:G55)</f>
        <v>5982</v>
      </c>
      <c r="H56" s="111">
        <f>SUM(H42:H55)</f>
        <v>85</v>
      </c>
      <c r="I56" s="106">
        <f t="shared" ref="I56:P56" si="2">SUM(I42:I55)</f>
        <v>194</v>
      </c>
      <c r="J56" s="130">
        <f t="shared" si="2"/>
        <v>184</v>
      </c>
      <c r="K56" s="130">
        <f t="shared" si="2"/>
        <v>207</v>
      </c>
      <c r="L56" s="111">
        <f t="shared" si="2"/>
        <v>42</v>
      </c>
      <c r="M56" s="111">
        <f t="shared" si="2"/>
        <v>835</v>
      </c>
      <c r="N56" s="111">
        <f t="shared" si="2"/>
        <v>12</v>
      </c>
      <c r="O56" s="111">
        <f t="shared" si="2"/>
        <v>25</v>
      </c>
      <c r="P56" s="109">
        <f t="shared" si="2"/>
        <v>16</v>
      </c>
    </row>
    <row r="57" spans="2:16" ht="15.75" thickBot="1">
      <c r="B57" s="158"/>
      <c r="C57" s="131"/>
      <c r="D57" s="131"/>
      <c r="E57" s="131"/>
      <c r="F57" s="131"/>
      <c r="G57" s="131"/>
      <c r="H57" s="131"/>
      <c r="I57" s="133"/>
      <c r="J57" s="133"/>
      <c r="K57" s="133"/>
      <c r="L57" s="131"/>
      <c r="M57" s="131"/>
      <c r="N57" s="131"/>
      <c r="O57" s="131"/>
      <c r="P57" s="134"/>
    </row>
    <row r="58" spans="2:16" ht="15.75" thickBot="1">
      <c r="B58" s="185" t="s">
        <v>121</v>
      </c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</row>
    <row r="59" spans="2:16" ht="15.75" thickBot="1"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7"/>
    </row>
    <row r="60" spans="2:16" ht="15.75" thickBot="1">
      <c r="B60" s="185" t="s">
        <v>144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</row>
    <row r="61" spans="2:16">
      <c r="B61" s="171"/>
      <c r="C61" s="112"/>
      <c r="D61" s="112"/>
      <c r="E61" s="112"/>
      <c r="F61" s="112"/>
      <c r="G61" s="112"/>
      <c r="H61" s="112"/>
      <c r="I61" s="112"/>
      <c r="J61" s="112"/>
      <c r="K61" s="112"/>
      <c r="L61" s="113"/>
      <c r="M61" s="113"/>
      <c r="N61" s="113"/>
      <c r="O61" s="113"/>
      <c r="P61" s="115"/>
    </row>
    <row r="62" spans="2:16" ht="45">
      <c r="B62" s="67" t="s">
        <v>145</v>
      </c>
      <c r="C62" s="68" t="s">
        <v>76</v>
      </c>
      <c r="D62" s="68" t="s">
        <v>77</v>
      </c>
      <c r="E62" s="68" t="s">
        <v>78</v>
      </c>
      <c r="F62" s="68" t="s">
        <v>79</v>
      </c>
      <c r="G62" s="68" t="s">
        <v>80</v>
      </c>
      <c r="H62" s="68" t="s">
        <v>81</v>
      </c>
      <c r="I62" s="69" t="s">
        <v>82</v>
      </c>
      <c r="J62" s="69" t="s">
        <v>83</v>
      </c>
      <c r="K62" s="69" t="s">
        <v>84</v>
      </c>
      <c r="L62" s="67" t="s">
        <v>85</v>
      </c>
      <c r="M62" s="67" t="s">
        <v>86</v>
      </c>
      <c r="N62" s="67" t="s">
        <v>87</v>
      </c>
      <c r="O62" s="67" t="s">
        <v>88</v>
      </c>
      <c r="P62" s="70" t="s">
        <v>129</v>
      </c>
    </row>
    <row r="63" spans="2:16">
      <c r="B63" s="71" t="s">
        <v>146</v>
      </c>
      <c r="C63" s="79">
        <v>2962</v>
      </c>
      <c r="D63" s="79">
        <v>0</v>
      </c>
      <c r="E63" s="79">
        <v>3166</v>
      </c>
      <c r="F63" s="80">
        <v>2105</v>
      </c>
      <c r="G63" s="102">
        <v>2335</v>
      </c>
      <c r="H63" s="102">
        <v>0</v>
      </c>
      <c r="I63" s="75">
        <v>22</v>
      </c>
      <c r="J63" s="75">
        <v>0</v>
      </c>
      <c r="K63" s="75">
        <v>23</v>
      </c>
      <c r="L63" s="92">
        <v>0</v>
      </c>
      <c r="M63" s="92">
        <v>0</v>
      </c>
      <c r="N63" s="92">
        <v>0</v>
      </c>
      <c r="O63" s="92">
        <v>0</v>
      </c>
      <c r="P63" s="94">
        <v>0</v>
      </c>
    </row>
    <row r="64" spans="2:16">
      <c r="B64" s="71" t="s">
        <v>147</v>
      </c>
      <c r="C64" s="79">
        <v>2177</v>
      </c>
      <c r="D64" s="79">
        <v>2565</v>
      </c>
      <c r="E64" s="79">
        <v>2993</v>
      </c>
      <c r="F64" s="80">
        <v>333</v>
      </c>
      <c r="G64" s="102">
        <v>1674</v>
      </c>
      <c r="H64" s="102">
        <v>25</v>
      </c>
      <c r="I64" s="75">
        <v>65</v>
      </c>
      <c r="J64" s="75">
        <v>66</v>
      </c>
      <c r="K64" s="75">
        <v>62</v>
      </c>
      <c r="L64" s="92">
        <v>23</v>
      </c>
      <c r="M64" s="92">
        <v>28</v>
      </c>
      <c r="N64" s="92">
        <v>5</v>
      </c>
      <c r="O64" s="92">
        <v>6</v>
      </c>
      <c r="P64" s="94">
        <v>4</v>
      </c>
    </row>
    <row r="65" spans="2:16" ht="15.75" thickBot="1">
      <c r="B65" s="100" t="s">
        <v>148</v>
      </c>
      <c r="C65" s="101">
        <v>5741</v>
      </c>
      <c r="D65" s="79">
        <v>6075</v>
      </c>
      <c r="E65" s="101">
        <v>6517</v>
      </c>
      <c r="F65" s="102">
        <v>5440</v>
      </c>
      <c r="G65" s="102">
        <v>4324</v>
      </c>
      <c r="H65" s="102">
        <v>0</v>
      </c>
      <c r="I65" s="103">
        <v>64</v>
      </c>
      <c r="J65" s="103">
        <v>64</v>
      </c>
      <c r="K65" s="103">
        <v>64</v>
      </c>
      <c r="L65" s="136">
        <v>21</v>
      </c>
      <c r="M65" s="136">
        <v>4</v>
      </c>
      <c r="N65" s="136">
        <v>0</v>
      </c>
      <c r="O65" s="136">
        <v>1</v>
      </c>
      <c r="P65" s="136">
        <v>0</v>
      </c>
    </row>
    <row r="66" spans="2:16" ht="15.75" thickBot="1">
      <c r="B66" s="163" t="s">
        <v>120</v>
      </c>
      <c r="C66" s="137">
        <f>SUM(C63:C65)</f>
        <v>10880</v>
      </c>
      <c r="D66" s="138">
        <f>SUM(C63:C65)</f>
        <v>10880</v>
      </c>
      <c r="E66" s="137">
        <f>SUM(E63:E65)</f>
        <v>12676</v>
      </c>
      <c r="F66" s="137">
        <f t="shared" ref="F66:H66" si="3">SUM(F63:F65)</f>
        <v>7878</v>
      </c>
      <c r="G66" s="137">
        <f t="shared" si="3"/>
        <v>8333</v>
      </c>
      <c r="H66" s="137">
        <f t="shared" si="3"/>
        <v>25</v>
      </c>
      <c r="I66" s="106">
        <f>SUM(I63:I65)</f>
        <v>151</v>
      </c>
      <c r="J66" s="106">
        <f>SUM(J63:J65)</f>
        <v>130</v>
      </c>
      <c r="K66" s="106">
        <f>SUM(K63:K65)</f>
        <v>149</v>
      </c>
      <c r="L66" s="111">
        <f t="shared" ref="L66:P66" si="4">SUM(L63:L65)</f>
        <v>44</v>
      </c>
      <c r="M66" s="111">
        <f t="shared" si="4"/>
        <v>32</v>
      </c>
      <c r="N66" s="111">
        <f t="shared" si="4"/>
        <v>5</v>
      </c>
      <c r="O66" s="111">
        <f t="shared" si="4"/>
        <v>7</v>
      </c>
      <c r="P66" s="109">
        <f t="shared" si="4"/>
        <v>4</v>
      </c>
    </row>
    <row r="67" spans="2:16">
      <c r="B67" s="173"/>
      <c r="C67" s="139"/>
      <c r="D67" s="140"/>
      <c r="E67" s="140"/>
      <c r="F67" s="140"/>
      <c r="G67" s="140"/>
      <c r="H67" s="140"/>
      <c r="I67" s="139"/>
      <c r="J67" s="140"/>
      <c r="K67" s="140"/>
      <c r="L67" s="139"/>
      <c r="M67" s="139"/>
      <c r="N67" s="139"/>
      <c r="O67" s="139"/>
      <c r="P67" s="141"/>
    </row>
    <row r="68" spans="2:16" ht="45">
      <c r="B68" s="67" t="s">
        <v>149</v>
      </c>
      <c r="C68" s="68" t="s">
        <v>76</v>
      </c>
      <c r="D68" s="68" t="s">
        <v>77</v>
      </c>
      <c r="E68" s="68" t="s">
        <v>78</v>
      </c>
      <c r="F68" s="68" t="s">
        <v>79</v>
      </c>
      <c r="G68" s="68" t="s">
        <v>80</v>
      </c>
      <c r="H68" s="68" t="s">
        <v>81</v>
      </c>
      <c r="I68" s="69" t="s">
        <v>82</v>
      </c>
      <c r="J68" s="69" t="s">
        <v>83</v>
      </c>
      <c r="K68" s="69" t="s">
        <v>84</v>
      </c>
      <c r="L68" s="67" t="s">
        <v>85</v>
      </c>
      <c r="M68" s="67" t="s">
        <v>86</v>
      </c>
      <c r="N68" s="67" t="s">
        <v>87</v>
      </c>
      <c r="O68" s="67" t="s">
        <v>88</v>
      </c>
      <c r="P68" s="70" t="s">
        <v>129</v>
      </c>
    </row>
    <row r="69" spans="2:16" ht="22.5">
      <c r="B69" s="83" t="s">
        <v>150</v>
      </c>
      <c r="C69" s="79">
        <v>6955</v>
      </c>
      <c r="D69" s="79">
        <v>8167</v>
      </c>
      <c r="E69" s="79">
        <v>8596</v>
      </c>
      <c r="F69" s="80">
        <v>326</v>
      </c>
      <c r="G69" s="80">
        <v>7885</v>
      </c>
      <c r="H69" s="102">
        <v>0</v>
      </c>
      <c r="I69" s="75">
        <v>62</v>
      </c>
      <c r="J69" s="75">
        <v>53</v>
      </c>
      <c r="K69" s="75">
        <v>53</v>
      </c>
      <c r="L69" s="92">
        <v>7</v>
      </c>
      <c r="M69" s="92">
        <v>0</v>
      </c>
      <c r="N69" s="92">
        <v>0</v>
      </c>
      <c r="O69" s="92">
        <v>0</v>
      </c>
      <c r="P69" s="94">
        <v>0</v>
      </c>
    </row>
    <row r="70" spans="2:16" ht="22.5">
      <c r="B70" s="83" t="s">
        <v>151</v>
      </c>
      <c r="C70" s="72">
        <v>426</v>
      </c>
      <c r="D70" s="79">
        <v>450</v>
      </c>
      <c r="E70" s="72">
        <v>405</v>
      </c>
      <c r="F70" s="73">
        <v>93</v>
      </c>
      <c r="G70" s="124">
        <v>130</v>
      </c>
      <c r="H70" s="124">
        <v>267</v>
      </c>
      <c r="I70" s="75">
        <v>35</v>
      </c>
      <c r="J70" s="75">
        <v>35</v>
      </c>
      <c r="K70" s="75">
        <v>36</v>
      </c>
      <c r="L70" s="92">
        <v>0</v>
      </c>
      <c r="M70" s="92">
        <v>0</v>
      </c>
      <c r="N70" s="92">
        <v>0</v>
      </c>
      <c r="O70" s="92">
        <v>0</v>
      </c>
      <c r="P70" s="94">
        <v>0</v>
      </c>
    </row>
    <row r="71" spans="2:16" ht="33.75">
      <c r="B71" s="83" t="s">
        <v>152</v>
      </c>
      <c r="C71" s="72">
        <v>198</v>
      </c>
      <c r="D71" s="79">
        <v>196</v>
      </c>
      <c r="E71" s="72">
        <v>175</v>
      </c>
      <c r="F71" s="73">
        <v>0</v>
      </c>
      <c r="G71" s="124">
        <v>55</v>
      </c>
      <c r="H71" s="124">
        <v>0</v>
      </c>
      <c r="I71" s="75">
        <v>6</v>
      </c>
      <c r="J71" s="75">
        <v>0</v>
      </c>
      <c r="K71" s="75">
        <v>0</v>
      </c>
      <c r="L71" s="92">
        <v>0</v>
      </c>
      <c r="M71" s="92">
        <v>0</v>
      </c>
      <c r="N71" s="92">
        <v>0</v>
      </c>
      <c r="O71" s="92">
        <v>0</v>
      </c>
      <c r="P71" s="94">
        <v>0</v>
      </c>
    </row>
    <row r="72" spans="2:16" ht="33.75">
      <c r="B72" s="71" t="s">
        <v>153</v>
      </c>
      <c r="C72" s="79">
        <v>2347</v>
      </c>
      <c r="D72" s="79">
        <v>2390</v>
      </c>
      <c r="E72" s="79">
        <v>2398</v>
      </c>
      <c r="F72" s="80">
        <v>0</v>
      </c>
      <c r="G72" s="102">
        <v>1600</v>
      </c>
      <c r="H72" s="102">
        <v>0</v>
      </c>
      <c r="I72" s="75">
        <v>8</v>
      </c>
      <c r="J72" s="75">
        <v>8</v>
      </c>
      <c r="K72" s="75">
        <v>7</v>
      </c>
      <c r="L72" s="92">
        <v>54</v>
      </c>
      <c r="M72" s="92">
        <v>3</v>
      </c>
      <c r="N72" s="92">
        <v>0</v>
      </c>
      <c r="O72" s="92">
        <v>0</v>
      </c>
      <c r="P72" s="94">
        <v>0</v>
      </c>
    </row>
    <row r="73" spans="2:16" ht="22.5">
      <c r="B73" s="83" t="s">
        <v>58</v>
      </c>
      <c r="C73" s="72">
        <v>0</v>
      </c>
      <c r="D73" s="79">
        <v>0</v>
      </c>
      <c r="E73" s="72">
        <v>0</v>
      </c>
      <c r="F73" s="73">
        <v>0</v>
      </c>
      <c r="G73" s="124">
        <v>0</v>
      </c>
      <c r="H73" s="124">
        <v>0</v>
      </c>
      <c r="I73" s="75">
        <v>275</v>
      </c>
      <c r="J73" s="75">
        <v>275</v>
      </c>
      <c r="K73" s="75">
        <v>275</v>
      </c>
      <c r="L73" s="92">
        <v>0</v>
      </c>
      <c r="M73" s="92">
        <v>0</v>
      </c>
      <c r="N73" s="92">
        <v>0</v>
      </c>
      <c r="O73" s="92">
        <v>0</v>
      </c>
      <c r="P73" s="94">
        <v>0</v>
      </c>
    </row>
    <row r="74" spans="2:16" ht="23.25" thickBot="1">
      <c r="B74" s="142" t="s">
        <v>154</v>
      </c>
      <c r="C74" s="143">
        <v>250</v>
      </c>
      <c r="D74" s="79">
        <v>239</v>
      </c>
      <c r="E74" s="72">
        <v>344</v>
      </c>
      <c r="F74" s="124">
        <v>187</v>
      </c>
      <c r="G74" s="124">
        <v>73</v>
      </c>
      <c r="H74" s="124">
        <v>344</v>
      </c>
      <c r="I74" s="103">
        <v>16</v>
      </c>
      <c r="J74" s="103">
        <v>17</v>
      </c>
      <c r="K74" s="75">
        <v>18</v>
      </c>
      <c r="L74" s="136">
        <v>3</v>
      </c>
      <c r="M74" s="136">
        <v>3</v>
      </c>
      <c r="N74" s="136">
        <v>2</v>
      </c>
      <c r="O74" s="136">
        <v>1</v>
      </c>
      <c r="P74" s="144">
        <v>15</v>
      </c>
    </row>
    <row r="75" spans="2:16" ht="15.75" thickBot="1">
      <c r="B75" s="174" t="s">
        <v>120</v>
      </c>
      <c r="C75" s="147">
        <f>SUM(C69:C74)</f>
        <v>10176</v>
      </c>
      <c r="D75" s="147">
        <f>SUM(C69:C74)</f>
        <v>10176</v>
      </c>
      <c r="E75" s="148">
        <f>SUM(E69:E74)</f>
        <v>11918</v>
      </c>
      <c r="F75" s="147">
        <f t="shared" ref="F75:H75" si="5">SUM(F69:F74)</f>
        <v>606</v>
      </c>
      <c r="G75" s="147">
        <f t="shared" si="5"/>
        <v>9743</v>
      </c>
      <c r="H75" s="147">
        <f t="shared" si="5"/>
        <v>611</v>
      </c>
      <c r="I75" s="145">
        <f>SUM(I69:I74)</f>
        <v>402</v>
      </c>
      <c r="J75" s="145">
        <f>SUM(I69:I74)</f>
        <v>402</v>
      </c>
      <c r="K75" s="149">
        <f>SUM(K69:K74)</f>
        <v>389</v>
      </c>
      <c r="L75" s="146">
        <f t="shared" ref="L75:P75" si="6">SUM(L69:L74)</f>
        <v>64</v>
      </c>
      <c r="M75" s="146">
        <f t="shared" si="6"/>
        <v>6</v>
      </c>
      <c r="N75" s="146">
        <f t="shared" si="6"/>
        <v>2</v>
      </c>
      <c r="O75" s="146">
        <f t="shared" si="6"/>
        <v>1</v>
      </c>
      <c r="P75" s="150">
        <f t="shared" si="6"/>
        <v>15</v>
      </c>
    </row>
    <row r="76" spans="2:16" ht="15.75" thickBot="1">
      <c r="B76" s="175"/>
      <c r="C76" s="152"/>
      <c r="D76" s="153"/>
      <c r="E76" s="153"/>
      <c r="F76" s="153"/>
      <c r="G76" s="153"/>
      <c r="H76" s="153"/>
      <c r="I76" s="131"/>
      <c r="J76" s="153"/>
      <c r="K76" s="153"/>
      <c r="L76" s="131"/>
      <c r="M76" s="131"/>
      <c r="N76" s="131"/>
      <c r="O76" s="131"/>
      <c r="P76" s="134"/>
    </row>
    <row r="77" spans="2:16" ht="26.25" thickBot="1">
      <c r="B77" s="154" t="s">
        <v>155</v>
      </c>
      <c r="C77" s="155">
        <f>C75+C66+C56+C34</f>
        <v>194097</v>
      </c>
      <c r="D77" s="155">
        <f>D75+D66+D56+D34</f>
        <v>200496</v>
      </c>
      <c r="E77" s="155">
        <f>E34+E56+E66+E75</f>
        <v>206892</v>
      </c>
      <c r="F77" s="155">
        <f>F75+F66+F56+F34</f>
        <v>113991</v>
      </c>
      <c r="G77" s="155">
        <f>G75+G66+G56+G34</f>
        <v>80668</v>
      </c>
      <c r="H77" s="155">
        <f>H75+H66+H56+H34</f>
        <v>956</v>
      </c>
      <c r="I77" s="155">
        <f>SUM(I34+I56+I66+I75)</f>
        <v>1682</v>
      </c>
      <c r="J77" s="155">
        <f>J34+J56+J66+J75</f>
        <v>1683</v>
      </c>
      <c r="K77" s="155">
        <f>K34+K56+K66+K75</f>
        <v>1745</v>
      </c>
      <c r="L77" s="155">
        <f>L75+L66+L56+L34</f>
        <v>463</v>
      </c>
      <c r="M77" s="155">
        <f>M75+M66+M56+M34</f>
        <v>16773</v>
      </c>
      <c r="N77" s="155">
        <f>N75+N66+N56+N34</f>
        <v>67</v>
      </c>
      <c r="O77" s="155">
        <f>O75+O66+O56+O34</f>
        <v>152</v>
      </c>
      <c r="P77" s="156">
        <f>P75+P66+P56+P34</f>
        <v>121</v>
      </c>
    </row>
    <row r="78" spans="2:16">
      <c r="B78" s="116"/>
      <c r="C78" s="131"/>
      <c r="D78" s="131"/>
      <c r="E78" s="131"/>
      <c r="F78" s="131"/>
      <c r="G78" s="131"/>
      <c r="H78" s="131"/>
      <c r="I78" s="131"/>
      <c r="J78" s="131"/>
      <c r="K78" s="131"/>
      <c r="L78" s="157"/>
      <c r="M78" s="157"/>
      <c r="N78" s="157"/>
      <c r="O78" s="157"/>
      <c r="P78" s="115"/>
    </row>
    <row r="79" spans="2:16" ht="15.75" thickBot="1">
      <c r="B79" s="116"/>
      <c r="C79" s="131"/>
      <c r="D79" s="131"/>
      <c r="E79" s="131"/>
      <c r="F79" s="131"/>
      <c r="G79" s="131"/>
      <c r="H79" s="131"/>
      <c r="I79" s="131"/>
      <c r="J79" s="131"/>
      <c r="K79" s="131"/>
      <c r="L79" s="157"/>
      <c r="M79" s="157"/>
      <c r="N79" s="157"/>
      <c r="O79" s="157"/>
      <c r="P79" s="115"/>
    </row>
    <row r="80" spans="2:16" ht="15.75" thickBot="1">
      <c r="B80" s="185" t="s">
        <v>156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</row>
    <row r="81" spans="2:16" ht="15.75" thickBot="1">
      <c r="B81" s="158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7"/>
    </row>
    <row r="82" spans="2:16" ht="15.75" thickBot="1">
      <c r="B82" s="185" t="s">
        <v>157</v>
      </c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</row>
    <row r="83" spans="2:16"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7"/>
    </row>
    <row r="84" spans="2:16" ht="45">
      <c r="B84" s="67" t="s">
        <v>158</v>
      </c>
      <c r="C84" s="68" t="s">
        <v>76</v>
      </c>
      <c r="D84" s="68" t="s">
        <v>77</v>
      </c>
      <c r="E84" s="68" t="s">
        <v>78</v>
      </c>
      <c r="F84" s="68" t="s">
        <v>79</v>
      </c>
      <c r="G84" s="68" t="s">
        <v>80</v>
      </c>
      <c r="H84" s="68" t="s">
        <v>81</v>
      </c>
      <c r="I84" s="69" t="s">
        <v>82</v>
      </c>
      <c r="J84" s="69" t="s">
        <v>83</v>
      </c>
      <c r="K84" s="69" t="s">
        <v>84</v>
      </c>
      <c r="L84" s="67" t="s">
        <v>85</v>
      </c>
      <c r="M84" s="67" t="s">
        <v>86</v>
      </c>
      <c r="N84" s="67" t="s">
        <v>87</v>
      </c>
      <c r="O84" s="67" t="s">
        <v>88</v>
      </c>
      <c r="P84" s="70" t="s">
        <v>129</v>
      </c>
    </row>
    <row r="85" spans="2:16">
      <c r="B85" s="83" t="s">
        <v>159</v>
      </c>
      <c r="C85" s="79">
        <v>21000</v>
      </c>
      <c r="D85" s="79">
        <v>19898</v>
      </c>
      <c r="E85" s="79">
        <v>20993</v>
      </c>
      <c r="F85" s="80">
        <v>20993</v>
      </c>
      <c r="G85" s="102">
        <v>8001</v>
      </c>
      <c r="H85" s="102">
        <v>117</v>
      </c>
      <c r="I85" s="75">
        <v>178</v>
      </c>
      <c r="J85" s="75">
        <v>178</v>
      </c>
      <c r="K85" s="75">
        <v>180</v>
      </c>
      <c r="L85" s="81">
        <v>0</v>
      </c>
      <c r="M85" s="81">
        <v>500</v>
      </c>
      <c r="N85" s="81">
        <v>0</v>
      </c>
      <c r="O85" s="81">
        <v>2</v>
      </c>
      <c r="P85" s="82">
        <v>4</v>
      </c>
    </row>
    <row r="86" spans="2:16" ht="15.75" thickBot="1">
      <c r="B86" s="142" t="s">
        <v>160</v>
      </c>
      <c r="C86" s="159">
        <v>12200</v>
      </c>
      <c r="D86" s="159">
        <v>11671</v>
      </c>
      <c r="E86" s="159">
        <v>10433</v>
      </c>
      <c r="F86" s="160">
        <v>9792</v>
      </c>
      <c r="G86" s="160">
        <v>5383</v>
      </c>
      <c r="H86" s="160">
        <v>307</v>
      </c>
      <c r="I86" s="161">
        <v>67</v>
      </c>
      <c r="J86" s="161">
        <v>63</v>
      </c>
      <c r="K86" s="162">
        <v>59</v>
      </c>
      <c r="L86" s="104">
        <v>1</v>
      </c>
      <c r="M86" s="104">
        <v>41</v>
      </c>
      <c r="N86" s="104">
        <v>0</v>
      </c>
      <c r="O86" s="104">
        <v>0</v>
      </c>
      <c r="P86" s="105">
        <v>3</v>
      </c>
    </row>
    <row r="87" spans="2:16" ht="24.75" thickBot="1">
      <c r="B87" s="163" t="s">
        <v>161</v>
      </c>
      <c r="C87" s="108">
        <f>SUM(C85:C86)</f>
        <v>33200</v>
      </c>
      <c r="D87" s="108">
        <f>SUM(C85:C86)</f>
        <v>33200</v>
      </c>
      <c r="E87" s="108">
        <f>SUM(E85:E86)</f>
        <v>31426</v>
      </c>
      <c r="F87" s="108">
        <f t="shared" ref="F87:H87" si="7">SUM(F85:F86)</f>
        <v>30785</v>
      </c>
      <c r="G87" s="108">
        <f t="shared" si="7"/>
        <v>13384</v>
      </c>
      <c r="H87" s="108">
        <f t="shared" si="7"/>
        <v>424</v>
      </c>
      <c r="I87" s="107">
        <f>SUM(I85:I86)</f>
        <v>245</v>
      </c>
      <c r="J87" s="107">
        <f>SUM(I85:I86)</f>
        <v>245</v>
      </c>
      <c r="K87" s="164">
        <f>SUM(K85:K86)</f>
        <v>239</v>
      </c>
      <c r="L87" s="111">
        <f t="shared" ref="L87:P87" si="8">SUM(L85:L86)</f>
        <v>1</v>
      </c>
      <c r="M87" s="111">
        <f t="shared" si="8"/>
        <v>541</v>
      </c>
      <c r="N87" s="111">
        <f t="shared" si="8"/>
        <v>0</v>
      </c>
      <c r="O87" s="111">
        <f t="shared" si="8"/>
        <v>2</v>
      </c>
      <c r="P87" s="109">
        <f t="shared" si="8"/>
        <v>7</v>
      </c>
    </row>
    <row r="88" spans="2:16" ht="15.75" thickBot="1">
      <c r="B88" s="116"/>
      <c r="C88" s="166"/>
      <c r="D88" s="166"/>
      <c r="E88" s="166"/>
      <c r="F88" s="166"/>
      <c r="G88" s="166"/>
      <c r="H88" s="166"/>
      <c r="I88" s="166"/>
      <c r="J88" s="166"/>
      <c r="K88" s="166"/>
      <c r="L88" s="157"/>
      <c r="M88" s="157"/>
      <c r="N88" s="157"/>
      <c r="O88" s="157"/>
      <c r="P88" s="115"/>
    </row>
    <row r="89" spans="2:16" ht="45">
      <c r="B89" s="187" t="s">
        <v>162</v>
      </c>
      <c r="C89" s="68" t="s">
        <v>163</v>
      </c>
      <c r="D89" s="68" t="s">
        <v>164</v>
      </c>
      <c r="E89" s="68" t="s">
        <v>78</v>
      </c>
      <c r="F89" s="68" t="s">
        <v>79</v>
      </c>
      <c r="G89" s="68" t="s">
        <v>80</v>
      </c>
      <c r="H89" s="68" t="s">
        <v>81</v>
      </c>
      <c r="I89" s="69" t="s">
        <v>82</v>
      </c>
      <c r="J89" s="69" t="s">
        <v>83</v>
      </c>
      <c r="K89" s="69" t="s">
        <v>84</v>
      </c>
      <c r="L89" s="67" t="s">
        <v>85</v>
      </c>
      <c r="M89" s="67" t="s">
        <v>86</v>
      </c>
      <c r="N89" s="67" t="s">
        <v>87</v>
      </c>
      <c r="O89" s="67" t="s">
        <v>88</v>
      </c>
      <c r="P89" s="70" t="s">
        <v>129</v>
      </c>
    </row>
    <row r="90" spans="2:16" ht="15.75" thickBot="1">
      <c r="B90" s="188"/>
      <c r="C90" s="167">
        <f t="shared" ref="C90:E90" si="9">C87+C77</f>
        <v>227297</v>
      </c>
      <c r="D90" s="168">
        <f t="shared" si="9"/>
        <v>233696</v>
      </c>
      <c r="E90" s="168">
        <f t="shared" si="9"/>
        <v>238318</v>
      </c>
      <c r="F90" s="169">
        <f t="shared" ref="F90:K90" si="10">F87+F77</f>
        <v>144776</v>
      </c>
      <c r="G90" s="167">
        <f t="shared" si="10"/>
        <v>94052</v>
      </c>
      <c r="H90" s="167">
        <f t="shared" si="10"/>
        <v>1380</v>
      </c>
      <c r="I90" s="167">
        <f>SUM(I87+I77)</f>
        <v>1927</v>
      </c>
      <c r="J90" s="167">
        <f t="shared" si="10"/>
        <v>1928</v>
      </c>
      <c r="K90" s="167">
        <f t="shared" si="10"/>
        <v>1984</v>
      </c>
      <c r="L90" s="167">
        <f t="shared" ref="L90:P90" si="11">L87+L77</f>
        <v>464</v>
      </c>
      <c r="M90" s="167">
        <f t="shared" si="11"/>
        <v>17314</v>
      </c>
      <c r="N90" s="167">
        <f t="shared" si="11"/>
        <v>67</v>
      </c>
      <c r="O90" s="167">
        <f t="shared" si="11"/>
        <v>154</v>
      </c>
      <c r="P90" s="170">
        <f t="shared" si="11"/>
        <v>128</v>
      </c>
    </row>
  </sheetData>
  <mergeCells count="7">
    <mergeCell ref="B89:B90"/>
    <mergeCell ref="B36:P36"/>
    <mergeCell ref="B38:P38"/>
    <mergeCell ref="B58:P58"/>
    <mergeCell ref="B60:P60"/>
    <mergeCell ref="B80:P80"/>
    <mergeCell ref="B82:P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C285-7CBC-4DF9-B4D4-BFA5E74C7ACB}">
  <dimension ref="B3:P90"/>
  <sheetViews>
    <sheetView topLeftCell="A81" workbookViewId="0">
      <selection activeCell="J9" sqref="J9"/>
    </sheetView>
  </sheetViews>
  <sheetFormatPr baseColWidth="10" defaultRowHeight="15"/>
  <cols>
    <col min="2" max="2" width="25.5703125" style="178" customWidth="1"/>
  </cols>
  <sheetData>
    <row r="3" spans="2:16" ht="45">
      <c r="B3" s="67" t="s">
        <v>75</v>
      </c>
      <c r="C3" s="68" t="s">
        <v>165</v>
      </c>
      <c r="D3" s="68" t="s">
        <v>166</v>
      </c>
      <c r="E3" s="68" t="s">
        <v>167</v>
      </c>
      <c r="F3" s="68" t="s">
        <v>79</v>
      </c>
      <c r="G3" s="68" t="s">
        <v>80</v>
      </c>
      <c r="H3" s="68" t="s">
        <v>81</v>
      </c>
      <c r="I3" s="69" t="s">
        <v>83</v>
      </c>
      <c r="J3" s="69" t="s">
        <v>84</v>
      </c>
      <c r="K3" s="69" t="s">
        <v>168</v>
      </c>
      <c r="L3" s="67" t="s">
        <v>85</v>
      </c>
      <c r="M3" s="67" t="s">
        <v>86</v>
      </c>
      <c r="N3" s="67" t="s">
        <v>87</v>
      </c>
      <c r="O3" s="67" t="s">
        <v>88</v>
      </c>
      <c r="P3" s="70" t="s">
        <v>89</v>
      </c>
    </row>
    <row r="4" spans="2:16" ht="33.75">
      <c r="B4" s="71" t="s">
        <v>90</v>
      </c>
      <c r="C4" s="72"/>
      <c r="D4" s="72">
        <v>0</v>
      </c>
      <c r="E4" s="72"/>
      <c r="F4" s="73">
        <v>0</v>
      </c>
      <c r="G4" s="73">
        <v>0</v>
      </c>
      <c r="H4" s="73">
        <v>0</v>
      </c>
      <c r="I4" s="75">
        <v>57</v>
      </c>
      <c r="J4" s="75">
        <v>53</v>
      </c>
      <c r="K4" s="75"/>
      <c r="L4" s="76">
        <v>0</v>
      </c>
      <c r="M4" s="76">
        <v>0</v>
      </c>
      <c r="N4" s="76"/>
      <c r="O4" s="76"/>
      <c r="P4" s="77"/>
    </row>
    <row r="5" spans="2:16">
      <c r="B5" s="71" t="s">
        <v>91</v>
      </c>
      <c r="C5" s="79">
        <v>5716</v>
      </c>
      <c r="D5" s="79">
        <v>5971</v>
      </c>
      <c r="E5" s="79">
        <v>6271</v>
      </c>
      <c r="F5" s="80">
        <v>3722</v>
      </c>
      <c r="G5" s="80">
        <v>3082</v>
      </c>
      <c r="H5" s="80">
        <v>29</v>
      </c>
      <c r="I5" s="75">
        <v>38</v>
      </c>
      <c r="J5" s="75">
        <v>40</v>
      </c>
      <c r="K5" s="75">
        <v>41</v>
      </c>
      <c r="L5" s="81">
        <v>68</v>
      </c>
      <c r="M5" s="81">
        <v>113</v>
      </c>
      <c r="N5" s="81">
        <v>4</v>
      </c>
      <c r="O5" s="81">
        <v>19</v>
      </c>
      <c r="P5" s="82">
        <v>4</v>
      </c>
    </row>
    <row r="6" spans="2:16">
      <c r="B6" s="83" t="s">
        <v>92</v>
      </c>
      <c r="C6" s="79">
        <v>640</v>
      </c>
      <c r="D6" s="72">
        <v>650</v>
      </c>
      <c r="E6" s="72">
        <v>650</v>
      </c>
      <c r="F6" s="80">
        <v>120</v>
      </c>
      <c r="G6" s="80">
        <v>300</v>
      </c>
      <c r="H6" s="80">
        <v>0</v>
      </c>
      <c r="I6" s="75">
        <v>7</v>
      </c>
      <c r="J6" s="75">
        <v>7</v>
      </c>
      <c r="K6" s="75">
        <v>7</v>
      </c>
      <c r="L6" s="81">
        <v>5</v>
      </c>
      <c r="M6" s="84">
        <v>3</v>
      </c>
      <c r="N6" s="84">
        <v>1</v>
      </c>
      <c r="O6" s="84">
        <v>2</v>
      </c>
      <c r="P6" s="85">
        <v>1</v>
      </c>
    </row>
    <row r="7" spans="2:16">
      <c r="B7" s="71" t="s">
        <v>93</v>
      </c>
      <c r="C7" s="79">
        <v>3705</v>
      </c>
      <c r="D7" s="79">
        <v>4574</v>
      </c>
      <c r="E7" s="79">
        <v>4823</v>
      </c>
      <c r="F7" s="80">
        <v>1742</v>
      </c>
      <c r="G7" s="80">
        <v>1692</v>
      </c>
      <c r="H7" s="80">
        <v>13</v>
      </c>
      <c r="I7" s="75">
        <v>29</v>
      </c>
      <c r="J7" s="75">
        <v>29</v>
      </c>
      <c r="K7" s="75">
        <v>29</v>
      </c>
      <c r="L7" s="81">
        <v>6</v>
      </c>
      <c r="M7" s="81">
        <v>18</v>
      </c>
      <c r="N7" s="81">
        <v>2</v>
      </c>
      <c r="O7" s="81">
        <v>2</v>
      </c>
      <c r="P7" s="82">
        <v>6</v>
      </c>
    </row>
    <row r="8" spans="2:16">
      <c r="B8" s="179" t="s">
        <v>94</v>
      </c>
      <c r="C8" s="79">
        <v>359</v>
      </c>
      <c r="D8" s="79"/>
      <c r="E8" s="79"/>
      <c r="F8" s="80"/>
      <c r="G8" s="80"/>
      <c r="H8" s="80">
        <v>0</v>
      </c>
      <c r="I8" s="75">
        <v>7</v>
      </c>
      <c r="J8" s="75"/>
      <c r="K8" s="75"/>
      <c r="L8" s="81"/>
      <c r="M8" s="81">
        <v>0</v>
      </c>
      <c r="N8" s="81">
        <v>0</v>
      </c>
      <c r="O8" s="81">
        <v>0</v>
      </c>
      <c r="P8" s="86">
        <v>0</v>
      </c>
    </row>
    <row r="9" spans="2:16">
      <c r="B9" s="71" t="s">
        <v>95</v>
      </c>
      <c r="C9" s="79">
        <v>9890</v>
      </c>
      <c r="D9" s="79">
        <v>10309</v>
      </c>
      <c r="E9" s="79">
        <v>10024</v>
      </c>
      <c r="F9" s="80">
        <v>7195</v>
      </c>
      <c r="G9" s="80">
        <v>2145</v>
      </c>
      <c r="H9" s="80">
        <v>0</v>
      </c>
      <c r="I9" s="75">
        <v>40</v>
      </c>
      <c r="J9" s="75">
        <v>42</v>
      </c>
      <c r="K9" s="75">
        <v>41</v>
      </c>
      <c r="L9" s="81">
        <v>6</v>
      </c>
      <c r="M9" s="81">
        <v>5769</v>
      </c>
      <c r="N9" s="81">
        <v>0</v>
      </c>
      <c r="O9" s="81">
        <v>0</v>
      </c>
      <c r="P9" s="82">
        <v>0</v>
      </c>
    </row>
    <row r="10" spans="2:16">
      <c r="B10" s="71" t="s">
        <v>96</v>
      </c>
      <c r="C10" s="79">
        <v>808</v>
      </c>
      <c r="D10" s="72">
        <v>876</v>
      </c>
      <c r="E10" s="72">
        <v>851</v>
      </c>
      <c r="F10" s="73">
        <v>474</v>
      </c>
      <c r="G10" s="73">
        <v>217</v>
      </c>
      <c r="H10" s="73">
        <v>0</v>
      </c>
      <c r="I10" s="75">
        <v>19</v>
      </c>
      <c r="J10" s="75">
        <v>20</v>
      </c>
      <c r="K10" s="75">
        <v>21</v>
      </c>
      <c r="L10" s="81">
        <v>1</v>
      </c>
      <c r="M10" s="81">
        <v>7</v>
      </c>
      <c r="N10" s="81">
        <v>0</v>
      </c>
      <c r="O10" s="81">
        <v>1</v>
      </c>
      <c r="P10" s="82">
        <v>3</v>
      </c>
    </row>
    <row r="11" spans="2:16">
      <c r="B11" s="83" t="s">
        <v>97</v>
      </c>
      <c r="C11" s="79">
        <v>991</v>
      </c>
      <c r="D11" s="79">
        <v>1070</v>
      </c>
      <c r="E11" s="79">
        <v>1100</v>
      </c>
      <c r="F11" s="80">
        <v>520</v>
      </c>
      <c r="G11" s="80">
        <v>114</v>
      </c>
      <c r="H11" s="80">
        <v>8</v>
      </c>
      <c r="I11" s="75">
        <v>21</v>
      </c>
      <c r="J11" s="75">
        <v>21</v>
      </c>
      <c r="K11" s="75">
        <v>21</v>
      </c>
      <c r="L11" s="81">
        <v>4</v>
      </c>
      <c r="M11" s="81">
        <v>58</v>
      </c>
      <c r="N11" s="92">
        <v>2</v>
      </c>
      <c r="O11" s="81">
        <v>5</v>
      </c>
      <c r="P11" s="92">
        <v>1</v>
      </c>
    </row>
    <row r="12" spans="2:16">
      <c r="B12" s="93" t="s">
        <v>98</v>
      </c>
      <c r="C12" s="79">
        <v>2052</v>
      </c>
      <c r="D12" s="79">
        <v>2118</v>
      </c>
      <c r="E12" s="79">
        <v>2207</v>
      </c>
      <c r="F12" s="73">
        <v>390</v>
      </c>
      <c r="G12" s="80">
        <v>1952</v>
      </c>
      <c r="H12" s="73">
        <v>0</v>
      </c>
      <c r="I12" s="75">
        <v>0</v>
      </c>
      <c r="J12" s="75">
        <v>36</v>
      </c>
      <c r="K12" s="75">
        <v>35</v>
      </c>
      <c r="L12" s="92">
        <v>2</v>
      </c>
      <c r="M12" s="92">
        <v>10</v>
      </c>
      <c r="N12" s="92">
        <v>0</v>
      </c>
      <c r="O12" s="92">
        <v>0</v>
      </c>
      <c r="P12" s="94">
        <v>0</v>
      </c>
    </row>
    <row r="13" spans="2:16">
      <c r="B13" s="71" t="s">
        <v>99</v>
      </c>
      <c r="C13" s="79">
        <v>8803</v>
      </c>
      <c r="D13" s="79">
        <v>8373</v>
      </c>
      <c r="E13" s="79">
        <v>7812</v>
      </c>
      <c r="F13" s="80">
        <v>4483</v>
      </c>
      <c r="G13" s="80">
        <v>6764</v>
      </c>
      <c r="H13" s="80">
        <v>0</v>
      </c>
      <c r="I13" s="75">
        <v>81</v>
      </c>
      <c r="J13" s="75">
        <v>80</v>
      </c>
      <c r="K13" s="75">
        <v>80</v>
      </c>
      <c r="L13" s="81">
        <v>43</v>
      </c>
      <c r="M13" s="81">
        <v>314</v>
      </c>
      <c r="N13" s="81">
        <v>2</v>
      </c>
      <c r="O13" s="81">
        <v>0</v>
      </c>
      <c r="P13" s="82">
        <v>8</v>
      </c>
    </row>
    <row r="14" spans="2:16">
      <c r="B14" s="71" t="s">
        <v>100</v>
      </c>
      <c r="C14" s="79">
        <v>1269</v>
      </c>
      <c r="D14" s="79">
        <v>1504</v>
      </c>
      <c r="E14" s="79">
        <v>1504</v>
      </c>
      <c r="F14" s="80">
        <v>988</v>
      </c>
      <c r="G14" s="80">
        <v>555</v>
      </c>
      <c r="H14" s="80">
        <v>0</v>
      </c>
      <c r="I14" s="75">
        <v>16</v>
      </c>
      <c r="J14" s="75">
        <v>16</v>
      </c>
      <c r="K14" s="75">
        <v>13</v>
      </c>
      <c r="L14" s="81">
        <v>4</v>
      </c>
      <c r="M14" s="81">
        <v>5</v>
      </c>
      <c r="N14" s="81">
        <v>0</v>
      </c>
      <c r="O14" s="81">
        <v>5</v>
      </c>
      <c r="P14" s="82">
        <v>0</v>
      </c>
    </row>
    <row r="15" spans="2:16">
      <c r="B15" s="71" t="s">
        <v>101</v>
      </c>
      <c r="C15" s="79">
        <v>43309</v>
      </c>
      <c r="D15" s="79">
        <v>42331</v>
      </c>
      <c r="E15" s="79">
        <v>42502</v>
      </c>
      <c r="F15" s="80">
        <v>27118</v>
      </c>
      <c r="G15" s="80">
        <v>3495</v>
      </c>
      <c r="H15" s="80">
        <v>0</v>
      </c>
      <c r="I15" s="75">
        <v>108</v>
      </c>
      <c r="J15" s="75">
        <v>114</v>
      </c>
      <c r="K15" s="75">
        <v>115</v>
      </c>
      <c r="L15" s="81">
        <v>39</v>
      </c>
      <c r="M15" s="81">
        <v>11177</v>
      </c>
      <c r="N15" s="81">
        <v>2</v>
      </c>
      <c r="O15" s="81">
        <v>11</v>
      </c>
      <c r="P15" s="82">
        <v>12</v>
      </c>
    </row>
    <row r="16" spans="2:16">
      <c r="B16" s="71" t="s">
        <v>102</v>
      </c>
      <c r="C16" s="79">
        <v>10481</v>
      </c>
      <c r="D16" s="79">
        <v>9725</v>
      </c>
      <c r="E16" s="79">
        <v>9482</v>
      </c>
      <c r="F16" s="80">
        <v>859</v>
      </c>
      <c r="G16" s="80">
        <v>2271</v>
      </c>
      <c r="H16" s="80">
        <v>0</v>
      </c>
      <c r="I16" s="75">
        <v>24</v>
      </c>
      <c r="J16" s="75">
        <v>24</v>
      </c>
      <c r="K16" s="75">
        <v>24</v>
      </c>
      <c r="L16" s="96">
        <v>20</v>
      </c>
      <c r="M16" s="96">
        <v>55</v>
      </c>
      <c r="N16" s="96">
        <v>2</v>
      </c>
      <c r="O16" s="96">
        <v>5</v>
      </c>
      <c r="P16" s="94">
        <v>3</v>
      </c>
    </row>
    <row r="17" spans="2:16">
      <c r="B17" s="71" t="s">
        <v>103</v>
      </c>
      <c r="C17" s="79">
        <v>6209</v>
      </c>
      <c r="D17" s="79">
        <v>6212</v>
      </c>
      <c r="E17" s="79">
        <v>6174</v>
      </c>
      <c r="F17" s="80">
        <v>5291</v>
      </c>
      <c r="G17" s="80">
        <v>5471</v>
      </c>
      <c r="H17" s="80">
        <v>49</v>
      </c>
      <c r="I17" s="75">
        <v>25</v>
      </c>
      <c r="J17" s="75">
        <v>24</v>
      </c>
      <c r="K17" s="75">
        <v>23</v>
      </c>
      <c r="L17" s="81">
        <v>4</v>
      </c>
      <c r="M17" s="81">
        <v>12</v>
      </c>
      <c r="N17" s="81">
        <v>1</v>
      </c>
      <c r="O17" s="92">
        <v>0</v>
      </c>
      <c r="P17" s="92">
        <v>1</v>
      </c>
    </row>
    <row r="18" spans="2:16">
      <c r="B18" s="71" t="s">
        <v>104</v>
      </c>
      <c r="C18" s="79">
        <v>166</v>
      </c>
      <c r="D18" s="72">
        <v>117</v>
      </c>
      <c r="E18" s="72">
        <v>138</v>
      </c>
      <c r="F18" s="80">
        <v>16</v>
      </c>
      <c r="G18" s="80">
        <v>61</v>
      </c>
      <c r="H18" s="80">
        <v>3</v>
      </c>
      <c r="I18" s="75">
        <v>3</v>
      </c>
      <c r="J18" s="75">
        <v>3</v>
      </c>
      <c r="K18" s="75">
        <v>4</v>
      </c>
      <c r="L18" s="81">
        <v>1</v>
      </c>
      <c r="M18" s="81">
        <v>8</v>
      </c>
      <c r="N18" s="81">
        <v>3</v>
      </c>
      <c r="O18" s="81">
        <v>1</v>
      </c>
      <c r="P18" s="82">
        <v>1</v>
      </c>
    </row>
    <row r="19" spans="2:16">
      <c r="B19" s="71" t="s">
        <v>105</v>
      </c>
      <c r="C19" s="79">
        <v>5578</v>
      </c>
      <c r="D19" s="79">
        <v>5829</v>
      </c>
      <c r="E19" s="79">
        <v>5615</v>
      </c>
      <c r="F19" s="80">
        <v>3477</v>
      </c>
      <c r="G19" s="80">
        <v>1928</v>
      </c>
      <c r="H19" s="80">
        <v>9</v>
      </c>
      <c r="I19" s="75">
        <v>26</v>
      </c>
      <c r="J19" s="75">
        <v>27</v>
      </c>
      <c r="K19" s="75">
        <v>26</v>
      </c>
      <c r="L19" s="81">
        <v>5</v>
      </c>
      <c r="M19" s="81">
        <v>2385</v>
      </c>
      <c r="N19" s="81">
        <v>1</v>
      </c>
      <c r="O19" s="81">
        <v>6</v>
      </c>
      <c r="P19" s="82">
        <v>1</v>
      </c>
    </row>
    <row r="20" spans="2:16" ht="22.5">
      <c r="B20" s="179" t="s">
        <v>106</v>
      </c>
      <c r="C20" s="79">
        <v>1049</v>
      </c>
      <c r="D20" s="97">
        <v>1120</v>
      </c>
      <c r="E20" s="97"/>
      <c r="F20" s="80"/>
      <c r="G20" s="80"/>
      <c r="H20" s="80"/>
      <c r="I20" s="75">
        <v>4</v>
      </c>
      <c r="J20" s="75">
        <v>4</v>
      </c>
      <c r="K20" s="75"/>
      <c r="L20" s="81">
        <v>0</v>
      </c>
      <c r="M20" s="81">
        <v>0</v>
      </c>
      <c r="N20" s="81">
        <v>0</v>
      </c>
      <c r="O20" s="81">
        <v>0</v>
      </c>
      <c r="P20" s="82">
        <v>0</v>
      </c>
    </row>
    <row r="21" spans="2:16">
      <c r="B21" s="71" t="s">
        <v>107</v>
      </c>
      <c r="C21" s="79">
        <v>11593</v>
      </c>
      <c r="D21" s="79">
        <v>12088</v>
      </c>
      <c r="E21" s="79">
        <v>12589</v>
      </c>
      <c r="F21" s="80">
        <v>10084</v>
      </c>
      <c r="G21" s="80">
        <v>4046</v>
      </c>
      <c r="H21" s="80">
        <v>78</v>
      </c>
      <c r="I21" s="75">
        <v>90</v>
      </c>
      <c r="J21" s="75">
        <v>89</v>
      </c>
      <c r="K21" s="75">
        <v>87</v>
      </c>
      <c r="L21" s="81">
        <v>6</v>
      </c>
      <c r="M21" s="81">
        <v>51</v>
      </c>
      <c r="N21" s="81">
        <v>6</v>
      </c>
      <c r="O21" s="81">
        <v>9</v>
      </c>
      <c r="P21" s="82">
        <v>8</v>
      </c>
    </row>
    <row r="22" spans="2:16">
      <c r="B22" s="98" t="s">
        <v>108</v>
      </c>
      <c r="C22" s="79">
        <v>7600</v>
      </c>
      <c r="D22" s="79">
        <v>7900</v>
      </c>
      <c r="E22" s="79">
        <v>8148</v>
      </c>
      <c r="F22" s="80">
        <v>5685</v>
      </c>
      <c r="G22" s="80">
        <v>2801</v>
      </c>
      <c r="H22" s="80">
        <v>0</v>
      </c>
      <c r="I22" s="75">
        <v>110</v>
      </c>
      <c r="J22" s="75">
        <v>109</v>
      </c>
      <c r="K22" s="75">
        <v>110</v>
      </c>
      <c r="L22" s="96">
        <v>4</v>
      </c>
      <c r="M22" s="96">
        <v>2</v>
      </c>
      <c r="N22" s="96">
        <v>2</v>
      </c>
      <c r="O22" s="96">
        <v>1</v>
      </c>
      <c r="P22" s="94">
        <v>4</v>
      </c>
    </row>
    <row r="23" spans="2:16">
      <c r="B23" s="99" t="s">
        <v>109</v>
      </c>
      <c r="C23" s="79">
        <v>1565</v>
      </c>
      <c r="D23" s="79">
        <v>1653</v>
      </c>
      <c r="E23" s="79">
        <v>1552</v>
      </c>
      <c r="F23" s="80">
        <v>938</v>
      </c>
      <c r="G23" s="80">
        <v>797</v>
      </c>
      <c r="H23" s="80">
        <v>15</v>
      </c>
      <c r="I23" s="75">
        <v>12</v>
      </c>
      <c r="J23" s="75">
        <v>12</v>
      </c>
      <c r="K23" s="75">
        <v>13</v>
      </c>
      <c r="L23" s="96">
        <v>7</v>
      </c>
      <c r="M23" s="96">
        <v>9</v>
      </c>
      <c r="N23" s="96">
        <v>1</v>
      </c>
      <c r="O23" s="96">
        <v>1</v>
      </c>
      <c r="P23" s="94">
        <v>3</v>
      </c>
    </row>
    <row r="24" spans="2:16">
      <c r="B24" s="71" t="s">
        <v>110</v>
      </c>
      <c r="C24" s="79">
        <v>7789</v>
      </c>
      <c r="D24" s="79">
        <v>8555</v>
      </c>
      <c r="E24" s="79">
        <v>10049</v>
      </c>
      <c r="F24" s="80">
        <v>6027</v>
      </c>
      <c r="G24" s="80">
        <v>4096</v>
      </c>
      <c r="H24" s="80">
        <v>11</v>
      </c>
      <c r="I24" s="75">
        <v>25</v>
      </c>
      <c r="J24" s="75">
        <v>26</v>
      </c>
      <c r="K24" s="75">
        <v>26</v>
      </c>
      <c r="L24" s="81">
        <v>26</v>
      </c>
      <c r="M24" s="81">
        <v>41</v>
      </c>
      <c r="N24" s="96">
        <v>10</v>
      </c>
      <c r="O24" s="96">
        <v>26</v>
      </c>
      <c r="P24" s="82">
        <v>3</v>
      </c>
    </row>
    <row r="25" spans="2:16">
      <c r="B25" s="71" t="s">
        <v>111</v>
      </c>
      <c r="C25" s="79">
        <v>2277</v>
      </c>
      <c r="D25" s="79">
        <v>2308</v>
      </c>
      <c r="E25" s="79">
        <v>2586</v>
      </c>
      <c r="F25" s="80">
        <v>162</v>
      </c>
      <c r="G25" s="80">
        <v>327</v>
      </c>
      <c r="H25" s="80">
        <v>90</v>
      </c>
      <c r="I25" s="75">
        <v>11</v>
      </c>
      <c r="J25" s="75">
        <v>12</v>
      </c>
      <c r="K25" s="75">
        <v>12</v>
      </c>
      <c r="L25" s="96">
        <v>10</v>
      </c>
      <c r="M25" s="96">
        <v>38</v>
      </c>
      <c r="N25" s="96">
        <v>3</v>
      </c>
      <c r="O25" s="96">
        <v>10</v>
      </c>
      <c r="P25" s="94">
        <v>2</v>
      </c>
    </row>
    <row r="26" spans="2:16" ht="22.5">
      <c r="B26" s="93" t="s">
        <v>112</v>
      </c>
      <c r="C26" s="79">
        <v>1279</v>
      </c>
      <c r="D26" s="79">
        <v>1347</v>
      </c>
      <c r="E26" s="79">
        <v>1576</v>
      </c>
      <c r="F26" s="80">
        <v>1208</v>
      </c>
      <c r="G26" s="80">
        <v>1454</v>
      </c>
      <c r="H26" s="80">
        <v>6</v>
      </c>
      <c r="I26" s="75">
        <v>4</v>
      </c>
      <c r="J26" s="75">
        <v>4</v>
      </c>
      <c r="K26" s="75">
        <v>4</v>
      </c>
      <c r="L26" s="81">
        <v>3</v>
      </c>
      <c r="M26" s="81">
        <v>12</v>
      </c>
      <c r="N26" s="81">
        <v>3</v>
      </c>
      <c r="O26" s="81">
        <v>2</v>
      </c>
      <c r="P26" s="82">
        <v>2</v>
      </c>
    </row>
    <row r="27" spans="2:16">
      <c r="B27" s="83" t="s">
        <v>113</v>
      </c>
      <c r="C27" s="79">
        <v>1203</v>
      </c>
      <c r="D27" s="79">
        <v>1002</v>
      </c>
      <c r="E27" s="79">
        <v>1258</v>
      </c>
      <c r="F27" s="73">
        <v>564</v>
      </c>
      <c r="G27" s="73">
        <v>428</v>
      </c>
      <c r="H27" s="73">
        <v>59</v>
      </c>
      <c r="I27" s="75">
        <v>17</v>
      </c>
      <c r="J27" s="75">
        <v>17</v>
      </c>
      <c r="K27" s="75">
        <v>17</v>
      </c>
      <c r="L27" s="81">
        <v>5</v>
      </c>
      <c r="M27" s="81">
        <v>14</v>
      </c>
      <c r="N27" s="81">
        <v>7</v>
      </c>
      <c r="O27" s="81">
        <v>6</v>
      </c>
      <c r="P27" s="82">
        <v>1</v>
      </c>
    </row>
    <row r="28" spans="2:16">
      <c r="B28" s="83" t="s">
        <v>114</v>
      </c>
      <c r="C28" s="79">
        <v>21793</v>
      </c>
      <c r="D28" s="79">
        <v>22600</v>
      </c>
      <c r="E28" s="79">
        <v>24094</v>
      </c>
      <c r="F28" s="80">
        <v>11564</v>
      </c>
      <c r="G28" s="80">
        <v>7348</v>
      </c>
      <c r="H28" s="80">
        <v>0</v>
      </c>
      <c r="I28" s="75">
        <v>84</v>
      </c>
      <c r="J28" s="75">
        <v>85</v>
      </c>
      <c r="K28" s="75">
        <v>89</v>
      </c>
      <c r="L28" s="81">
        <v>7</v>
      </c>
      <c r="M28" s="81">
        <v>77</v>
      </c>
      <c r="N28" s="81">
        <v>4</v>
      </c>
      <c r="O28" s="81">
        <v>3</v>
      </c>
      <c r="P28" s="82">
        <v>4</v>
      </c>
    </row>
    <row r="29" spans="2:16">
      <c r="B29" s="83" t="s">
        <v>115</v>
      </c>
      <c r="C29" s="79">
        <v>3169</v>
      </c>
      <c r="D29" s="79">
        <v>3984</v>
      </c>
      <c r="E29" s="79">
        <v>3829</v>
      </c>
      <c r="F29" s="80">
        <v>1850</v>
      </c>
      <c r="G29" s="80">
        <v>543</v>
      </c>
      <c r="H29" s="80">
        <v>0</v>
      </c>
      <c r="I29" s="75">
        <v>40</v>
      </c>
      <c r="J29" s="75">
        <v>40</v>
      </c>
      <c r="K29" s="75">
        <v>38</v>
      </c>
      <c r="L29" s="81">
        <v>4</v>
      </c>
      <c r="M29" s="81">
        <v>268</v>
      </c>
      <c r="N29" s="81">
        <v>2</v>
      </c>
      <c r="O29" s="81">
        <v>6</v>
      </c>
      <c r="P29" s="82">
        <v>2</v>
      </c>
    </row>
    <row r="30" spans="2:16">
      <c r="B30" s="83" t="s">
        <v>116</v>
      </c>
      <c r="C30" s="79">
        <v>1542</v>
      </c>
      <c r="D30" s="79">
        <v>1711</v>
      </c>
      <c r="E30" s="79">
        <v>1731</v>
      </c>
      <c r="F30" s="80">
        <v>424</v>
      </c>
      <c r="G30" s="80">
        <v>652</v>
      </c>
      <c r="H30" s="80">
        <v>12</v>
      </c>
      <c r="I30" s="75">
        <v>28</v>
      </c>
      <c r="J30" s="75">
        <v>28</v>
      </c>
      <c r="K30" s="75">
        <v>28</v>
      </c>
      <c r="L30" s="81">
        <v>3</v>
      </c>
      <c r="M30" s="81">
        <v>14</v>
      </c>
      <c r="N30" s="81">
        <v>0</v>
      </c>
      <c r="O30" s="81">
        <v>1</v>
      </c>
      <c r="P30" s="82">
        <v>1</v>
      </c>
    </row>
    <row r="31" spans="2:16">
      <c r="B31" s="83" t="s">
        <v>117</v>
      </c>
      <c r="C31" s="79">
        <v>794</v>
      </c>
      <c r="D31" s="72">
        <v>656</v>
      </c>
      <c r="E31" s="72">
        <v>680</v>
      </c>
      <c r="F31" s="80">
        <v>246</v>
      </c>
      <c r="G31" s="80">
        <v>176</v>
      </c>
      <c r="H31" s="80">
        <v>0</v>
      </c>
      <c r="I31" s="75">
        <v>14</v>
      </c>
      <c r="J31" s="75">
        <v>9</v>
      </c>
      <c r="K31" s="75">
        <v>9</v>
      </c>
      <c r="L31" s="81">
        <v>0</v>
      </c>
      <c r="M31" s="81">
        <v>7</v>
      </c>
      <c r="N31" s="81">
        <v>1</v>
      </c>
      <c r="O31" s="81">
        <v>1</v>
      </c>
      <c r="P31" s="82">
        <v>0</v>
      </c>
    </row>
    <row r="32" spans="2:16">
      <c r="B32" s="71" t="s">
        <v>118</v>
      </c>
      <c r="C32" s="79">
        <v>441</v>
      </c>
      <c r="D32" s="72">
        <v>395</v>
      </c>
      <c r="E32" s="72">
        <v>362</v>
      </c>
      <c r="F32" s="73">
        <v>106</v>
      </c>
      <c r="G32" s="73">
        <v>80</v>
      </c>
      <c r="H32" s="80">
        <v>0</v>
      </c>
      <c r="I32" s="75">
        <v>6</v>
      </c>
      <c r="J32" s="75">
        <v>6</v>
      </c>
      <c r="K32" s="75">
        <v>6</v>
      </c>
      <c r="L32" s="81">
        <v>2</v>
      </c>
      <c r="M32" s="81">
        <v>5</v>
      </c>
      <c r="N32" s="81">
        <v>0</v>
      </c>
      <c r="O32" s="81">
        <v>2</v>
      </c>
      <c r="P32" s="81">
        <v>0</v>
      </c>
    </row>
    <row r="33" spans="2:16" ht="15.75" thickBot="1">
      <c r="B33" s="100" t="s">
        <v>119</v>
      </c>
      <c r="C33" s="79">
        <v>3625</v>
      </c>
      <c r="D33" s="101">
        <v>4021</v>
      </c>
      <c r="E33" s="101">
        <v>4164</v>
      </c>
      <c r="F33" s="102">
        <v>2238</v>
      </c>
      <c r="G33" s="102">
        <v>1922</v>
      </c>
      <c r="H33" s="80">
        <v>18</v>
      </c>
      <c r="I33" s="75">
        <v>21</v>
      </c>
      <c r="J33" s="75">
        <v>23</v>
      </c>
      <c r="K33" s="75">
        <v>25</v>
      </c>
      <c r="L33" s="104">
        <v>8</v>
      </c>
      <c r="M33" s="104">
        <v>2041</v>
      </c>
      <c r="N33" s="104">
        <v>5</v>
      </c>
      <c r="O33" s="104">
        <v>0</v>
      </c>
      <c r="P33" s="105">
        <v>10</v>
      </c>
    </row>
    <row r="34" spans="2:16" ht="15.75" thickBot="1">
      <c r="B34" s="163" t="s">
        <v>120</v>
      </c>
      <c r="C34" s="108">
        <f t="shared" ref="C34:P34" si="0">SUM(C4:C33)</f>
        <v>165695</v>
      </c>
      <c r="D34" s="108">
        <f t="shared" si="0"/>
        <v>168999</v>
      </c>
      <c r="E34" s="108">
        <f t="shared" si="0"/>
        <v>171771</v>
      </c>
      <c r="F34" s="108">
        <f t="shared" si="0"/>
        <v>97491</v>
      </c>
      <c r="G34" s="108">
        <f t="shared" si="0"/>
        <v>54717</v>
      </c>
      <c r="H34" s="108">
        <f t="shared" si="0"/>
        <v>400</v>
      </c>
      <c r="I34" s="109">
        <f t="shared" si="0"/>
        <v>967</v>
      </c>
      <c r="J34" s="110">
        <f t="shared" si="0"/>
        <v>1000</v>
      </c>
      <c r="K34" s="110">
        <f t="shared" si="0"/>
        <v>944</v>
      </c>
      <c r="L34" s="111">
        <f t="shared" si="0"/>
        <v>293</v>
      </c>
      <c r="M34" s="111">
        <f t="shared" si="0"/>
        <v>22513</v>
      </c>
      <c r="N34" s="111">
        <f t="shared" si="0"/>
        <v>64</v>
      </c>
      <c r="O34" s="111">
        <f t="shared" si="0"/>
        <v>125</v>
      </c>
      <c r="P34" s="109">
        <f t="shared" si="0"/>
        <v>81</v>
      </c>
    </row>
    <row r="35" spans="2:16">
      <c r="B35" s="171"/>
      <c r="C35" s="113"/>
      <c r="D35" s="112"/>
      <c r="E35" s="112"/>
      <c r="F35" s="112"/>
      <c r="G35" s="112"/>
      <c r="H35" s="112"/>
      <c r="I35" s="114"/>
      <c r="J35" s="112"/>
      <c r="K35" s="112"/>
      <c r="L35" s="113"/>
      <c r="M35" s="113"/>
      <c r="N35" s="113"/>
      <c r="O35" s="113"/>
      <c r="P35" s="115"/>
    </row>
    <row r="36" spans="2:16">
      <c r="B36" s="190" t="s">
        <v>121</v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</row>
    <row r="37" spans="2:16"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7"/>
    </row>
    <row r="38" spans="2:16">
      <c r="B38" s="190" t="s">
        <v>122</v>
      </c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</row>
    <row r="39" spans="2:16" ht="15.75" thickBot="1">
      <c r="B39" s="172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9"/>
    </row>
    <row r="40" spans="2:16" ht="22.5">
      <c r="B40" s="120" t="s">
        <v>123</v>
      </c>
      <c r="C40" s="121"/>
      <c r="D40" s="121" t="s">
        <v>125</v>
      </c>
      <c r="E40" s="121"/>
      <c r="F40" s="121"/>
      <c r="G40" s="121"/>
      <c r="H40" s="121"/>
      <c r="I40" s="122" t="s">
        <v>126</v>
      </c>
      <c r="J40" s="122" t="s">
        <v>127</v>
      </c>
      <c r="K40" s="122"/>
      <c r="L40" s="120"/>
      <c r="M40" s="120"/>
      <c r="N40" s="120"/>
      <c r="O40" s="120"/>
      <c r="P40" s="123"/>
    </row>
    <row r="41" spans="2:16" ht="45">
      <c r="B41" s="67" t="s">
        <v>128</v>
      </c>
      <c r="C41" s="68" t="s">
        <v>77</v>
      </c>
      <c r="D41" s="68" t="s">
        <v>78</v>
      </c>
      <c r="E41" s="68" t="s">
        <v>167</v>
      </c>
      <c r="F41" s="68" t="s">
        <v>79</v>
      </c>
      <c r="G41" s="68" t="s">
        <v>80</v>
      </c>
      <c r="H41" s="68" t="s">
        <v>81</v>
      </c>
      <c r="I41" s="69" t="s">
        <v>83</v>
      </c>
      <c r="J41" s="69" t="s">
        <v>84</v>
      </c>
      <c r="K41" s="69" t="s">
        <v>168</v>
      </c>
      <c r="L41" s="67" t="s">
        <v>85</v>
      </c>
      <c r="M41" s="67" t="s">
        <v>86</v>
      </c>
      <c r="N41" s="67" t="s">
        <v>87</v>
      </c>
      <c r="O41" s="67" t="s">
        <v>88</v>
      </c>
      <c r="P41" s="70" t="s">
        <v>129</v>
      </c>
    </row>
    <row r="42" spans="2:16">
      <c r="B42" s="83" t="s">
        <v>130</v>
      </c>
      <c r="C42" s="79">
        <v>429</v>
      </c>
      <c r="D42" s="72">
        <v>421</v>
      </c>
      <c r="E42" s="72">
        <v>424</v>
      </c>
      <c r="F42" s="73">
        <v>0</v>
      </c>
      <c r="G42" s="124">
        <v>91</v>
      </c>
      <c r="H42" s="124">
        <v>4</v>
      </c>
      <c r="I42" s="75">
        <v>16</v>
      </c>
      <c r="J42" s="75">
        <v>16</v>
      </c>
      <c r="K42" s="75">
        <v>15</v>
      </c>
      <c r="L42" s="92">
        <v>0</v>
      </c>
      <c r="M42" s="92">
        <v>10</v>
      </c>
      <c r="N42" s="92">
        <v>0</v>
      </c>
      <c r="O42" s="92">
        <v>1</v>
      </c>
      <c r="P42" s="94">
        <v>0</v>
      </c>
    </row>
    <row r="43" spans="2:16">
      <c r="B43" s="71" t="s">
        <v>131</v>
      </c>
      <c r="C43" s="79">
        <v>327</v>
      </c>
      <c r="D43" s="72">
        <v>324</v>
      </c>
      <c r="E43" s="72">
        <v>312</v>
      </c>
      <c r="F43" s="73">
        <v>24</v>
      </c>
      <c r="G43" s="124">
        <v>21</v>
      </c>
      <c r="H43" s="124">
        <v>0</v>
      </c>
      <c r="I43" s="75">
        <v>5</v>
      </c>
      <c r="J43" s="75">
        <v>5</v>
      </c>
      <c r="K43" s="75">
        <v>5</v>
      </c>
      <c r="L43" s="92">
        <v>1</v>
      </c>
      <c r="M43" s="92">
        <v>76</v>
      </c>
      <c r="N43" s="92">
        <v>0</v>
      </c>
      <c r="O43" s="92">
        <v>2</v>
      </c>
      <c r="P43" s="94">
        <v>0</v>
      </c>
    </row>
    <row r="44" spans="2:16" ht="22.5">
      <c r="B44" s="71" t="s">
        <v>132</v>
      </c>
      <c r="C44" s="79">
        <v>60</v>
      </c>
      <c r="D44" s="72">
        <v>55</v>
      </c>
      <c r="E44" s="72">
        <v>64</v>
      </c>
      <c r="F44" s="73">
        <v>13</v>
      </c>
      <c r="G44" s="124">
        <v>22</v>
      </c>
      <c r="H44" s="124">
        <v>0</v>
      </c>
      <c r="I44" s="75">
        <v>3</v>
      </c>
      <c r="J44" s="75">
        <v>2</v>
      </c>
      <c r="K44" s="75">
        <v>2</v>
      </c>
      <c r="L44" s="92">
        <v>0</v>
      </c>
      <c r="M44" s="92">
        <v>7</v>
      </c>
      <c r="N44" s="92">
        <v>0</v>
      </c>
      <c r="O44" s="92">
        <v>15</v>
      </c>
      <c r="P44" s="94">
        <v>1</v>
      </c>
    </row>
    <row r="45" spans="2:16">
      <c r="B45" s="83" t="s">
        <v>133</v>
      </c>
      <c r="C45" s="79">
        <v>1113</v>
      </c>
      <c r="D45" s="79">
        <v>1048</v>
      </c>
      <c r="E45" s="79">
        <v>1068</v>
      </c>
      <c r="F45" s="80">
        <v>100</v>
      </c>
      <c r="G45" s="102">
        <v>220</v>
      </c>
      <c r="H45" s="102">
        <v>17</v>
      </c>
      <c r="I45" s="75">
        <v>26</v>
      </c>
      <c r="J45" s="75">
        <v>25</v>
      </c>
      <c r="K45" s="75">
        <v>26</v>
      </c>
      <c r="L45" s="92">
        <v>1</v>
      </c>
      <c r="M45" s="92">
        <v>38</v>
      </c>
      <c r="N45" s="92">
        <v>0</v>
      </c>
      <c r="O45" s="92">
        <v>3</v>
      </c>
      <c r="P45" s="94">
        <v>0</v>
      </c>
    </row>
    <row r="46" spans="2:16">
      <c r="B46" s="83" t="s">
        <v>134</v>
      </c>
      <c r="C46" s="79">
        <v>1519</v>
      </c>
      <c r="D46" s="79">
        <v>2014</v>
      </c>
      <c r="E46" s="79">
        <v>2093</v>
      </c>
      <c r="F46" s="80">
        <v>1559</v>
      </c>
      <c r="G46" s="102">
        <v>413</v>
      </c>
      <c r="H46" s="102">
        <v>0</v>
      </c>
      <c r="I46" s="75">
        <v>17</v>
      </c>
      <c r="J46" s="75">
        <v>18</v>
      </c>
      <c r="K46" s="75">
        <v>17</v>
      </c>
      <c r="L46" s="92">
        <v>2</v>
      </c>
      <c r="M46" s="92">
        <v>6</v>
      </c>
      <c r="N46" s="92">
        <v>1</v>
      </c>
      <c r="O46" s="92">
        <v>1</v>
      </c>
      <c r="P46" s="94">
        <v>1</v>
      </c>
    </row>
    <row r="47" spans="2:16">
      <c r="B47" s="88" t="s">
        <v>135</v>
      </c>
      <c r="C47" s="79">
        <v>237</v>
      </c>
      <c r="D47" s="72">
        <v>228</v>
      </c>
      <c r="E47" s="72"/>
      <c r="F47" s="80"/>
      <c r="G47" s="102"/>
      <c r="H47" s="102">
        <v>0</v>
      </c>
      <c r="I47" s="75">
        <v>4</v>
      </c>
      <c r="J47" s="75">
        <v>4</v>
      </c>
      <c r="K47" s="75"/>
      <c r="L47" s="92"/>
      <c r="M47" s="92"/>
      <c r="N47" s="92"/>
      <c r="O47" s="92"/>
      <c r="P47" s="94"/>
    </row>
    <row r="48" spans="2:16">
      <c r="B48" s="83" t="s">
        <v>136</v>
      </c>
      <c r="C48" s="79">
        <v>2383</v>
      </c>
      <c r="D48" s="79">
        <v>2605</v>
      </c>
      <c r="E48" s="79">
        <v>2550</v>
      </c>
      <c r="F48" s="80">
        <v>59</v>
      </c>
      <c r="G48" s="102">
        <v>427</v>
      </c>
      <c r="H48" s="102">
        <v>0</v>
      </c>
      <c r="I48" s="75">
        <v>54</v>
      </c>
      <c r="J48" s="75">
        <v>54</v>
      </c>
      <c r="K48" s="75">
        <v>54</v>
      </c>
      <c r="L48" s="92">
        <v>5</v>
      </c>
      <c r="M48" s="92">
        <v>701</v>
      </c>
      <c r="N48" s="92">
        <v>1</v>
      </c>
      <c r="O48" s="92">
        <v>3</v>
      </c>
      <c r="P48" s="94">
        <v>5</v>
      </c>
    </row>
    <row r="49" spans="2:16" ht="22.5">
      <c r="B49" s="83" t="s">
        <v>137</v>
      </c>
      <c r="C49" s="79">
        <v>2474</v>
      </c>
      <c r="D49" s="79">
        <v>2424</v>
      </c>
      <c r="E49" s="79">
        <v>2327</v>
      </c>
      <c r="F49" s="80">
        <v>339</v>
      </c>
      <c r="G49" s="102">
        <v>787</v>
      </c>
      <c r="H49" s="102">
        <v>48</v>
      </c>
      <c r="I49" s="75">
        <v>35</v>
      </c>
      <c r="J49" s="75">
        <v>35</v>
      </c>
      <c r="K49" s="75">
        <v>35</v>
      </c>
      <c r="L49" s="92">
        <v>10</v>
      </c>
      <c r="M49" s="92">
        <v>11</v>
      </c>
      <c r="N49" s="92">
        <v>1</v>
      </c>
      <c r="O49" s="92">
        <v>1</v>
      </c>
      <c r="P49" s="94">
        <v>1</v>
      </c>
    </row>
    <row r="50" spans="2:16" ht="22.5">
      <c r="B50" s="88" t="s">
        <v>138</v>
      </c>
      <c r="C50" s="90">
        <v>0</v>
      </c>
      <c r="D50" s="89"/>
      <c r="E50" s="89"/>
      <c r="F50" s="89">
        <v>0</v>
      </c>
      <c r="G50" s="125">
        <v>2138</v>
      </c>
      <c r="H50" s="125">
        <v>0</v>
      </c>
      <c r="I50" s="89">
        <v>0</v>
      </c>
      <c r="J50" s="89"/>
      <c r="K50" s="89"/>
      <c r="L50" s="88">
        <v>0</v>
      </c>
      <c r="M50" s="88">
        <v>6</v>
      </c>
      <c r="N50" s="88">
        <v>0</v>
      </c>
      <c r="O50" s="88">
        <v>0</v>
      </c>
      <c r="P50" s="126">
        <v>0</v>
      </c>
    </row>
    <row r="51" spans="2:16" ht="22.5">
      <c r="B51" s="83" t="s">
        <v>139</v>
      </c>
      <c r="C51" s="79">
        <v>0</v>
      </c>
      <c r="D51" s="72">
        <v>944</v>
      </c>
      <c r="E51" s="72">
        <v>855</v>
      </c>
      <c r="F51" s="73">
        <v>436</v>
      </c>
      <c r="G51" s="124">
        <v>425</v>
      </c>
      <c r="H51" s="124">
        <v>0</v>
      </c>
      <c r="I51" s="75">
        <v>0</v>
      </c>
      <c r="J51" s="75">
        <v>14</v>
      </c>
      <c r="K51" s="75">
        <v>14</v>
      </c>
      <c r="L51" s="92">
        <v>3</v>
      </c>
      <c r="M51" s="92">
        <v>20</v>
      </c>
      <c r="N51" s="92">
        <v>0</v>
      </c>
      <c r="O51" s="92">
        <v>8</v>
      </c>
      <c r="P51" s="94">
        <v>1</v>
      </c>
    </row>
    <row r="52" spans="2:16" ht="22.5">
      <c r="B52" s="83" t="s">
        <v>140</v>
      </c>
      <c r="C52" s="79">
        <v>2089</v>
      </c>
      <c r="D52" s="79">
        <v>1929</v>
      </c>
      <c r="E52" s="79">
        <v>1741</v>
      </c>
      <c r="F52" s="80">
        <v>698</v>
      </c>
      <c r="G52" s="102">
        <v>769</v>
      </c>
      <c r="H52" s="102">
        <v>0</v>
      </c>
      <c r="I52" s="75">
        <v>19</v>
      </c>
      <c r="J52" s="75">
        <v>30</v>
      </c>
      <c r="K52" s="75">
        <v>18</v>
      </c>
      <c r="L52" s="92">
        <v>6</v>
      </c>
      <c r="M52" s="92">
        <v>8</v>
      </c>
      <c r="N52" s="92">
        <v>3</v>
      </c>
      <c r="O52" s="92">
        <v>1</v>
      </c>
      <c r="P52" s="94">
        <v>0</v>
      </c>
    </row>
    <row r="53" spans="2:16">
      <c r="B53" s="83" t="s">
        <v>141</v>
      </c>
      <c r="C53" s="79">
        <v>71</v>
      </c>
      <c r="D53" s="72">
        <v>70</v>
      </c>
      <c r="E53" s="72">
        <v>68</v>
      </c>
      <c r="F53" s="73">
        <v>15</v>
      </c>
      <c r="G53" s="124">
        <v>30</v>
      </c>
      <c r="H53" s="124">
        <v>0</v>
      </c>
      <c r="I53" s="75">
        <v>2</v>
      </c>
      <c r="J53" s="75">
        <v>2</v>
      </c>
      <c r="K53" s="75">
        <v>2</v>
      </c>
      <c r="L53" s="92">
        <v>0</v>
      </c>
      <c r="M53" s="92">
        <v>6</v>
      </c>
      <c r="N53" s="92">
        <v>0</v>
      </c>
      <c r="O53" s="92">
        <v>1</v>
      </c>
      <c r="P53" s="94">
        <v>2</v>
      </c>
    </row>
    <row r="54" spans="2:16">
      <c r="B54" s="83" t="s">
        <v>142</v>
      </c>
      <c r="C54" s="79">
        <v>1196</v>
      </c>
      <c r="D54" s="79">
        <v>1237</v>
      </c>
      <c r="E54" s="79">
        <v>1193</v>
      </c>
      <c r="F54" s="80">
        <v>322</v>
      </c>
      <c r="G54" s="102">
        <v>432</v>
      </c>
      <c r="H54" s="102">
        <v>29</v>
      </c>
      <c r="I54" s="75">
        <v>2</v>
      </c>
      <c r="J54" s="75">
        <v>2</v>
      </c>
      <c r="K54" s="75">
        <v>2</v>
      </c>
      <c r="L54" s="92">
        <v>15</v>
      </c>
      <c r="M54" s="92">
        <v>29</v>
      </c>
      <c r="N54" s="92">
        <v>6</v>
      </c>
      <c r="O54" s="92">
        <v>4</v>
      </c>
      <c r="P54" s="94">
        <v>3</v>
      </c>
    </row>
    <row r="55" spans="2:16" ht="15.75" thickBot="1">
      <c r="B55" s="127" t="s">
        <v>143</v>
      </c>
      <c r="C55" s="90">
        <v>248</v>
      </c>
      <c r="D55" s="89"/>
      <c r="E55" s="89"/>
      <c r="F55" s="125"/>
      <c r="G55" s="125"/>
      <c r="H55" s="125"/>
      <c r="I55" s="125">
        <v>1</v>
      </c>
      <c r="J55" s="89"/>
      <c r="K55" s="89"/>
      <c r="L55" s="127">
        <v>0</v>
      </c>
      <c r="M55" s="127">
        <v>0</v>
      </c>
      <c r="N55" s="127">
        <v>0</v>
      </c>
      <c r="O55" s="127">
        <v>1</v>
      </c>
      <c r="P55" s="128">
        <v>0</v>
      </c>
    </row>
    <row r="56" spans="2:16" ht="15.75" thickBot="1">
      <c r="B56" s="163" t="s">
        <v>120</v>
      </c>
      <c r="C56" s="108">
        <f t="shared" ref="C56:P56" si="1">SUM(C42:C55)</f>
        <v>12146</v>
      </c>
      <c r="D56" s="129">
        <f t="shared" si="1"/>
        <v>13299</v>
      </c>
      <c r="E56" s="129">
        <f t="shared" si="1"/>
        <v>12695</v>
      </c>
      <c r="F56" s="111">
        <f t="shared" si="1"/>
        <v>3565</v>
      </c>
      <c r="G56" s="111">
        <f t="shared" si="1"/>
        <v>5775</v>
      </c>
      <c r="H56" s="111">
        <f t="shared" si="1"/>
        <v>98</v>
      </c>
      <c r="I56" s="130">
        <f t="shared" si="1"/>
        <v>184</v>
      </c>
      <c r="J56" s="130">
        <f t="shared" si="1"/>
        <v>207</v>
      </c>
      <c r="K56" s="130">
        <f t="shared" si="1"/>
        <v>190</v>
      </c>
      <c r="L56" s="111">
        <f t="shared" si="1"/>
        <v>43</v>
      </c>
      <c r="M56" s="111">
        <f t="shared" si="1"/>
        <v>918</v>
      </c>
      <c r="N56" s="111">
        <f t="shared" si="1"/>
        <v>12</v>
      </c>
      <c r="O56" s="111">
        <f t="shared" si="1"/>
        <v>41</v>
      </c>
      <c r="P56" s="109">
        <f t="shared" si="1"/>
        <v>14</v>
      </c>
    </row>
    <row r="57" spans="2:16" ht="15.75" thickBot="1">
      <c r="B57" s="158"/>
      <c r="C57" s="132"/>
      <c r="D57" s="131"/>
      <c r="E57" s="131"/>
      <c r="F57" s="131"/>
      <c r="G57" s="131"/>
      <c r="H57" s="131"/>
      <c r="I57" s="133"/>
      <c r="J57" s="133"/>
      <c r="K57" s="133"/>
      <c r="L57" s="131"/>
      <c r="M57" s="131"/>
      <c r="N57" s="131"/>
      <c r="O57" s="131"/>
      <c r="P57" s="134"/>
    </row>
    <row r="58" spans="2:16" ht="15.75" thickBot="1">
      <c r="B58" s="185" t="s">
        <v>121</v>
      </c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</row>
    <row r="59" spans="2:16" ht="15.75" thickBot="1"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7"/>
    </row>
    <row r="60" spans="2:16" ht="15.75" thickBot="1">
      <c r="B60" s="185" t="s">
        <v>144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</row>
    <row r="61" spans="2:16">
      <c r="B61" s="171"/>
      <c r="C61" s="135"/>
      <c r="D61" s="112"/>
      <c r="E61" s="112"/>
      <c r="F61" s="112"/>
      <c r="G61" s="112"/>
      <c r="H61" s="112"/>
      <c r="I61" s="112"/>
      <c r="J61" s="112"/>
      <c r="K61" s="112"/>
      <c r="L61" s="113"/>
      <c r="M61" s="113"/>
      <c r="N61" s="113"/>
      <c r="O61" s="113"/>
      <c r="P61" s="115"/>
    </row>
    <row r="62" spans="2:16" ht="45">
      <c r="B62" s="67" t="s">
        <v>145</v>
      </c>
      <c r="C62" s="68" t="s">
        <v>77</v>
      </c>
      <c r="D62" s="68" t="s">
        <v>78</v>
      </c>
      <c r="E62" s="68" t="s">
        <v>167</v>
      </c>
      <c r="F62" s="68" t="s">
        <v>79</v>
      </c>
      <c r="G62" s="68" t="s">
        <v>80</v>
      </c>
      <c r="H62" s="68" t="s">
        <v>81</v>
      </c>
      <c r="I62" s="69" t="s">
        <v>83</v>
      </c>
      <c r="J62" s="69" t="s">
        <v>84</v>
      </c>
      <c r="K62" s="69" t="s">
        <v>168</v>
      </c>
      <c r="L62" s="67" t="s">
        <v>85</v>
      </c>
      <c r="M62" s="67" t="s">
        <v>86</v>
      </c>
      <c r="N62" s="67" t="s">
        <v>87</v>
      </c>
      <c r="O62" s="67" t="s">
        <v>88</v>
      </c>
      <c r="P62" s="70" t="s">
        <v>129</v>
      </c>
    </row>
    <row r="63" spans="2:16">
      <c r="B63" s="71" t="s">
        <v>146</v>
      </c>
      <c r="C63" s="79">
        <v>0</v>
      </c>
      <c r="D63" s="79">
        <v>3166</v>
      </c>
      <c r="E63" s="79">
        <v>3237</v>
      </c>
      <c r="F63" s="80">
        <v>1598</v>
      </c>
      <c r="G63" s="102">
        <v>2426</v>
      </c>
      <c r="H63" s="102">
        <v>400</v>
      </c>
      <c r="I63" s="75">
        <v>0</v>
      </c>
      <c r="J63" s="75">
        <v>23</v>
      </c>
      <c r="K63" s="75">
        <v>25</v>
      </c>
      <c r="L63" s="92">
        <v>0</v>
      </c>
      <c r="M63" s="92">
        <v>5</v>
      </c>
      <c r="N63" s="92">
        <v>0</v>
      </c>
      <c r="O63" s="92">
        <v>0</v>
      </c>
      <c r="P63" s="94">
        <v>1</v>
      </c>
    </row>
    <row r="64" spans="2:16">
      <c r="B64" s="71" t="s">
        <v>147</v>
      </c>
      <c r="C64" s="79">
        <v>2565</v>
      </c>
      <c r="D64" s="79">
        <v>2993</v>
      </c>
      <c r="E64" s="79">
        <v>2776</v>
      </c>
      <c r="F64" s="80">
        <v>1420</v>
      </c>
      <c r="G64" s="102">
        <v>1311</v>
      </c>
      <c r="H64" s="102">
        <v>42</v>
      </c>
      <c r="I64" s="75">
        <v>66</v>
      </c>
      <c r="J64" s="75">
        <v>62</v>
      </c>
      <c r="K64" s="75">
        <v>64</v>
      </c>
      <c r="L64" s="92">
        <v>22</v>
      </c>
      <c r="M64" s="92">
        <v>42</v>
      </c>
      <c r="N64" s="92">
        <v>5</v>
      </c>
      <c r="O64" s="92">
        <v>9</v>
      </c>
      <c r="P64" s="94">
        <v>5</v>
      </c>
    </row>
    <row r="65" spans="2:16" ht="15.75" thickBot="1">
      <c r="B65" s="100" t="s">
        <v>148</v>
      </c>
      <c r="C65" s="79">
        <v>6075</v>
      </c>
      <c r="D65" s="101">
        <v>6517</v>
      </c>
      <c r="E65" s="101">
        <v>6451</v>
      </c>
      <c r="F65" s="102">
        <v>3833</v>
      </c>
      <c r="G65" s="102">
        <v>4258</v>
      </c>
      <c r="H65" s="102">
        <v>0</v>
      </c>
      <c r="I65" s="103">
        <v>64</v>
      </c>
      <c r="J65" s="103">
        <v>64</v>
      </c>
      <c r="K65" s="103">
        <v>65</v>
      </c>
      <c r="L65" s="136">
        <v>21</v>
      </c>
      <c r="M65" s="136">
        <v>4</v>
      </c>
      <c r="N65" s="136">
        <v>1</v>
      </c>
      <c r="O65" s="136">
        <v>1</v>
      </c>
      <c r="P65" s="136">
        <v>0</v>
      </c>
    </row>
    <row r="66" spans="2:16" ht="15.75" thickBot="1">
      <c r="B66" s="163" t="s">
        <v>120</v>
      </c>
      <c r="C66" s="180">
        <f>SUM(C63:C65)</f>
        <v>8640</v>
      </c>
      <c r="D66" s="137">
        <f>SUM(D63:D65)</f>
        <v>12676</v>
      </c>
      <c r="E66" s="137">
        <f>SUM(E63:E65)</f>
        <v>12464</v>
      </c>
      <c r="F66" s="137">
        <f t="shared" ref="F66:H66" si="2">SUM(F63:F65)</f>
        <v>6851</v>
      </c>
      <c r="G66" s="137">
        <f t="shared" si="2"/>
        <v>7995</v>
      </c>
      <c r="H66" s="137">
        <f t="shared" si="2"/>
        <v>442</v>
      </c>
      <c r="I66" s="106">
        <f>SUM(I63:I65)</f>
        <v>130</v>
      </c>
      <c r="J66" s="106">
        <f>SUM(J63:J65)</f>
        <v>149</v>
      </c>
      <c r="K66" s="106">
        <f>SUM(K63:K65)</f>
        <v>154</v>
      </c>
      <c r="L66" s="111">
        <f t="shared" ref="L66:P66" si="3">SUM(L63:L65)</f>
        <v>43</v>
      </c>
      <c r="M66" s="111">
        <f t="shared" si="3"/>
        <v>51</v>
      </c>
      <c r="N66" s="111">
        <f t="shared" si="3"/>
        <v>6</v>
      </c>
      <c r="O66" s="111">
        <f t="shared" si="3"/>
        <v>10</v>
      </c>
      <c r="P66" s="109">
        <f t="shared" si="3"/>
        <v>6</v>
      </c>
    </row>
    <row r="67" spans="2:16">
      <c r="B67" s="173"/>
      <c r="C67" s="140"/>
      <c r="D67" s="140"/>
      <c r="E67" s="140"/>
      <c r="F67" s="140"/>
      <c r="G67" s="140"/>
      <c r="H67" s="140"/>
      <c r="I67" s="139"/>
      <c r="J67" s="140"/>
      <c r="K67" s="140"/>
      <c r="L67" s="139"/>
      <c r="M67" s="139"/>
      <c r="N67" s="139"/>
      <c r="O67" s="139"/>
      <c r="P67" s="141"/>
    </row>
    <row r="68" spans="2:16" ht="45">
      <c r="B68" s="67" t="s">
        <v>149</v>
      </c>
      <c r="C68" s="68" t="s">
        <v>77</v>
      </c>
      <c r="D68" s="68" t="s">
        <v>78</v>
      </c>
      <c r="E68" s="68" t="s">
        <v>167</v>
      </c>
      <c r="F68" s="68" t="s">
        <v>79</v>
      </c>
      <c r="G68" s="68" t="s">
        <v>80</v>
      </c>
      <c r="H68" s="68" t="s">
        <v>81</v>
      </c>
      <c r="I68" s="69" t="s">
        <v>83</v>
      </c>
      <c r="J68" s="69" t="s">
        <v>84</v>
      </c>
      <c r="K68" s="69" t="s">
        <v>168</v>
      </c>
      <c r="L68" s="67" t="s">
        <v>85</v>
      </c>
      <c r="M68" s="67" t="s">
        <v>86</v>
      </c>
      <c r="N68" s="67" t="s">
        <v>87</v>
      </c>
      <c r="O68" s="67" t="s">
        <v>88</v>
      </c>
      <c r="P68" s="70" t="s">
        <v>129</v>
      </c>
    </row>
    <row r="69" spans="2:16" ht="22.5">
      <c r="B69" s="83" t="s">
        <v>150</v>
      </c>
      <c r="C69" s="79">
        <v>8167</v>
      </c>
      <c r="D69" s="79">
        <v>8596</v>
      </c>
      <c r="E69" s="79">
        <v>8683</v>
      </c>
      <c r="F69" s="80">
        <v>276</v>
      </c>
      <c r="G69" s="80">
        <v>7941</v>
      </c>
      <c r="H69" s="102">
        <v>0</v>
      </c>
      <c r="I69" s="75">
        <v>53</v>
      </c>
      <c r="J69" s="75">
        <v>53</v>
      </c>
      <c r="K69" s="75">
        <v>52</v>
      </c>
      <c r="L69" s="92">
        <v>0</v>
      </c>
      <c r="M69" s="92">
        <v>0</v>
      </c>
      <c r="N69" s="92">
        <v>5</v>
      </c>
      <c r="O69" s="92">
        <v>0</v>
      </c>
      <c r="P69" s="94">
        <v>0</v>
      </c>
    </row>
    <row r="70" spans="2:16">
      <c r="B70" s="83" t="s">
        <v>151</v>
      </c>
      <c r="C70" s="79">
        <v>450</v>
      </c>
      <c r="D70" s="72">
        <v>405</v>
      </c>
      <c r="E70" s="72">
        <v>369</v>
      </c>
      <c r="F70" s="73">
        <v>101</v>
      </c>
      <c r="G70" s="124">
        <v>128</v>
      </c>
      <c r="H70" s="124">
        <v>239</v>
      </c>
      <c r="I70" s="75">
        <v>35</v>
      </c>
      <c r="J70" s="75">
        <v>36</v>
      </c>
      <c r="K70" s="75">
        <v>32</v>
      </c>
      <c r="L70" s="92">
        <v>0</v>
      </c>
      <c r="M70" s="92">
        <v>11</v>
      </c>
      <c r="N70" s="92">
        <v>5</v>
      </c>
      <c r="O70" s="92">
        <v>2</v>
      </c>
      <c r="P70" s="94">
        <v>42</v>
      </c>
    </row>
    <row r="71" spans="2:16" ht="22.5">
      <c r="B71" s="83" t="s">
        <v>152</v>
      </c>
      <c r="C71" s="79">
        <v>196</v>
      </c>
      <c r="D71" s="72">
        <v>175</v>
      </c>
      <c r="E71" s="72">
        <v>178</v>
      </c>
      <c r="F71" s="73">
        <v>0</v>
      </c>
      <c r="G71" s="124">
        <v>54</v>
      </c>
      <c r="H71" s="124">
        <v>0</v>
      </c>
      <c r="I71" s="75">
        <v>0</v>
      </c>
      <c r="J71" s="75">
        <v>0</v>
      </c>
      <c r="K71" s="75">
        <v>0</v>
      </c>
      <c r="L71" s="92">
        <v>0</v>
      </c>
      <c r="M71" s="92">
        <v>0</v>
      </c>
      <c r="N71" s="92">
        <v>0</v>
      </c>
      <c r="O71" s="92">
        <v>0</v>
      </c>
      <c r="P71" s="94">
        <v>0</v>
      </c>
    </row>
    <row r="72" spans="2:16" ht="22.5">
      <c r="B72" s="179" t="s">
        <v>153</v>
      </c>
      <c r="C72" s="79">
        <v>2390</v>
      </c>
      <c r="D72" s="79">
        <v>2398</v>
      </c>
      <c r="E72" s="79"/>
      <c r="F72" s="80">
        <v>0</v>
      </c>
      <c r="G72" s="102">
        <v>0</v>
      </c>
      <c r="H72" s="102">
        <v>0</v>
      </c>
      <c r="I72" s="75">
        <v>8</v>
      </c>
      <c r="J72" s="75">
        <v>7</v>
      </c>
      <c r="K72" s="75">
        <v>0</v>
      </c>
      <c r="L72" s="92">
        <v>0</v>
      </c>
      <c r="M72" s="92">
        <v>3</v>
      </c>
      <c r="N72" s="92">
        <v>0</v>
      </c>
      <c r="O72" s="92">
        <v>0</v>
      </c>
      <c r="P72" s="94">
        <v>0</v>
      </c>
    </row>
    <row r="73" spans="2:16">
      <c r="B73" s="83" t="s">
        <v>58</v>
      </c>
      <c r="C73" s="79">
        <v>0</v>
      </c>
      <c r="D73" s="72">
        <v>0</v>
      </c>
      <c r="E73" s="72">
        <v>0</v>
      </c>
      <c r="F73" s="73">
        <v>0</v>
      </c>
      <c r="G73" s="124">
        <v>0</v>
      </c>
      <c r="H73" s="124">
        <v>0</v>
      </c>
      <c r="I73" s="75">
        <v>275</v>
      </c>
      <c r="J73" s="75">
        <v>275</v>
      </c>
      <c r="K73" s="75">
        <v>280</v>
      </c>
      <c r="L73" s="92">
        <v>0</v>
      </c>
      <c r="M73" s="92">
        <v>0</v>
      </c>
      <c r="N73" s="92">
        <v>0</v>
      </c>
      <c r="O73" s="92">
        <v>0</v>
      </c>
      <c r="P73" s="94">
        <v>0</v>
      </c>
    </row>
    <row r="74" spans="2:16" ht="15.75" thickBot="1">
      <c r="B74" s="142" t="s">
        <v>154</v>
      </c>
      <c r="C74" s="79">
        <v>239</v>
      </c>
      <c r="D74" s="72">
        <v>344</v>
      </c>
      <c r="E74" s="72">
        <v>476</v>
      </c>
      <c r="F74" s="124">
        <v>244</v>
      </c>
      <c r="G74" s="124">
        <v>92</v>
      </c>
      <c r="H74" s="124">
        <v>476</v>
      </c>
      <c r="I74" s="103">
        <v>17</v>
      </c>
      <c r="J74" s="75">
        <v>18</v>
      </c>
      <c r="K74" s="75">
        <v>20</v>
      </c>
      <c r="L74" s="136">
        <v>0</v>
      </c>
      <c r="M74" s="136">
        <v>23</v>
      </c>
      <c r="N74" s="136">
        <v>10</v>
      </c>
      <c r="O74" s="136">
        <v>4</v>
      </c>
      <c r="P74" s="144">
        <v>38</v>
      </c>
    </row>
    <row r="75" spans="2:16" ht="15.75" thickBot="1">
      <c r="B75" s="174" t="s">
        <v>120</v>
      </c>
      <c r="C75" s="181">
        <f>SUM(C69:C74)</f>
        <v>11442</v>
      </c>
      <c r="D75" s="147">
        <f>SUM(D69:D74)</f>
        <v>11918</v>
      </c>
      <c r="E75" s="148">
        <f>SUM(E69:E74)</f>
        <v>9706</v>
      </c>
      <c r="F75" s="147">
        <f t="shared" ref="F75:H75" si="4">SUM(F69:F74)</f>
        <v>621</v>
      </c>
      <c r="G75" s="147">
        <f t="shared" si="4"/>
        <v>8215</v>
      </c>
      <c r="H75" s="147">
        <f t="shared" si="4"/>
        <v>715</v>
      </c>
      <c r="I75" s="145">
        <f>SUM(I69:I74)</f>
        <v>388</v>
      </c>
      <c r="J75" s="149">
        <f>SUM(J69:J74)</f>
        <v>389</v>
      </c>
      <c r="K75" s="149">
        <f>SUM(K69:K74)</f>
        <v>384</v>
      </c>
      <c r="L75" s="146">
        <f t="shared" ref="L75:P75" si="5">SUM(L69:L74)</f>
        <v>0</v>
      </c>
      <c r="M75" s="146">
        <f t="shared" si="5"/>
        <v>37</v>
      </c>
      <c r="N75" s="146">
        <f t="shared" si="5"/>
        <v>20</v>
      </c>
      <c r="O75" s="146">
        <f t="shared" si="5"/>
        <v>6</v>
      </c>
      <c r="P75" s="150">
        <f t="shared" si="5"/>
        <v>80</v>
      </c>
    </row>
    <row r="76" spans="2:16" ht="15.75" thickBot="1">
      <c r="B76" s="175"/>
      <c r="C76" s="151"/>
      <c r="D76" s="153"/>
      <c r="E76" s="153"/>
      <c r="F76" s="153"/>
      <c r="G76" s="153"/>
      <c r="H76" s="153"/>
      <c r="I76" s="131"/>
      <c r="J76" s="153"/>
      <c r="K76" s="153"/>
      <c r="L76" s="131"/>
      <c r="M76" s="131"/>
      <c r="N76" s="131"/>
      <c r="O76" s="131"/>
      <c r="P76" s="134"/>
    </row>
    <row r="77" spans="2:16" ht="26.25" thickBot="1">
      <c r="B77" s="154" t="s">
        <v>155</v>
      </c>
      <c r="C77" s="182">
        <f>SUM(C75,C66,C56,C34)</f>
        <v>197923</v>
      </c>
      <c r="D77" s="155">
        <f>D75+D66+D56+D34</f>
        <v>206892</v>
      </c>
      <c r="E77" s="155">
        <f>E34+E56+E66+E75</f>
        <v>206636</v>
      </c>
      <c r="F77" s="155">
        <f>F75+F66+F56+F34</f>
        <v>108528</v>
      </c>
      <c r="G77" s="155">
        <f>G75+G66+G56+G34</f>
        <v>76702</v>
      </c>
      <c r="H77" s="155">
        <f>H75+H66+H56+H34</f>
        <v>1655</v>
      </c>
      <c r="I77" s="155">
        <f>SUM(I34+I56+I66+I75)</f>
        <v>1669</v>
      </c>
      <c r="J77" s="155">
        <f>J34+J56+J66+J75</f>
        <v>1745</v>
      </c>
      <c r="K77" s="155">
        <f>K34+K56+K66+K75</f>
        <v>1672</v>
      </c>
      <c r="L77" s="155">
        <f>L75+L66+L56+L34</f>
        <v>379</v>
      </c>
      <c r="M77" s="155">
        <f>M75+M66+M56+M34</f>
        <v>23519</v>
      </c>
      <c r="N77" s="155">
        <f>N75+N66+N56+N34</f>
        <v>102</v>
      </c>
      <c r="O77" s="155">
        <f>O75+O66+O56+O34</f>
        <v>182</v>
      </c>
      <c r="P77" s="156">
        <f>P75+P66+P56+P34</f>
        <v>181</v>
      </c>
    </row>
    <row r="78" spans="2:16">
      <c r="B78" s="116"/>
      <c r="C78" s="157"/>
      <c r="D78" s="131"/>
      <c r="E78" s="131"/>
      <c r="F78" s="131"/>
      <c r="G78" s="131"/>
      <c r="H78" s="131"/>
      <c r="I78" s="131"/>
      <c r="J78" s="131"/>
      <c r="K78" s="131"/>
      <c r="L78" s="157"/>
      <c r="M78" s="157"/>
      <c r="N78" s="157"/>
      <c r="O78" s="157"/>
      <c r="P78" s="115"/>
    </row>
    <row r="79" spans="2:16" ht="15.75" thickBot="1">
      <c r="B79" s="116"/>
      <c r="C79" s="157"/>
      <c r="D79" s="131"/>
      <c r="E79" s="131"/>
      <c r="F79" s="131"/>
      <c r="G79" s="131"/>
      <c r="H79" s="131"/>
      <c r="I79" s="131"/>
      <c r="J79" s="131"/>
      <c r="K79" s="131"/>
      <c r="L79" s="157"/>
      <c r="M79" s="157"/>
      <c r="N79" s="157"/>
      <c r="O79" s="157"/>
      <c r="P79" s="115"/>
    </row>
    <row r="80" spans="2:16" ht="15.75" thickBot="1">
      <c r="B80" s="185" t="s">
        <v>156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</row>
    <row r="81" spans="2:16" ht="15.75" thickBot="1">
      <c r="B81" s="158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7"/>
    </row>
    <row r="82" spans="2:16" ht="15.75" thickBot="1">
      <c r="B82" s="185" t="s">
        <v>157</v>
      </c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</row>
    <row r="83" spans="2:16"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7"/>
    </row>
    <row r="84" spans="2:16" ht="45">
      <c r="B84" s="67" t="s">
        <v>158</v>
      </c>
      <c r="C84" s="68" t="s">
        <v>77</v>
      </c>
      <c r="D84" s="68" t="s">
        <v>78</v>
      </c>
      <c r="E84" s="68" t="s">
        <v>167</v>
      </c>
      <c r="F84" s="68" t="s">
        <v>79</v>
      </c>
      <c r="G84" s="68" t="s">
        <v>80</v>
      </c>
      <c r="H84" s="68" t="s">
        <v>81</v>
      </c>
      <c r="I84" s="69" t="s">
        <v>83</v>
      </c>
      <c r="J84" s="69" t="s">
        <v>169</v>
      </c>
      <c r="K84" s="69" t="s">
        <v>168</v>
      </c>
      <c r="L84" s="67" t="s">
        <v>85</v>
      </c>
      <c r="M84" s="67" t="s">
        <v>86</v>
      </c>
      <c r="N84" s="67" t="s">
        <v>87</v>
      </c>
      <c r="O84" s="67" t="s">
        <v>88</v>
      </c>
      <c r="P84" s="70" t="s">
        <v>129</v>
      </c>
    </row>
    <row r="85" spans="2:16">
      <c r="B85" s="83" t="s">
        <v>159</v>
      </c>
      <c r="C85" s="79">
        <v>19898</v>
      </c>
      <c r="D85" s="79">
        <v>20993</v>
      </c>
      <c r="E85" s="79">
        <v>21504</v>
      </c>
      <c r="F85" s="80">
        <v>21251</v>
      </c>
      <c r="G85" s="102">
        <v>8531</v>
      </c>
      <c r="H85" s="102"/>
      <c r="I85" s="75">
        <v>178</v>
      </c>
      <c r="J85" s="75">
        <v>180</v>
      </c>
      <c r="K85" s="75">
        <v>181</v>
      </c>
      <c r="L85" s="81">
        <v>0</v>
      </c>
      <c r="M85" s="81">
        <v>532</v>
      </c>
      <c r="N85" s="81">
        <v>0</v>
      </c>
      <c r="O85" s="81">
        <v>2</v>
      </c>
      <c r="P85" s="82">
        <v>4</v>
      </c>
    </row>
    <row r="86" spans="2:16" ht="15.75" thickBot="1">
      <c r="B86" s="142" t="s">
        <v>160</v>
      </c>
      <c r="C86" s="159">
        <v>11671</v>
      </c>
      <c r="D86" s="159">
        <v>10433</v>
      </c>
      <c r="E86" s="159">
        <v>9326</v>
      </c>
      <c r="F86" s="160">
        <v>8739</v>
      </c>
      <c r="G86" s="160">
        <v>4815</v>
      </c>
      <c r="H86" s="160">
        <v>231</v>
      </c>
      <c r="I86" s="161">
        <v>63</v>
      </c>
      <c r="J86" s="162">
        <v>59</v>
      </c>
      <c r="K86" s="162">
        <v>57</v>
      </c>
      <c r="L86" s="104">
        <v>2</v>
      </c>
      <c r="M86" s="104">
        <v>35</v>
      </c>
      <c r="N86" s="104">
        <v>0</v>
      </c>
      <c r="O86" s="104">
        <v>0</v>
      </c>
      <c r="P86" s="105">
        <v>3</v>
      </c>
    </row>
    <row r="87" spans="2:16" ht="24.75" thickBot="1">
      <c r="B87" s="163" t="s">
        <v>161</v>
      </c>
      <c r="C87" s="108">
        <f>SUM(C85:C86)</f>
        <v>31569</v>
      </c>
      <c r="D87" s="108">
        <f>SUM(D85:D86)</f>
        <v>31426</v>
      </c>
      <c r="E87" s="108">
        <f>SUM(E85:E86)</f>
        <v>30830</v>
      </c>
      <c r="F87" s="108">
        <f t="shared" ref="F87:H87" si="6">SUM(F85:F86)</f>
        <v>29990</v>
      </c>
      <c r="G87" s="108">
        <f t="shared" si="6"/>
        <v>13346</v>
      </c>
      <c r="H87" s="108">
        <f t="shared" si="6"/>
        <v>231</v>
      </c>
      <c r="I87" s="107">
        <f>SUM(I85:I86)</f>
        <v>241</v>
      </c>
      <c r="J87" s="164">
        <f>SUM(J85:J86)</f>
        <v>239</v>
      </c>
      <c r="K87" s="164">
        <f>SUM(K85:K86)</f>
        <v>238</v>
      </c>
      <c r="L87" s="111">
        <f t="shared" ref="L87:P87" si="7">SUM(L85:L86)</f>
        <v>2</v>
      </c>
      <c r="M87" s="111">
        <f t="shared" si="7"/>
        <v>567</v>
      </c>
      <c r="N87" s="111">
        <f t="shared" si="7"/>
        <v>0</v>
      </c>
      <c r="O87" s="111">
        <f t="shared" si="7"/>
        <v>2</v>
      </c>
      <c r="P87" s="109">
        <f t="shared" si="7"/>
        <v>7</v>
      </c>
    </row>
    <row r="88" spans="2:16" ht="15.75" thickBot="1">
      <c r="B88" s="116"/>
      <c r="C88" s="165"/>
      <c r="D88" s="166"/>
      <c r="E88" s="166"/>
      <c r="F88" s="166"/>
      <c r="G88" s="166"/>
      <c r="H88" s="166"/>
      <c r="I88" s="166"/>
      <c r="J88" s="166"/>
      <c r="K88" s="166"/>
      <c r="L88" s="157"/>
      <c r="M88" s="157"/>
      <c r="N88" s="157"/>
      <c r="O88" s="157"/>
      <c r="P88" s="115"/>
    </row>
    <row r="89" spans="2:16" ht="45">
      <c r="B89" s="176" t="s">
        <v>162</v>
      </c>
      <c r="C89" s="68" t="s">
        <v>170</v>
      </c>
      <c r="D89" s="68" t="s">
        <v>164</v>
      </c>
      <c r="E89" s="68" t="s">
        <v>78</v>
      </c>
      <c r="F89" s="68" t="s">
        <v>79</v>
      </c>
      <c r="G89" s="68" t="s">
        <v>80</v>
      </c>
      <c r="H89" s="68" t="s">
        <v>81</v>
      </c>
      <c r="I89" s="69" t="s">
        <v>83</v>
      </c>
      <c r="J89" s="69" t="s">
        <v>84</v>
      </c>
      <c r="K89" s="69" t="s">
        <v>168</v>
      </c>
      <c r="L89" s="67" t="s">
        <v>85</v>
      </c>
      <c r="M89" s="67" t="s">
        <v>86</v>
      </c>
      <c r="N89" s="67" t="s">
        <v>87</v>
      </c>
      <c r="O89" s="67" t="s">
        <v>88</v>
      </c>
      <c r="P89" s="70" t="s">
        <v>129</v>
      </c>
    </row>
    <row r="90" spans="2:16" ht="15.75" thickBot="1">
      <c r="B90" s="177"/>
      <c r="C90" s="168">
        <f>SUM(C87,C77)</f>
        <v>229492</v>
      </c>
      <c r="D90" s="168">
        <f>D87+D77</f>
        <v>238318</v>
      </c>
      <c r="E90" s="168">
        <f t="shared" ref="E90" si="8">E87+E77</f>
        <v>237466</v>
      </c>
      <c r="F90" s="169">
        <f t="shared" ref="F90:K90" si="9">F87+F77</f>
        <v>138518</v>
      </c>
      <c r="G90" s="167">
        <f t="shared" si="9"/>
        <v>90048</v>
      </c>
      <c r="H90" s="167">
        <f t="shared" si="9"/>
        <v>1886</v>
      </c>
      <c r="I90" s="167">
        <f>SUM(I87+I77)</f>
        <v>1910</v>
      </c>
      <c r="J90" s="167">
        <f t="shared" si="9"/>
        <v>1984</v>
      </c>
      <c r="K90" s="167">
        <f t="shared" si="9"/>
        <v>1910</v>
      </c>
      <c r="L90" s="167">
        <f t="shared" ref="L90:P90" si="10">L87+L77</f>
        <v>381</v>
      </c>
      <c r="M90" s="167">
        <f t="shared" si="10"/>
        <v>24086</v>
      </c>
      <c r="N90" s="167">
        <f t="shared" si="10"/>
        <v>102</v>
      </c>
      <c r="O90" s="167">
        <f t="shared" si="10"/>
        <v>184</v>
      </c>
      <c r="P90" s="170">
        <f t="shared" si="10"/>
        <v>188</v>
      </c>
    </row>
  </sheetData>
  <mergeCells count="6">
    <mergeCell ref="B82:P82"/>
    <mergeCell ref="B36:P36"/>
    <mergeCell ref="B38:P38"/>
    <mergeCell ref="B58:P58"/>
    <mergeCell ref="B60:P60"/>
    <mergeCell ref="B80:P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40BE-ED44-4812-8549-F6E01260F041}">
  <dimension ref="B1:AF64"/>
  <sheetViews>
    <sheetView tabSelected="1" topLeftCell="B1" workbookViewId="0">
      <selection activeCell="G68" sqref="G68"/>
    </sheetView>
  </sheetViews>
  <sheetFormatPr baseColWidth="10" defaultRowHeight="15"/>
  <cols>
    <col min="2" max="2" width="20.7109375" customWidth="1"/>
  </cols>
  <sheetData>
    <row r="1" spans="2:32" ht="15.75" thickBot="1"/>
    <row r="2" spans="2:32" ht="15.75">
      <c r="B2" s="1"/>
      <c r="C2" s="66"/>
      <c r="D2" s="195" t="s">
        <v>0</v>
      </c>
      <c r="E2" s="196"/>
      <c r="F2" s="196"/>
      <c r="G2" s="197"/>
      <c r="H2" s="2"/>
      <c r="I2" s="195" t="s">
        <v>1</v>
      </c>
      <c r="J2" s="196"/>
      <c r="K2" s="196"/>
      <c r="L2" s="196"/>
      <c r="M2" s="197"/>
      <c r="N2" s="2"/>
      <c r="O2" s="195" t="s">
        <v>2</v>
      </c>
      <c r="P2" s="196"/>
      <c r="Q2" s="196"/>
      <c r="R2" s="196"/>
      <c r="S2" s="198"/>
      <c r="T2" s="3"/>
      <c r="U2" s="199" t="s">
        <v>3</v>
      </c>
      <c r="V2" s="200"/>
      <c r="W2" s="200"/>
      <c r="X2" s="200"/>
      <c r="Y2" s="201"/>
      <c r="Z2" s="2"/>
      <c r="AA2" s="199" t="s">
        <v>4</v>
      </c>
      <c r="AB2" s="200"/>
      <c r="AC2" s="200"/>
      <c r="AD2" s="200"/>
      <c r="AE2" s="200"/>
      <c r="AF2" s="202"/>
    </row>
    <row r="3" spans="2:32" ht="90">
      <c r="B3" s="4" t="s">
        <v>5</v>
      </c>
      <c r="C3" s="5"/>
      <c r="D3" s="6" t="s">
        <v>6</v>
      </c>
      <c r="E3" s="7" t="s">
        <v>7</v>
      </c>
      <c r="F3" s="7" t="s">
        <v>8</v>
      </c>
      <c r="G3" s="7" t="s">
        <v>9</v>
      </c>
      <c r="H3" s="8"/>
      <c r="I3" s="6" t="s">
        <v>6</v>
      </c>
      <c r="J3" s="7" t="s">
        <v>7</v>
      </c>
      <c r="K3" s="7" t="s">
        <v>10</v>
      </c>
      <c r="L3" s="7" t="s">
        <v>11</v>
      </c>
      <c r="M3" s="9" t="s">
        <v>12</v>
      </c>
      <c r="N3" s="8"/>
      <c r="O3" s="6" t="s">
        <v>6</v>
      </c>
      <c r="P3" s="7" t="s">
        <v>7</v>
      </c>
      <c r="Q3" s="7" t="s">
        <v>10</v>
      </c>
      <c r="R3" s="7" t="s">
        <v>11</v>
      </c>
      <c r="S3" s="10" t="s">
        <v>12</v>
      </c>
      <c r="T3" s="11"/>
      <c r="U3" s="6" t="s">
        <v>6</v>
      </c>
      <c r="V3" s="7" t="s">
        <v>7</v>
      </c>
      <c r="W3" s="7" t="s">
        <v>10</v>
      </c>
      <c r="X3" s="7" t="s">
        <v>11</v>
      </c>
      <c r="Y3" s="9" t="s">
        <v>13</v>
      </c>
      <c r="Z3" s="8"/>
      <c r="AA3" s="6" t="s">
        <v>6</v>
      </c>
      <c r="AB3" s="7" t="s">
        <v>7</v>
      </c>
      <c r="AC3" s="7" t="s">
        <v>10</v>
      </c>
      <c r="AD3" s="7" t="s">
        <v>11</v>
      </c>
      <c r="AE3" s="7" t="s">
        <v>14</v>
      </c>
      <c r="AF3" s="10" t="s">
        <v>12</v>
      </c>
    </row>
    <row r="4" spans="2:32">
      <c r="B4" s="12" t="s">
        <v>15</v>
      </c>
      <c r="C4" s="13"/>
      <c r="D4" s="14">
        <v>15</v>
      </c>
      <c r="E4" s="15">
        <v>356</v>
      </c>
      <c r="F4" s="16"/>
      <c r="G4" s="15">
        <v>120</v>
      </c>
      <c r="H4" s="17"/>
      <c r="I4" s="18">
        <v>16</v>
      </c>
      <c r="J4" s="19">
        <v>489</v>
      </c>
      <c r="K4" s="19">
        <v>148</v>
      </c>
      <c r="L4" s="20"/>
      <c r="M4" s="21">
        <v>200</v>
      </c>
      <c r="N4" s="22"/>
      <c r="O4" s="23">
        <v>16</v>
      </c>
      <c r="P4" s="19">
        <v>429</v>
      </c>
      <c r="Q4" s="19">
        <v>118</v>
      </c>
      <c r="R4" s="19">
        <v>5</v>
      </c>
      <c r="S4" s="24">
        <v>186</v>
      </c>
      <c r="T4" s="25"/>
      <c r="U4" s="23">
        <v>16</v>
      </c>
      <c r="V4" s="19">
        <v>421</v>
      </c>
      <c r="W4" s="19">
        <v>125</v>
      </c>
      <c r="X4" s="19">
        <v>4</v>
      </c>
      <c r="Y4" s="21">
        <v>171</v>
      </c>
      <c r="Z4" s="22"/>
      <c r="AA4" s="23">
        <v>15</v>
      </c>
      <c r="AB4" s="19">
        <v>424</v>
      </c>
      <c r="AC4" s="19">
        <v>91</v>
      </c>
      <c r="AD4" s="19">
        <v>4</v>
      </c>
      <c r="AE4" s="19">
        <v>141</v>
      </c>
      <c r="AF4" s="26"/>
    </row>
    <row r="5" spans="2:32">
      <c r="B5" s="12" t="s">
        <v>16</v>
      </c>
      <c r="C5" s="13"/>
      <c r="D5" s="14">
        <v>32</v>
      </c>
      <c r="E5" s="15">
        <v>5575</v>
      </c>
      <c r="F5" s="15">
        <v>2345</v>
      </c>
      <c r="G5" s="15">
        <v>1259</v>
      </c>
      <c r="H5" s="17"/>
      <c r="I5" s="18">
        <v>35</v>
      </c>
      <c r="J5" s="19">
        <v>5719</v>
      </c>
      <c r="K5" s="19">
        <v>2754</v>
      </c>
      <c r="L5" s="19">
        <v>23</v>
      </c>
      <c r="M5" s="21">
        <v>3481</v>
      </c>
      <c r="N5" s="22"/>
      <c r="O5" s="23">
        <v>35</v>
      </c>
      <c r="P5" s="19">
        <v>5716</v>
      </c>
      <c r="Q5" s="19">
        <v>2802</v>
      </c>
      <c r="R5" s="19">
        <v>24</v>
      </c>
      <c r="S5" s="24">
        <v>3355</v>
      </c>
      <c r="T5" s="25"/>
      <c r="U5" s="23">
        <v>40</v>
      </c>
      <c r="V5" s="19">
        <v>5971</v>
      </c>
      <c r="W5" s="19">
        <v>2925</v>
      </c>
      <c r="X5" s="19">
        <v>27</v>
      </c>
      <c r="Y5" s="21">
        <v>3524</v>
      </c>
      <c r="Z5" s="22"/>
      <c r="AA5" s="23">
        <v>41</v>
      </c>
      <c r="AB5" s="19">
        <v>6271</v>
      </c>
      <c r="AC5" s="19">
        <v>3082</v>
      </c>
      <c r="AD5" s="19">
        <v>29</v>
      </c>
      <c r="AE5" s="19">
        <v>2163</v>
      </c>
      <c r="AF5" s="24">
        <v>3722</v>
      </c>
    </row>
    <row r="6" spans="2:32">
      <c r="B6" s="12" t="s">
        <v>17</v>
      </c>
      <c r="C6" s="13"/>
      <c r="D6" s="14">
        <v>7</v>
      </c>
      <c r="E6" s="15">
        <v>620</v>
      </c>
      <c r="F6" s="15">
        <v>8</v>
      </c>
      <c r="G6" s="15">
        <v>123</v>
      </c>
      <c r="H6" s="17"/>
      <c r="I6" s="18">
        <v>7</v>
      </c>
      <c r="J6" s="19">
        <v>600</v>
      </c>
      <c r="K6" s="19">
        <v>260</v>
      </c>
      <c r="L6" s="19">
        <v>25</v>
      </c>
      <c r="M6" s="21">
        <v>131</v>
      </c>
      <c r="N6" s="22"/>
      <c r="O6" s="23">
        <v>7</v>
      </c>
      <c r="P6" s="19">
        <v>640</v>
      </c>
      <c r="Q6" s="19">
        <v>263</v>
      </c>
      <c r="R6" s="19">
        <v>30</v>
      </c>
      <c r="S6" s="24">
        <v>135</v>
      </c>
      <c r="T6" s="25"/>
      <c r="U6" s="23">
        <v>7</v>
      </c>
      <c r="V6" s="19">
        <v>650</v>
      </c>
      <c r="W6" s="19">
        <v>300</v>
      </c>
      <c r="X6" s="20"/>
      <c r="Y6" s="21">
        <v>160</v>
      </c>
      <c r="Z6" s="22"/>
      <c r="AA6" s="23">
        <v>7</v>
      </c>
      <c r="AB6" s="19">
        <v>650</v>
      </c>
      <c r="AC6" s="19">
        <v>300</v>
      </c>
      <c r="AD6" s="20"/>
      <c r="AE6" s="19">
        <v>102</v>
      </c>
      <c r="AF6" s="24">
        <v>120</v>
      </c>
    </row>
    <row r="7" spans="2:32">
      <c r="B7" s="12" t="s">
        <v>18</v>
      </c>
      <c r="C7" s="13"/>
      <c r="D7" s="14">
        <v>27</v>
      </c>
      <c r="E7" s="15">
        <v>3140</v>
      </c>
      <c r="F7" s="15">
        <v>281</v>
      </c>
      <c r="G7" s="15">
        <v>963</v>
      </c>
      <c r="H7" s="17"/>
      <c r="I7" s="18">
        <v>29</v>
      </c>
      <c r="J7" s="19">
        <v>3458</v>
      </c>
      <c r="K7" s="19">
        <v>1264</v>
      </c>
      <c r="L7" s="20"/>
      <c r="M7" s="21">
        <v>1243</v>
      </c>
      <c r="N7" s="22"/>
      <c r="O7" s="23">
        <v>29</v>
      </c>
      <c r="P7" s="19">
        <v>3705</v>
      </c>
      <c r="Q7" s="19">
        <v>1346</v>
      </c>
      <c r="R7" s="19">
        <v>10</v>
      </c>
      <c r="S7" s="24">
        <v>1316</v>
      </c>
      <c r="T7" s="25"/>
      <c r="U7" s="23">
        <v>29</v>
      </c>
      <c r="V7" s="19">
        <v>4574</v>
      </c>
      <c r="W7" s="19">
        <v>1619</v>
      </c>
      <c r="X7" s="19">
        <v>15</v>
      </c>
      <c r="Y7" s="21">
        <v>1569</v>
      </c>
      <c r="Z7" s="22"/>
      <c r="AA7" s="23">
        <v>29</v>
      </c>
      <c r="AB7" s="19">
        <v>4823</v>
      </c>
      <c r="AC7" s="19">
        <v>1692</v>
      </c>
      <c r="AD7" s="19">
        <v>13</v>
      </c>
      <c r="AE7" s="19">
        <v>999</v>
      </c>
      <c r="AF7" s="24">
        <v>1742</v>
      </c>
    </row>
    <row r="8" spans="2:32" ht="51" customHeight="1">
      <c r="B8" s="12" t="s">
        <v>19</v>
      </c>
      <c r="C8" s="13"/>
      <c r="D8" s="14">
        <v>12</v>
      </c>
      <c r="E8" s="15">
        <v>689</v>
      </c>
      <c r="F8" s="15">
        <v>128</v>
      </c>
      <c r="G8" s="15">
        <v>194</v>
      </c>
      <c r="H8" s="17"/>
      <c r="I8" s="20"/>
      <c r="J8" s="20"/>
      <c r="K8" s="20"/>
      <c r="L8" s="20"/>
      <c r="M8" s="27"/>
      <c r="N8" s="22"/>
      <c r="O8" s="23">
        <v>7</v>
      </c>
      <c r="P8" s="19">
        <v>359</v>
      </c>
      <c r="Q8" s="19">
        <v>90</v>
      </c>
      <c r="R8" s="19">
        <v>0</v>
      </c>
      <c r="S8" s="24">
        <v>130</v>
      </c>
      <c r="T8" s="25"/>
      <c r="U8" s="20"/>
      <c r="V8" s="20"/>
      <c r="W8" s="20"/>
      <c r="X8" s="20"/>
      <c r="Y8" s="27"/>
      <c r="Z8" s="22"/>
      <c r="AA8" s="23"/>
      <c r="AB8" s="19"/>
      <c r="AC8" s="19"/>
      <c r="AD8" s="19"/>
      <c r="AE8" s="19"/>
      <c r="AF8" s="24"/>
    </row>
    <row r="9" spans="2:32">
      <c r="B9" s="12" t="s">
        <v>20</v>
      </c>
      <c r="C9" s="13"/>
      <c r="D9" s="14">
        <v>39</v>
      </c>
      <c r="E9" s="15">
        <v>8060</v>
      </c>
      <c r="F9" s="15">
        <v>1873</v>
      </c>
      <c r="G9" s="15">
        <v>4335</v>
      </c>
      <c r="H9" s="17"/>
      <c r="I9" s="18">
        <v>40</v>
      </c>
      <c r="J9" s="19">
        <v>9828</v>
      </c>
      <c r="K9" s="19">
        <v>2802</v>
      </c>
      <c r="L9" s="19">
        <v>5</v>
      </c>
      <c r="M9" s="21">
        <v>7517</v>
      </c>
      <c r="N9" s="22"/>
      <c r="O9" s="23">
        <v>40</v>
      </c>
      <c r="P9" s="19">
        <v>9890</v>
      </c>
      <c r="Q9" s="19">
        <v>2786</v>
      </c>
      <c r="R9" s="20"/>
      <c r="S9" s="24">
        <v>7438</v>
      </c>
      <c r="T9" s="25"/>
      <c r="U9" s="23">
        <v>42</v>
      </c>
      <c r="V9" s="19">
        <v>10309</v>
      </c>
      <c r="W9" s="19">
        <v>2909</v>
      </c>
      <c r="X9" s="20"/>
      <c r="Y9" s="21">
        <v>7654</v>
      </c>
      <c r="Z9" s="22"/>
      <c r="AA9" s="23">
        <v>41</v>
      </c>
      <c r="AB9" s="19">
        <v>10024</v>
      </c>
      <c r="AC9" s="19">
        <v>2145</v>
      </c>
      <c r="AD9" s="19"/>
      <c r="AE9" s="19">
        <v>3411</v>
      </c>
      <c r="AF9" s="24">
        <v>7195</v>
      </c>
    </row>
    <row r="10" spans="2:32">
      <c r="B10" s="12" t="s">
        <v>21</v>
      </c>
      <c r="C10" s="13"/>
      <c r="D10" s="14">
        <v>6</v>
      </c>
      <c r="E10" s="15">
        <v>277</v>
      </c>
      <c r="F10" s="15">
        <v>0</v>
      </c>
      <c r="G10" s="15">
        <v>41</v>
      </c>
      <c r="H10" s="17"/>
      <c r="I10" s="18">
        <v>5</v>
      </c>
      <c r="J10" s="19">
        <v>301</v>
      </c>
      <c r="K10" s="19">
        <v>29</v>
      </c>
      <c r="L10" s="20"/>
      <c r="M10" s="21">
        <v>32</v>
      </c>
      <c r="N10" s="22"/>
      <c r="O10" s="23">
        <v>5</v>
      </c>
      <c r="P10" s="19">
        <v>327</v>
      </c>
      <c r="Q10" s="19">
        <v>30</v>
      </c>
      <c r="R10" s="20"/>
      <c r="S10" s="24">
        <v>37</v>
      </c>
      <c r="T10" s="25"/>
      <c r="U10" s="23">
        <v>5</v>
      </c>
      <c r="V10" s="19">
        <v>324</v>
      </c>
      <c r="W10" s="19">
        <v>27</v>
      </c>
      <c r="X10" s="20"/>
      <c r="Y10" s="21">
        <v>36</v>
      </c>
      <c r="Z10" s="22"/>
      <c r="AA10" s="23">
        <v>5</v>
      </c>
      <c r="AB10" s="19">
        <v>312</v>
      </c>
      <c r="AC10" s="19">
        <v>21</v>
      </c>
      <c r="AD10" s="20"/>
      <c r="AE10" s="19">
        <v>15</v>
      </c>
      <c r="AF10" s="24">
        <v>24</v>
      </c>
    </row>
    <row r="11" spans="2:32">
      <c r="B11" s="12" t="s">
        <v>22</v>
      </c>
      <c r="C11" s="13"/>
      <c r="D11" s="14">
        <v>15</v>
      </c>
      <c r="E11" s="15">
        <v>299</v>
      </c>
      <c r="F11" s="15">
        <v>6</v>
      </c>
      <c r="G11" s="15">
        <v>75</v>
      </c>
      <c r="H11" s="17"/>
      <c r="I11" s="18">
        <v>18</v>
      </c>
      <c r="J11" s="19">
        <v>795</v>
      </c>
      <c r="K11" s="19">
        <v>213</v>
      </c>
      <c r="L11" s="19">
        <v>0</v>
      </c>
      <c r="M11" s="21">
        <v>415</v>
      </c>
      <c r="N11" s="22"/>
      <c r="O11" s="23">
        <v>18</v>
      </c>
      <c r="P11" s="19">
        <v>808</v>
      </c>
      <c r="Q11" s="19">
        <v>180</v>
      </c>
      <c r="R11" s="20"/>
      <c r="S11" s="26"/>
      <c r="T11" s="25"/>
      <c r="U11" s="23">
        <v>20</v>
      </c>
      <c r="V11" s="19">
        <v>876</v>
      </c>
      <c r="W11" s="19">
        <v>236</v>
      </c>
      <c r="X11" s="20"/>
      <c r="Y11" s="21">
        <v>496</v>
      </c>
      <c r="Z11" s="22"/>
      <c r="AA11" s="23">
        <v>21</v>
      </c>
      <c r="AB11" s="19">
        <v>851</v>
      </c>
      <c r="AC11" s="19">
        <v>217</v>
      </c>
      <c r="AD11" s="20"/>
      <c r="AE11" s="20"/>
      <c r="AF11" s="24">
        <v>474</v>
      </c>
    </row>
    <row r="12" spans="2:32" ht="30">
      <c r="B12" s="12" t="s">
        <v>23</v>
      </c>
      <c r="C12" s="13"/>
      <c r="D12" s="14">
        <v>3</v>
      </c>
      <c r="E12" s="15">
        <v>50</v>
      </c>
      <c r="F12" s="15">
        <v>3</v>
      </c>
      <c r="G12" s="15">
        <v>3</v>
      </c>
      <c r="H12" s="17"/>
      <c r="I12" s="18">
        <v>3</v>
      </c>
      <c r="J12" s="19">
        <v>55</v>
      </c>
      <c r="K12" s="19">
        <v>12</v>
      </c>
      <c r="L12" s="19">
        <v>0</v>
      </c>
      <c r="M12" s="21">
        <v>10</v>
      </c>
      <c r="N12" s="22"/>
      <c r="O12" s="23">
        <v>3</v>
      </c>
      <c r="P12" s="19">
        <v>60</v>
      </c>
      <c r="Q12" s="19">
        <v>14</v>
      </c>
      <c r="R12" s="19">
        <v>0</v>
      </c>
      <c r="S12" s="24">
        <v>10</v>
      </c>
      <c r="T12" s="25"/>
      <c r="U12" s="23">
        <v>2</v>
      </c>
      <c r="V12" s="19">
        <v>55</v>
      </c>
      <c r="W12" s="19">
        <v>12</v>
      </c>
      <c r="X12" s="19">
        <v>0</v>
      </c>
      <c r="Y12" s="21">
        <v>10</v>
      </c>
      <c r="Z12" s="22"/>
      <c r="AA12" s="23">
        <v>2</v>
      </c>
      <c r="AB12" s="19">
        <v>64</v>
      </c>
      <c r="AC12" s="19">
        <v>22</v>
      </c>
      <c r="AD12" s="19">
        <v>0</v>
      </c>
      <c r="AE12" s="19">
        <v>20</v>
      </c>
      <c r="AF12" s="24">
        <v>13</v>
      </c>
    </row>
    <row r="13" spans="2:32">
      <c r="B13" s="12" t="s">
        <v>24</v>
      </c>
      <c r="C13" s="13"/>
      <c r="D13" s="14">
        <v>6</v>
      </c>
      <c r="E13" s="15">
        <v>953</v>
      </c>
      <c r="F13" s="15">
        <v>200</v>
      </c>
      <c r="G13" s="15">
        <v>300</v>
      </c>
      <c r="H13" s="17"/>
      <c r="I13" s="18">
        <v>21</v>
      </c>
      <c r="J13" s="19">
        <v>1043</v>
      </c>
      <c r="K13" s="19">
        <v>78</v>
      </c>
      <c r="L13" s="19">
        <v>5</v>
      </c>
      <c r="M13" s="21">
        <v>515</v>
      </c>
      <c r="N13" s="22"/>
      <c r="O13" s="23">
        <v>21</v>
      </c>
      <c r="P13" s="19">
        <v>991</v>
      </c>
      <c r="Q13" s="19">
        <v>98</v>
      </c>
      <c r="R13" s="19">
        <v>5</v>
      </c>
      <c r="S13" s="24">
        <v>473</v>
      </c>
      <c r="T13" s="25"/>
      <c r="U13" s="23">
        <v>21</v>
      </c>
      <c r="V13" s="19">
        <v>1070</v>
      </c>
      <c r="W13" s="19">
        <v>106</v>
      </c>
      <c r="X13" s="19">
        <v>6</v>
      </c>
      <c r="Y13" s="21">
        <v>514</v>
      </c>
      <c r="Z13" s="22"/>
      <c r="AA13" s="23">
        <v>21</v>
      </c>
      <c r="AB13" s="19">
        <v>1100</v>
      </c>
      <c r="AC13" s="19">
        <v>114</v>
      </c>
      <c r="AD13" s="19">
        <v>8</v>
      </c>
      <c r="AE13" s="19">
        <v>170</v>
      </c>
      <c r="AF13" s="24">
        <v>520</v>
      </c>
    </row>
    <row r="14" spans="2:32">
      <c r="B14" s="12" t="s">
        <v>25</v>
      </c>
      <c r="C14" s="13"/>
      <c r="D14" s="14">
        <v>27</v>
      </c>
      <c r="E14" s="15">
        <v>1052</v>
      </c>
      <c r="F14" s="15">
        <v>43</v>
      </c>
      <c r="G14" s="15">
        <v>102</v>
      </c>
      <c r="H14" s="17"/>
      <c r="I14" s="18">
        <v>28</v>
      </c>
      <c r="J14" s="19">
        <v>1055</v>
      </c>
      <c r="K14" s="19">
        <v>211</v>
      </c>
      <c r="L14" s="19">
        <v>25</v>
      </c>
      <c r="M14" s="21">
        <v>112</v>
      </c>
      <c r="N14" s="22"/>
      <c r="O14" s="23">
        <v>28</v>
      </c>
      <c r="P14" s="19">
        <v>1113</v>
      </c>
      <c r="Q14" s="19">
        <v>234</v>
      </c>
      <c r="R14" s="19">
        <v>9</v>
      </c>
      <c r="S14" s="24">
        <v>115</v>
      </c>
      <c r="T14" s="25"/>
      <c r="U14" s="23">
        <v>25</v>
      </c>
      <c r="V14" s="19">
        <v>1048</v>
      </c>
      <c r="W14" s="19">
        <v>212</v>
      </c>
      <c r="X14" s="19">
        <v>9</v>
      </c>
      <c r="Y14" s="21">
        <v>114</v>
      </c>
      <c r="Z14" s="22"/>
      <c r="AA14" s="23">
        <v>26</v>
      </c>
      <c r="AB14" s="19">
        <v>1068</v>
      </c>
      <c r="AC14" s="19">
        <v>220</v>
      </c>
      <c r="AD14" s="19">
        <v>17</v>
      </c>
      <c r="AE14" s="19">
        <v>60</v>
      </c>
      <c r="AF14" s="24">
        <v>100</v>
      </c>
    </row>
    <row r="15" spans="2:32">
      <c r="B15" s="12" t="s">
        <v>26</v>
      </c>
      <c r="C15" s="13"/>
      <c r="D15" s="28"/>
      <c r="E15" s="16"/>
      <c r="F15" s="16"/>
      <c r="G15" s="16"/>
      <c r="H15" s="17"/>
      <c r="I15" s="20"/>
      <c r="J15" s="20"/>
      <c r="K15" s="20"/>
      <c r="L15" s="20"/>
      <c r="M15" s="27"/>
      <c r="N15" s="22"/>
      <c r="O15" s="20"/>
      <c r="P15" s="20"/>
      <c r="Q15" s="20"/>
      <c r="R15" s="20"/>
      <c r="S15" s="26"/>
      <c r="T15" s="25"/>
      <c r="U15" s="20"/>
      <c r="V15" s="20"/>
      <c r="W15" s="20"/>
      <c r="X15" s="20"/>
      <c r="Y15" s="27"/>
      <c r="Z15" s="22"/>
      <c r="AA15" s="23"/>
      <c r="AB15" s="19"/>
      <c r="AC15" s="19"/>
      <c r="AD15" s="19"/>
      <c r="AE15" s="19"/>
      <c r="AF15" s="24"/>
    </row>
    <row r="16" spans="2:32" ht="62.45" customHeight="1">
      <c r="B16" s="12" t="s">
        <v>27</v>
      </c>
      <c r="C16" s="13"/>
      <c r="D16" s="28"/>
      <c r="E16" s="16"/>
      <c r="F16" s="16"/>
      <c r="G16" s="16"/>
      <c r="H16" s="17"/>
      <c r="I16" s="18">
        <v>31</v>
      </c>
      <c r="J16" s="19">
        <v>2052</v>
      </c>
      <c r="K16" s="19">
        <v>1820</v>
      </c>
      <c r="L16" s="20"/>
      <c r="M16" s="21">
        <v>969</v>
      </c>
      <c r="N16" s="22"/>
      <c r="O16" s="23">
        <v>31</v>
      </c>
      <c r="P16" s="20"/>
      <c r="Q16" s="20"/>
      <c r="R16" s="20"/>
      <c r="S16" s="26"/>
      <c r="T16" s="25"/>
      <c r="U16" s="23">
        <v>36</v>
      </c>
      <c r="V16" s="19">
        <v>2118</v>
      </c>
      <c r="W16" s="19">
        <v>1846</v>
      </c>
      <c r="X16" s="20"/>
      <c r="Y16" s="21">
        <v>925</v>
      </c>
      <c r="Z16" s="22"/>
      <c r="AA16" s="23">
        <v>35</v>
      </c>
      <c r="AB16" s="19">
        <v>2207</v>
      </c>
      <c r="AC16" s="19">
        <v>1952</v>
      </c>
      <c r="AD16" s="20"/>
      <c r="AE16" s="19">
        <v>896</v>
      </c>
      <c r="AF16" s="24">
        <v>390</v>
      </c>
    </row>
    <row r="17" spans="2:32">
      <c r="B17" s="12" t="s">
        <v>28</v>
      </c>
      <c r="C17" s="13"/>
      <c r="D17" s="14">
        <v>16</v>
      </c>
      <c r="E17" s="15">
        <v>1032</v>
      </c>
      <c r="F17" s="15">
        <v>377</v>
      </c>
      <c r="G17" s="15">
        <v>274</v>
      </c>
      <c r="H17" s="17"/>
      <c r="I17" s="18">
        <v>18</v>
      </c>
      <c r="J17" s="19">
        <v>1315</v>
      </c>
      <c r="K17" s="19">
        <v>221</v>
      </c>
      <c r="L17" s="20"/>
      <c r="M17" s="21">
        <v>901</v>
      </c>
      <c r="N17" s="22"/>
      <c r="O17" s="23">
        <v>18</v>
      </c>
      <c r="P17" s="19">
        <v>1519</v>
      </c>
      <c r="Q17" s="19">
        <v>266</v>
      </c>
      <c r="R17" s="20"/>
      <c r="S17" s="24">
        <v>1053</v>
      </c>
      <c r="T17" s="25"/>
      <c r="U17" s="23">
        <v>18</v>
      </c>
      <c r="V17" s="19">
        <v>2014</v>
      </c>
      <c r="W17" s="19">
        <v>402</v>
      </c>
      <c r="X17" s="20"/>
      <c r="Y17" s="21">
        <v>1464</v>
      </c>
      <c r="Z17" s="22"/>
      <c r="AA17" s="23">
        <v>17</v>
      </c>
      <c r="AB17" s="19">
        <v>2093</v>
      </c>
      <c r="AC17" s="19">
        <v>413</v>
      </c>
      <c r="AD17" s="20"/>
      <c r="AE17" s="19">
        <v>761</v>
      </c>
      <c r="AF17" s="24">
        <v>1559</v>
      </c>
    </row>
    <row r="18" spans="2:32">
      <c r="B18" s="12" t="s">
        <v>29</v>
      </c>
      <c r="C18" s="13"/>
      <c r="D18" s="14">
        <v>83</v>
      </c>
      <c r="E18" s="15">
        <v>9232</v>
      </c>
      <c r="F18" s="15">
        <v>2341</v>
      </c>
      <c r="G18" s="15">
        <v>3736</v>
      </c>
      <c r="H18" s="17"/>
      <c r="I18" s="18">
        <v>83</v>
      </c>
      <c r="J18" s="19">
        <v>9306</v>
      </c>
      <c r="K18" s="19">
        <v>7941</v>
      </c>
      <c r="L18" s="20"/>
      <c r="M18" s="21">
        <v>5734</v>
      </c>
      <c r="N18" s="22"/>
      <c r="O18" s="23">
        <v>83</v>
      </c>
      <c r="P18" s="19">
        <v>8803</v>
      </c>
      <c r="Q18" s="19">
        <v>7635</v>
      </c>
      <c r="R18" s="20"/>
      <c r="S18" s="24">
        <v>3538</v>
      </c>
      <c r="T18" s="25"/>
      <c r="U18" s="23">
        <v>80</v>
      </c>
      <c r="V18" s="19">
        <v>8373</v>
      </c>
      <c r="W18" s="19">
        <v>7240</v>
      </c>
      <c r="X18" s="20"/>
      <c r="Y18" s="21">
        <v>4962</v>
      </c>
      <c r="Z18" s="22"/>
      <c r="AA18" s="23">
        <v>80</v>
      </c>
      <c r="AB18" s="19">
        <v>7812</v>
      </c>
      <c r="AC18" s="19">
        <v>6764</v>
      </c>
      <c r="AD18" s="20"/>
      <c r="AE18" s="19">
        <v>2294</v>
      </c>
      <c r="AF18" s="24">
        <v>4483</v>
      </c>
    </row>
    <row r="19" spans="2:32">
      <c r="B19" s="12" t="s">
        <v>30</v>
      </c>
      <c r="C19" s="13"/>
      <c r="D19" s="14">
        <v>16</v>
      </c>
      <c r="E19" s="15">
        <v>1177</v>
      </c>
      <c r="F19" s="15">
        <v>308</v>
      </c>
      <c r="G19" s="15">
        <v>457</v>
      </c>
      <c r="H19" s="17"/>
      <c r="I19" s="18">
        <v>16</v>
      </c>
      <c r="J19" s="19">
        <v>1198</v>
      </c>
      <c r="K19" s="19">
        <v>354</v>
      </c>
      <c r="L19" s="19">
        <v>4</v>
      </c>
      <c r="M19" s="21">
        <v>768</v>
      </c>
      <c r="N19" s="22"/>
      <c r="O19" s="23">
        <v>16</v>
      </c>
      <c r="P19" s="19">
        <v>1269</v>
      </c>
      <c r="Q19" s="19">
        <v>448</v>
      </c>
      <c r="R19" s="19">
        <v>6</v>
      </c>
      <c r="S19" s="24">
        <v>682</v>
      </c>
      <c r="T19" s="25"/>
      <c r="U19" s="23">
        <v>16</v>
      </c>
      <c r="V19" s="19">
        <v>1504</v>
      </c>
      <c r="W19" s="19">
        <v>555</v>
      </c>
      <c r="X19" s="20"/>
      <c r="Y19" s="21">
        <v>988</v>
      </c>
      <c r="Z19" s="22"/>
      <c r="AA19" s="23">
        <v>13</v>
      </c>
      <c r="AB19" s="19">
        <v>1504</v>
      </c>
      <c r="AC19" s="19">
        <v>555</v>
      </c>
      <c r="AD19" s="20"/>
      <c r="AE19" s="19">
        <v>450</v>
      </c>
      <c r="AF19" s="24">
        <v>988</v>
      </c>
    </row>
    <row r="20" spans="2:32">
      <c r="B20" s="12" t="s">
        <v>31</v>
      </c>
      <c r="C20" s="13"/>
      <c r="D20" s="14">
        <v>4</v>
      </c>
      <c r="E20" s="15">
        <v>229</v>
      </c>
      <c r="F20" s="15">
        <v>28</v>
      </c>
      <c r="G20" s="15">
        <v>103</v>
      </c>
      <c r="H20" s="17"/>
      <c r="I20" s="18">
        <v>4</v>
      </c>
      <c r="J20" s="19">
        <v>206</v>
      </c>
      <c r="K20" s="19">
        <v>49</v>
      </c>
      <c r="L20" s="19">
        <v>0</v>
      </c>
      <c r="M20" s="21">
        <v>106</v>
      </c>
      <c r="N20" s="22"/>
      <c r="O20" s="23">
        <v>4</v>
      </c>
      <c r="P20" s="19">
        <v>237</v>
      </c>
      <c r="Q20" s="19">
        <v>54</v>
      </c>
      <c r="R20" s="19">
        <v>0</v>
      </c>
      <c r="S20" s="24">
        <v>112</v>
      </c>
      <c r="T20" s="25"/>
      <c r="U20" s="23">
        <v>4</v>
      </c>
      <c r="V20" s="19">
        <v>228</v>
      </c>
      <c r="W20" s="19">
        <v>60</v>
      </c>
      <c r="X20" s="19">
        <v>0</v>
      </c>
      <c r="Y20" s="21">
        <v>121</v>
      </c>
      <c r="Z20" s="22"/>
      <c r="AA20" s="23"/>
      <c r="AB20" s="19"/>
      <c r="AC20" s="19"/>
      <c r="AD20" s="19"/>
      <c r="AE20" s="19"/>
      <c r="AF20" s="24"/>
    </row>
    <row r="21" spans="2:32">
      <c r="B21" s="12" t="s">
        <v>32</v>
      </c>
      <c r="C21" s="13"/>
      <c r="D21" s="14">
        <v>115</v>
      </c>
      <c r="E21" s="15">
        <v>32321</v>
      </c>
      <c r="F21" s="15">
        <v>9782</v>
      </c>
      <c r="G21" s="15">
        <v>10085</v>
      </c>
      <c r="H21" s="17"/>
      <c r="I21" s="18">
        <v>114</v>
      </c>
      <c r="J21" s="19">
        <v>40421</v>
      </c>
      <c r="K21" s="19">
        <v>3458</v>
      </c>
      <c r="L21" s="19">
        <v>0</v>
      </c>
      <c r="M21" s="21">
        <v>25814</v>
      </c>
      <c r="N21" s="22"/>
      <c r="O21" s="23">
        <v>114</v>
      </c>
      <c r="P21" s="19">
        <v>43309</v>
      </c>
      <c r="Q21" s="19">
        <v>3743</v>
      </c>
      <c r="R21" s="19">
        <v>0</v>
      </c>
      <c r="S21" s="24">
        <v>28457</v>
      </c>
      <c r="T21" s="25"/>
      <c r="U21" s="23">
        <v>114</v>
      </c>
      <c r="V21" s="19">
        <v>42331</v>
      </c>
      <c r="W21" s="19">
        <v>3449</v>
      </c>
      <c r="X21" s="19">
        <v>0</v>
      </c>
      <c r="Y21" s="21">
        <v>27653</v>
      </c>
      <c r="Z21" s="22"/>
      <c r="AA21" s="23">
        <v>115</v>
      </c>
      <c r="AB21" s="19">
        <v>42502</v>
      </c>
      <c r="AC21" s="19">
        <v>3495</v>
      </c>
      <c r="AD21" s="19">
        <v>0</v>
      </c>
      <c r="AE21" s="19">
        <v>10345</v>
      </c>
      <c r="AF21" s="24">
        <v>27118</v>
      </c>
    </row>
    <row r="22" spans="2:32" ht="37.15" customHeight="1">
      <c r="B22" s="12" t="s">
        <v>33</v>
      </c>
      <c r="C22" s="13"/>
      <c r="D22" s="29">
        <v>4</v>
      </c>
      <c r="E22" s="15">
        <v>355</v>
      </c>
      <c r="F22" s="15">
        <v>0</v>
      </c>
      <c r="G22" s="15">
        <v>56</v>
      </c>
      <c r="H22" s="17"/>
      <c r="I22" s="20"/>
      <c r="J22" s="20"/>
      <c r="K22" s="20"/>
      <c r="L22" s="20"/>
      <c r="M22" s="27"/>
      <c r="N22" s="22"/>
      <c r="O22" s="20"/>
      <c r="P22" s="20"/>
      <c r="Q22" s="20"/>
      <c r="R22" s="20"/>
      <c r="S22" s="26"/>
      <c r="T22" s="25"/>
      <c r="U22" s="20"/>
      <c r="V22" s="20"/>
      <c r="W22" s="20"/>
      <c r="X22" s="20"/>
      <c r="Y22" s="27"/>
      <c r="Z22" s="22"/>
      <c r="AA22" s="23"/>
      <c r="AB22" s="19"/>
      <c r="AC22" s="19"/>
      <c r="AD22" s="19"/>
      <c r="AE22" s="19"/>
      <c r="AF22" s="24"/>
    </row>
    <row r="23" spans="2:32" ht="45.6" customHeight="1">
      <c r="B23" s="30" t="s">
        <v>34</v>
      </c>
      <c r="C23" s="31"/>
      <c r="D23" s="32">
        <v>20</v>
      </c>
      <c r="E23" s="15">
        <v>2271</v>
      </c>
      <c r="F23" s="15">
        <v>869</v>
      </c>
      <c r="G23" s="15">
        <v>572</v>
      </c>
      <c r="H23" s="17"/>
      <c r="I23" s="18">
        <v>22</v>
      </c>
      <c r="J23" s="19">
        <v>2962</v>
      </c>
      <c r="K23" s="19">
        <v>2156</v>
      </c>
      <c r="L23" s="20"/>
      <c r="M23" s="21">
        <v>1793</v>
      </c>
      <c r="N23" s="22"/>
      <c r="O23" s="23">
        <v>22</v>
      </c>
      <c r="P23" s="20"/>
      <c r="Q23" s="20"/>
      <c r="R23" s="20"/>
      <c r="S23" s="26"/>
      <c r="T23" s="25"/>
      <c r="U23" s="23">
        <v>23</v>
      </c>
      <c r="V23" s="19">
        <v>3166</v>
      </c>
      <c r="W23" s="19">
        <v>2335</v>
      </c>
      <c r="X23" s="20"/>
      <c r="Y23" s="21">
        <v>2105</v>
      </c>
      <c r="Z23" s="22"/>
      <c r="AA23" s="23">
        <v>25</v>
      </c>
      <c r="AB23" s="19">
        <v>3237</v>
      </c>
      <c r="AC23" s="19">
        <v>2426</v>
      </c>
      <c r="AD23" s="19">
        <v>400</v>
      </c>
      <c r="AE23" s="19">
        <v>434</v>
      </c>
      <c r="AF23" s="24">
        <v>1598</v>
      </c>
    </row>
    <row r="24" spans="2:32" ht="48.75">
      <c r="B24" s="30" t="s">
        <v>35</v>
      </c>
      <c r="C24" s="31"/>
      <c r="D24" s="32">
        <v>56</v>
      </c>
      <c r="E24" s="15">
        <v>2205</v>
      </c>
      <c r="F24" s="15">
        <v>652</v>
      </c>
      <c r="G24" s="15">
        <v>428</v>
      </c>
      <c r="H24" s="17"/>
      <c r="I24" s="18">
        <v>65</v>
      </c>
      <c r="J24" s="19">
        <v>2177</v>
      </c>
      <c r="K24" s="19">
        <v>922</v>
      </c>
      <c r="L24" s="19">
        <v>35</v>
      </c>
      <c r="M24" s="21">
        <v>280</v>
      </c>
      <c r="N24" s="22"/>
      <c r="O24" s="23">
        <v>65</v>
      </c>
      <c r="P24" s="19">
        <v>2565</v>
      </c>
      <c r="Q24" s="19">
        <v>1199</v>
      </c>
      <c r="R24" s="19">
        <v>45</v>
      </c>
      <c r="S24" s="24">
        <v>349</v>
      </c>
      <c r="T24" s="25"/>
      <c r="U24" s="23">
        <v>62</v>
      </c>
      <c r="V24" s="19">
        <v>2993</v>
      </c>
      <c r="W24" s="19">
        <v>1674</v>
      </c>
      <c r="X24" s="19">
        <v>25</v>
      </c>
      <c r="Y24" s="21">
        <v>333</v>
      </c>
      <c r="Z24" s="22"/>
      <c r="AA24" s="23">
        <v>64</v>
      </c>
      <c r="AB24" s="19">
        <v>2776</v>
      </c>
      <c r="AC24" s="19">
        <v>1311</v>
      </c>
      <c r="AD24" s="19">
        <v>42</v>
      </c>
      <c r="AE24" s="19">
        <v>1077</v>
      </c>
      <c r="AF24" s="24">
        <v>1420</v>
      </c>
    </row>
    <row r="25" spans="2:32">
      <c r="B25" s="12" t="s">
        <v>36</v>
      </c>
      <c r="C25" s="13"/>
      <c r="D25" s="14">
        <v>28</v>
      </c>
      <c r="E25" s="15">
        <v>10617</v>
      </c>
      <c r="F25" s="15">
        <v>741</v>
      </c>
      <c r="G25" s="15">
        <v>465</v>
      </c>
      <c r="H25" s="17"/>
      <c r="I25" s="18">
        <v>24</v>
      </c>
      <c r="J25" s="19">
        <v>10950</v>
      </c>
      <c r="K25" s="19">
        <v>2825</v>
      </c>
      <c r="L25" s="20"/>
      <c r="M25" s="21">
        <v>1080</v>
      </c>
      <c r="N25" s="22"/>
      <c r="O25" s="23">
        <v>24</v>
      </c>
      <c r="P25" s="19">
        <v>10481</v>
      </c>
      <c r="Q25" s="19">
        <v>2699</v>
      </c>
      <c r="R25" s="20"/>
      <c r="S25" s="24">
        <v>965</v>
      </c>
      <c r="T25" s="25"/>
      <c r="U25" s="23">
        <v>24</v>
      </c>
      <c r="V25" s="19">
        <v>9725</v>
      </c>
      <c r="W25" s="19">
        <v>2462</v>
      </c>
      <c r="X25" s="20"/>
      <c r="Y25" s="21">
        <v>968</v>
      </c>
      <c r="Z25" s="22"/>
      <c r="AA25" s="23">
        <v>24</v>
      </c>
      <c r="AB25" s="19">
        <v>9482</v>
      </c>
      <c r="AC25" s="19">
        <v>2271</v>
      </c>
      <c r="AD25" s="20"/>
      <c r="AE25" s="19">
        <v>375</v>
      </c>
      <c r="AF25" s="24">
        <v>859</v>
      </c>
    </row>
    <row r="26" spans="2:32">
      <c r="B26" s="12" t="s">
        <v>37</v>
      </c>
      <c r="C26" s="13"/>
      <c r="D26" s="14">
        <v>26</v>
      </c>
      <c r="E26" s="15">
        <v>4902</v>
      </c>
      <c r="F26" s="15">
        <v>2728</v>
      </c>
      <c r="G26" s="15">
        <v>1552</v>
      </c>
      <c r="H26" s="17"/>
      <c r="I26" s="18">
        <v>25</v>
      </c>
      <c r="J26" s="19">
        <v>5580</v>
      </c>
      <c r="K26" s="19">
        <v>4811</v>
      </c>
      <c r="L26" s="20"/>
      <c r="M26" s="21">
        <v>4754</v>
      </c>
      <c r="N26" s="22"/>
      <c r="O26" s="23">
        <v>25</v>
      </c>
      <c r="P26" s="19">
        <v>6209</v>
      </c>
      <c r="Q26" s="19">
        <v>5379</v>
      </c>
      <c r="R26" s="20"/>
      <c r="S26" s="24">
        <v>5292</v>
      </c>
      <c r="T26" s="25"/>
      <c r="U26" s="23">
        <v>24</v>
      </c>
      <c r="V26" s="19">
        <v>6212</v>
      </c>
      <c r="W26" s="19">
        <v>5467</v>
      </c>
      <c r="X26" s="20"/>
      <c r="Y26" s="21">
        <v>5342</v>
      </c>
      <c r="Z26" s="22"/>
      <c r="AA26" s="23">
        <v>23</v>
      </c>
      <c r="AB26" s="19">
        <v>6174</v>
      </c>
      <c r="AC26" s="19">
        <v>5471</v>
      </c>
      <c r="AD26" s="19">
        <v>49</v>
      </c>
      <c r="AE26" s="19">
        <v>1411</v>
      </c>
      <c r="AF26" s="24">
        <v>5291</v>
      </c>
    </row>
    <row r="27" spans="2:32" ht="89.45" customHeight="1">
      <c r="B27" s="30" t="s">
        <v>38</v>
      </c>
      <c r="C27" s="31"/>
      <c r="D27" s="32">
        <v>62</v>
      </c>
      <c r="E27" s="15">
        <v>5969</v>
      </c>
      <c r="F27" s="15">
        <v>321</v>
      </c>
      <c r="G27" s="15">
        <v>66</v>
      </c>
      <c r="H27" s="17"/>
      <c r="I27" s="18">
        <v>62</v>
      </c>
      <c r="J27" s="19">
        <v>6955</v>
      </c>
      <c r="K27" s="19">
        <v>6332</v>
      </c>
      <c r="L27" s="19">
        <v>0</v>
      </c>
      <c r="M27" s="21">
        <v>410</v>
      </c>
      <c r="N27" s="22"/>
      <c r="O27" s="23">
        <v>62</v>
      </c>
      <c r="P27" s="19">
        <v>8167</v>
      </c>
      <c r="Q27" s="19">
        <v>7495</v>
      </c>
      <c r="R27" s="19">
        <v>0</v>
      </c>
      <c r="S27" s="24">
        <v>343</v>
      </c>
      <c r="T27" s="25"/>
      <c r="U27" s="23">
        <v>53</v>
      </c>
      <c r="V27" s="19">
        <v>8596</v>
      </c>
      <c r="W27" s="19">
        <v>7885</v>
      </c>
      <c r="X27" s="19">
        <v>0</v>
      </c>
      <c r="Y27" s="21">
        <v>326</v>
      </c>
      <c r="Z27" s="22"/>
      <c r="AA27" s="23">
        <v>52</v>
      </c>
      <c r="AB27" s="19">
        <v>8683</v>
      </c>
      <c r="AC27" s="19">
        <v>7941</v>
      </c>
      <c r="AD27" s="20"/>
      <c r="AE27" s="19">
        <v>38</v>
      </c>
      <c r="AF27" s="24">
        <v>276</v>
      </c>
    </row>
    <row r="28" spans="2:32" ht="30">
      <c r="B28" s="12" t="s">
        <v>39</v>
      </c>
      <c r="C28" s="13"/>
      <c r="D28" s="14">
        <v>3</v>
      </c>
      <c r="E28" s="15">
        <v>113</v>
      </c>
      <c r="F28" s="15">
        <v>0</v>
      </c>
      <c r="G28" s="15">
        <v>23</v>
      </c>
      <c r="H28" s="17"/>
      <c r="I28" s="18">
        <v>4</v>
      </c>
      <c r="J28" s="19">
        <v>152</v>
      </c>
      <c r="K28" s="19">
        <v>64</v>
      </c>
      <c r="L28" s="20"/>
      <c r="M28" s="21">
        <v>29</v>
      </c>
      <c r="N28" s="22"/>
      <c r="O28" s="23">
        <v>4</v>
      </c>
      <c r="P28" s="19">
        <v>166</v>
      </c>
      <c r="Q28" s="19">
        <v>76</v>
      </c>
      <c r="R28" s="19">
        <v>2</v>
      </c>
      <c r="S28" s="24">
        <v>24</v>
      </c>
      <c r="T28" s="25"/>
      <c r="U28" s="23">
        <v>3</v>
      </c>
      <c r="V28" s="19">
        <v>117</v>
      </c>
      <c r="W28" s="19">
        <v>54</v>
      </c>
      <c r="X28" s="20"/>
      <c r="Y28" s="21">
        <v>15</v>
      </c>
      <c r="Z28" s="22"/>
      <c r="AA28" s="23">
        <v>4</v>
      </c>
      <c r="AB28" s="19">
        <v>138</v>
      </c>
      <c r="AC28" s="19">
        <v>61</v>
      </c>
      <c r="AD28" s="19">
        <v>3</v>
      </c>
      <c r="AE28" s="19">
        <v>3</v>
      </c>
      <c r="AF28" s="24">
        <v>16</v>
      </c>
    </row>
    <row r="29" spans="2:32">
      <c r="B29" s="12" t="s">
        <v>40</v>
      </c>
      <c r="C29" s="13"/>
      <c r="D29" s="14">
        <v>28</v>
      </c>
      <c r="E29" s="15">
        <v>4704</v>
      </c>
      <c r="F29" s="15">
        <v>1009</v>
      </c>
      <c r="G29" s="15">
        <v>2002</v>
      </c>
      <c r="H29" s="17"/>
      <c r="I29" s="18">
        <v>28</v>
      </c>
      <c r="J29" s="19">
        <v>5267</v>
      </c>
      <c r="K29" s="19">
        <v>1767</v>
      </c>
      <c r="L29" s="20"/>
      <c r="M29" s="21">
        <v>3351</v>
      </c>
      <c r="N29" s="22"/>
      <c r="O29" s="23">
        <v>28</v>
      </c>
      <c r="P29" s="19">
        <v>5578</v>
      </c>
      <c r="Q29" s="19">
        <v>1884</v>
      </c>
      <c r="R29" s="20"/>
      <c r="S29" s="24">
        <v>3801</v>
      </c>
      <c r="T29" s="25"/>
      <c r="U29" s="23">
        <v>27</v>
      </c>
      <c r="V29" s="19">
        <v>5829</v>
      </c>
      <c r="W29" s="19">
        <v>2022</v>
      </c>
      <c r="X29" s="20"/>
      <c r="Y29" s="21">
        <v>3758</v>
      </c>
      <c r="Z29" s="22"/>
      <c r="AA29" s="23">
        <v>26</v>
      </c>
      <c r="AB29" s="19">
        <v>5615</v>
      </c>
      <c r="AC29" s="19">
        <v>1928</v>
      </c>
      <c r="AD29" s="19">
        <v>9</v>
      </c>
      <c r="AE29" s="19">
        <v>1673</v>
      </c>
      <c r="AF29" s="24">
        <v>3477</v>
      </c>
    </row>
    <row r="30" spans="2:32">
      <c r="B30" s="12" t="s">
        <v>41</v>
      </c>
      <c r="C30" s="13"/>
      <c r="D30" s="14">
        <v>28</v>
      </c>
      <c r="E30" s="15">
        <v>341</v>
      </c>
      <c r="F30" s="15">
        <v>10</v>
      </c>
      <c r="G30" s="15">
        <v>75</v>
      </c>
      <c r="H30" s="17"/>
      <c r="I30" s="18">
        <v>35</v>
      </c>
      <c r="J30" s="19">
        <v>426</v>
      </c>
      <c r="K30" s="19">
        <v>121</v>
      </c>
      <c r="L30" s="19">
        <v>297</v>
      </c>
      <c r="M30" s="21">
        <v>75</v>
      </c>
      <c r="N30" s="22"/>
      <c r="O30" s="23">
        <v>35</v>
      </c>
      <c r="P30" s="19">
        <v>450</v>
      </c>
      <c r="Q30" s="19">
        <v>132</v>
      </c>
      <c r="R30" s="19">
        <v>310</v>
      </c>
      <c r="S30" s="24">
        <v>71</v>
      </c>
      <c r="T30" s="25"/>
      <c r="U30" s="23">
        <v>36</v>
      </c>
      <c r="V30" s="19">
        <v>405</v>
      </c>
      <c r="W30" s="19">
        <v>130</v>
      </c>
      <c r="X30" s="19">
        <v>267</v>
      </c>
      <c r="Y30" s="21">
        <v>93</v>
      </c>
      <c r="Z30" s="22"/>
      <c r="AA30" s="23">
        <v>32</v>
      </c>
      <c r="AB30" s="19">
        <v>369</v>
      </c>
      <c r="AC30" s="19">
        <v>128</v>
      </c>
      <c r="AD30" s="19">
        <v>239</v>
      </c>
      <c r="AE30" s="20"/>
      <c r="AF30" s="24">
        <v>101</v>
      </c>
    </row>
    <row r="31" spans="2:32" ht="30">
      <c r="B31" s="12" t="s">
        <v>42</v>
      </c>
      <c r="C31" s="13"/>
      <c r="D31" s="14">
        <v>3</v>
      </c>
      <c r="E31" s="15">
        <v>893</v>
      </c>
      <c r="F31" s="15">
        <v>279</v>
      </c>
      <c r="G31" s="15">
        <v>208</v>
      </c>
      <c r="H31" s="17"/>
      <c r="I31" s="20"/>
      <c r="J31" s="20"/>
      <c r="K31" s="20"/>
      <c r="L31" s="20"/>
      <c r="M31" s="27"/>
      <c r="N31" s="22"/>
      <c r="O31" s="33">
        <v>4</v>
      </c>
      <c r="P31" s="19">
        <v>1049</v>
      </c>
      <c r="Q31" s="19">
        <v>214</v>
      </c>
      <c r="R31" s="19">
        <v>17</v>
      </c>
      <c r="S31" s="24">
        <v>485</v>
      </c>
      <c r="T31" s="25"/>
      <c r="U31" s="23">
        <v>4</v>
      </c>
      <c r="V31" s="19">
        <v>1120</v>
      </c>
      <c r="W31" s="19">
        <v>211</v>
      </c>
      <c r="X31" s="19">
        <v>4</v>
      </c>
      <c r="Y31" s="21">
        <v>616</v>
      </c>
      <c r="Z31" s="22"/>
      <c r="AA31" s="23"/>
      <c r="AB31" s="19"/>
      <c r="AC31" s="19"/>
      <c r="AD31" s="19"/>
      <c r="AE31" s="19"/>
      <c r="AF31" s="24"/>
    </row>
    <row r="32" spans="2:32" ht="30">
      <c r="B32" s="12" t="s">
        <v>43</v>
      </c>
      <c r="C32" s="13"/>
      <c r="D32" s="14">
        <v>96</v>
      </c>
      <c r="E32" s="15">
        <v>9667</v>
      </c>
      <c r="F32" s="16"/>
      <c r="G32" s="16"/>
      <c r="H32" s="17"/>
      <c r="I32" s="18">
        <v>91</v>
      </c>
      <c r="J32" s="19">
        <v>11567</v>
      </c>
      <c r="K32" s="19">
        <v>3690</v>
      </c>
      <c r="L32" s="20"/>
      <c r="M32" s="21">
        <v>6017</v>
      </c>
      <c r="N32" s="22"/>
      <c r="O32" s="23">
        <v>91</v>
      </c>
      <c r="P32" s="19">
        <v>11593</v>
      </c>
      <c r="Q32" s="19">
        <v>3777</v>
      </c>
      <c r="R32" s="19">
        <v>170</v>
      </c>
      <c r="S32" s="24">
        <v>9569</v>
      </c>
      <c r="T32" s="25"/>
      <c r="U32" s="23">
        <v>89</v>
      </c>
      <c r="V32" s="19">
        <v>12088</v>
      </c>
      <c r="W32" s="19">
        <v>4382</v>
      </c>
      <c r="X32" s="19">
        <v>71</v>
      </c>
      <c r="Y32" s="21">
        <v>10118</v>
      </c>
      <c r="Z32" s="22"/>
      <c r="AA32" s="23">
        <v>87</v>
      </c>
      <c r="AB32" s="19">
        <v>12589</v>
      </c>
      <c r="AC32" s="19">
        <v>4046</v>
      </c>
      <c r="AD32" s="19">
        <v>78</v>
      </c>
      <c r="AE32" s="19">
        <v>2627</v>
      </c>
      <c r="AF32" s="24">
        <v>10084</v>
      </c>
    </row>
    <row r="33" spans="2:32" ht="57.6" customHeight="1">
      <c r="B33" s="12" t="s">
        <v>44</v>
      </c>
      <c r="C33" s="13"/>
      <c r="D33" s="14">
        <v>107</v>
      </c>
      <c r="E33" s="15">
        <v>6528</v>
      </c>
      <c r="F33" s="15">
        <v>2618</v>
      </c>
      <c r="G33" s="15">
        <v>1769</v>
      </c>
      <c r="H33" s="17"/>
      <c r="I33" s="18">
        <v>107</v>
      </c>
      <c r="J33" s="19">
        <v>7532</v>
      </c>
      <c r="K33" s="19">
        <v>2731</v>
      </c>
      <c r="L33" s="20"/>
      <c r="M33" s="21">
        <v>5158</v>
      </c>
      <c r="N33" s="22"/>
      <c r="O33" s="23">
        <v>107</v>
      </c>
      <c r="P33" s="19">
        <v>7600</v>
      </c>
      <c r="Q33" s="19">
        <v>2615</v>
      </c>
      <c r="R33" s="20"/>
      <c r="S33" s="24">
        <v>5374</v>
      </c>
      <c r="T33" s="25"/>
      <c r="U33" s="23">
        <v>109</v>
      </c>
      <c r="V33" s="19">
        <v>7900</v>
      </c>
      <c r="W33" s="19">
        <v>3042</v>
      </c>
      <c r="X33" s="20"/>
      <c r="Y33" s="21">
        <v>5400</v>
      </c>
      <c r="Z33" s="22"/>
      <c r="AA33" s="23">
        <v>110</v>
      </c>
      <c r="AB33" s="19">
        <v>8148</v>
      </c>
      <c r="AC33" s="19">
        <v>2801</v>
      </c>
      <c r="AD33" s="20"/>
      <c r="AE33" s="19">
        <v>4856</v>
      </c>
      <c r="AF33" s="24">
        <v>5685</v>
      </c>
    </row>
    <row r="34" spans="2:32" ht="85.15" customHeight="1">
      <c r="B34" s="12" t="s">
        <v>45</v>
      </c>
      <c r="C34" s="13"/>
      <c r="D34" s="14">
        <v>6</v>
      </c>
      <c r="E34" s="15">
        <v>157</v>
      </c>
      <c r="F34" s="15">
        <v>0</v>
      </c>
      <c r="G34" s="15">
        <v>0</v>
      </c>
      <c r="H34" s="17"/>
      <c r="I34" s="18">
        <v>6</v>
      </c>
      <c r="J34" s="19">
        <v>198</v>
      </c>
      <c r="K34" s="19">
        <v>66</v>
      </c>
      <c r="L34" s="19">
        <v>0</v>
      </c>
      <c r="M34" s="21">
        <v>0</v>
      </c>
      <c r="N34" s="22"/>
      <c r="O34" s="23">
        <v>6</v>
      </c>
      <c r="P34" s="19">
        <v>196</v>
      </c>
      <c r="Q34" s="19">
        <v>62</v>
      </c>
      <c r="R34" s="20"/>
      <c r="S34" s="24">
        <v>0</v>
      </c>
      <c r="T34" s="25"/>
      <c r="U34" s="23">
        <v>0</v>
      </c>
      <c r="V34" s="19">
        <v>175</v>
      </c>
      <c r="W34" s="19">
        <v>55</v>
      </c>
      <c r="X34" s="20"/>
      <c r="Y34" s="27"/>
      <c r="Z34" s="22"/>
      <c r="AA34" s="34"/>
      <c r="AB34" s="19">
        <v>178</v>
      </c>
      <c r="AC34" s="19">
        <v>54</v>
      </c>
      <c r="AD34" s="20"/>
      <c r="AE34" s="20"/>
      <c r="AF34" s="26"/>
    </row>
    <row r="35" spans="2:32" ht="30">
      <c r="B35" s="12" t="s">
        <v>46</v>
      </c>
      <c r="C35" s="13"/>
      <c r="D35" s="28"/>
      <c r="E35" s="16"/>
      <c r="F35" s="16"/>
      <c r="G35" s="16"/>
      <c r="H35" s="17"/>
      <c r="I35" s="18">
        <v>10</v>
      </c>
      <c r="J35" s="19">
        <v>1469</v>
      </c>
      <c r="K35" s="19">
        <v>689</v>
      </c>
      <c r="L35" s="19">
        <v>15</v>
      </c>
      <c r="M35" s="21">
        <v>846</v>
      </c>
      <c r="N35" s="22"/>
      <c r="O35" s="23">
        <v>10</v>
      </c>
      <c r="P35" s="19">
        <v>1565</v>
      </c>
      <c r="Q35" s="19">
        <v>754</v>
      </c>
      <c r="R35" s="19">
        <v>15</v>
      </c>
      <c r="S35" s="24">
        <v>868</v>
      </c>
      <c r="T35" s="25"/>
      <c r="U35" s="23">
        <v>12</v>
      </c>
      <c r="V35" s="19">
        <v>1653</v>
      </c>
      <c r="W35" s="19">
        <v>818</v>
      </c>
      <c r="X35" s="19">
        <v>15</v>
      </c>
      <c r="Y35" s="21">
        <v>969</v>
      </c>
      <c r="Z35" s="22"/>
      <c r="AA35" s="23">
        <v>13</v>
      </c>
      <c r="AB35" s="19">
        <v>1552</v>
      </c>
      <c r="AC35" s="19">
        <v>797</v>
      </c>
      <c r="AD35" s="19">
        <v>15</v>
      </c>
      <c r="AE35" s="19">
        <v>520</v>
      </c>
      <c r="AF35" s="24">
        <v>938</v>
      </c>
    </row>
    <row r="36" spans="2:32">
      <c r="B36" s="12" t="s">
        <v>47</v>
      </c>
      <c r="C36" s="13"/>
      <c r="D36" s="14">
        <v>26</v>
      </c>
      <c r="E36" s="15">
        <v>7023</v>
      </c>
      <c r="F36" s="15">
        <v>3389</v>
      </c>
      <c r="G36" s="15">
        <v>2211</v>
      </c>
      <c r="H36" s="17"/>
      <c r="I36" s="18">
        <v>24</v>
      </c>
      <c r="J36" s="19">
        <v>9937</v>
      </c>
      <c r="K36" s="19">
        <v>5167</v>
      </c>
      <c r="L36" s="20"/>
      <c r="M36" s="21">
        <v>6390</v>
      </c>
      <c r="N36" s="22"/>
      <c r="O36" s="23">
        <v>24</v>
      </c>
      <c r="P36" s="19">
        <v>7789</v>
      </c>
      <c r="Q36" s="19">
        <v>4296</v>
      </c>
      <c r="R36" s="20"/>
      <c r="S36" s="24">
        <v>5378</v>
      </c>
      <c r="T36" s="25"/>
      <c r="U36" s="23">
        <v>26</v>
      </c>
      <c r="V36" s="19">
        <v>8555</v>
      </c>
      <c r="W36" s="19">
        <v>4699</v>
      </c>
      <c r="X36" s="19">
        <v>2</v>
      </c>
      <c r="Y36" s="21">
        <v>6252</v>
      </c>
      <c r="Z36" s="22"/>
      <c r="AA36" s="23">
        <v>26</v>
      </c>
      <c r="AB36" s="19">
        <v>10049</v>
      </c>
      <c r="AC36" s="19">
        <v>4096</v>
      </c>
      <c r="AD36" s="19">
        <v>11</v>
      </c>
      <c r="AE36" s="19">
        <v>1990</v>
      </c>
      <c r="AF36" s="24">
        <v>6027</v>
      </c>
    </row>
    <row r="37" spans="2:32" ht="30">
      <c r="B37" s="12" t="s">
        <v>48</v>
      </c>
      <c r="C37" s="13"/>
      <c r="D37" s="14">
        <v>52</v>
      </c>
      <c r="E37" s="15">
        <v>255241</v>
      </c>
      <c r="F37" s="16"/>
      <c r="G37" s="16"/>
      <c r="H37" s="17"/>
      <c r="I37" s="18">
        <v>53</v>
      </c>
      <c r="J37" s="20"/>
      <c r="K37" s="20"/>
      <c r="L37" s="20"/>
      <c r="M37" s="27"/>
      <c r="N37" s="22"/>
      <c r="O37" s="23">
        <v>53</v>
      </c>
      <c r="P37" s="20"/>
      <c r="Q37" s="20"/>
      <c r="R37" s="20"/>
      <c r="S37" s="26"/>
      <c r="T37" s="25"/>
      <c r="U37" s="20"/>
      <c r="V37" s="20"/>
      <c r="W37" s="20"/>
      <c r="X37" s="20"/>
      <c r="Y37" s="27"/>
      <c r="Z37" s="22"/>
      <c r="AA37" s="23">
        <v>53</v>
      </c>
      <c r="AB37" s="20"/>
      <c r="AC37" s="20"/>
      <c r="AD37" s="20"/>
      <c r="AE37" s="20"/>
      <c r="AF37" s="26"/>
    </row>
    <row r="38" spans="2:32" ht="30">
      <c r="B38" s="12" t="s">
        <v>49</v>
      </c>
      <c r="C38" s="13"/>
      <c r="D38" s="28"/>
      <c r="E38" s="16"/>
      <c r="F38" s="16"/>
      <c r="G38" s="16"/>
      <c r="H38" s="17"/>
      <c r="I38" s="20"/>
      <c r="J38" s="20"/>
      <c r="K38" s="20"/>
      <c r="L38" s="20"/>
      <c r="M38" s="27"/>
      <c r="N38" s="22"/>
      <c r="O38" s="23">
        <v>54</v>
      </c>
      <c r="P38" s="19">
        <v>2383</v>
      </c>
      <c r="Q38" s="19">
        <v>379</v>
      </c>
      <c r="R38" s="20"/>
      <c r="S38" s="24">
        <v>64</v>
      </c>
      <c r="T38" s="25"/>
      <c r="U38" s="23">
        <v>54</v>
      </c>
      <c r="V38" s="19">
        <v>2605</v>
      </c>
      <c r="W38" s="19">
        <v>385</v>
      </c>
      <c r="X38" s="20"/>
      <c r="Y38" s="21">
        <v>65</v>
      </c>
      <c r="Z38" s="22"/>
      <c r="AA38" s="23">
        <v>54</v>
      </c>
      <c r="AB38" s="19">
        <v>2550</v>
      </c>
      <c r="AC38" s="19">
        <v>427</v>
      </c>
      <c r="AD38" s="20"/>
      <c r="AE38" s="19">
        <v>50</v>
      </c>
      <c r="AF38" s="24">
        <v>59</v>
      </c>
    </row>
    <row r="39" spans="2:32" ht="30">
      <c r="B39" s="12" t="s">
        <v>50</v>
      </c>
      <c r="C39" s="13"/>
      <c r="D39" s="14">
        <v>37</v>
      </c>
      <c r="E39" s="15">
        <v>1985</v>
      </c>
      <c r="F39" s="15">
        <v>281</v>
      </c>
      <c r="G39" s="15">
        <v>142</v>
      </c>
      <c r="H39" s="17"/>
      <c r="I39" s="18">
        <v>37</v>
      </c>
      <c r="J39" s="19">
        <v>2468</v>
      </c>
      <c r="K39" s="19">
        <v>803</v>
      </c>
      <c r="L39" s="19">
        <v>30</v>
      </c>
      <c r="M39" s="21">
        <v>441</v>
      </c>
      <c r="N39" s="22"/>
      <c r="O39" s="23">
        <v>37</v>
      </c>
      <c r="P39" s="19">
        <v>2474</v>
      </c>
      <c r="Q39" s="19">
        <v>830</v>
      </c>
      <c r="R39" s="19">
        <v>30</v>
      </c>
      <c r="S39" s="24">
        <v>417</v>
      </c>
      <c r="T39" s="25"/>
      <c r="U39" s="23">
        <v>35</v>
      </c>
      <c r="V39" s="19">
        <v>2424</v>
      </c>
      <c r="W39" s="19">
        <v>842</v>
      </c>
      <c r="X39" s="19">
        <v>50</v>
      </c>
      <c r="Y39" s="21">
        <v>404</v>
      </c>
      <c r="Z39" s="22"/>
      <c r="AA39" s="23">
        <v>35</v>
      </c>
      <c r="AB39" s="19">
        <v>2327</v>
      </c>
      <c r="AC39" s="19">
        <v>787</v>
      </c>
      <c r="AD39" s="19">
        <v>48</v>
      </c>
      <c r="AE39" s="19">
        <v>197</v>
      </c>
      <c r="AF39" s="24">
        <v>339</v>
      </c>
    </row>
    <row r="40" spans="2:32" ht="30">
      <c r="B40" s="12" t="s">
        <v>51</v>
      </c>
      <c r="C40" s="13"/>
      <c r="D40" s="14">
        <v>40</v>
      </c>
      <c r="E40" s="16"/>
      <c r="F40" s="16"/>
      <c r="G40" s="16"/>
      <c r="H40" s="17"/>
      <c r="I40" s="18">
        <v>39</v>
      </c>
      <c r="J40" s="19">
        <v>3250</v>
      </c>
      <c r="K40" s="19">
        <v>2138</v>
      </c>
      <c r="L40" s="20"/>
      <c r="M40" s="27"/>
      <c r="N40" s="22"/>
      <c r="O40" s="23">
        <v>39</v>
      </c>
      <c r="P40" s="20"/>
      <c r="Q40" s="20"/>
      <c r="R40" s="20"/>
      <c r="S40" s="26"/>
      <c r="T40" s="25"/>
      <c r="U40" s="20"/>
      <c r="V40" s="20"/>
      <c r="W40" s="20"/>
      <c r="X40" s="20"/>
      <c r="Y40" s="27"/>
      <c r="Z40" s="22"/>
      <c r="AA40" s="23"/>
      <c r="AB40" s="20"/>
      <c r="AC40" s="20"/>
      <c r="AD40" s="20"/>
      <c r="AE40" s="20"/>
      <c r="AF40" s="26"/>
    </row>
    <row r="41" spans="2:32" ht="30">
      <c r="B41" s="12" t="s">
        <v>52</v>
      </c>
      <c r="C41" s="13"/>
      <c r="D41" s="14">
        <v>8</v>
      </c>
      <c r="E41" s="15">
        <v>2087</v>
      </c>
      <c r="F41" s="15">
        <v>0</v>
      </c>
      <c r="G41" s="15">
        <v>0</v>
      </c>
      <c r="H41" s="17"/>
      <c r="I41" s="18">
        <v>8</v>
      </c>
      <c r="J41" s="19">
        <v>2347</v>
      </c>
      <c r="K41" s="19">
        <v>1572</v>
      </c>
      <c r="L41" s="19">
        <v>0</v>
      </c>
      <c r="M41" s="21">
        <v>0</v>
      </c>
      <c r="N41" s="22"/>
      <c r="O41" s="23">
        <v>8</v>
      </c>
      <c r="P41" s="19">
        <v>2390</v>
      </c>
      <c r="Q41" s="19">
        <v>1601</v>
      </c>
      <c r="R41" s="19">
        <v>0</v>
      </c>
      <c r="S41" s="24">
        <v>0</v>
      </c>
      <c r="T41" s="25"/>
      <c r="U41" s="23">
        <v>7</v>
      </c>
      <c r="V41" s="19">
        <v>2398</v>
      </c>
      <c r="W41" s="19">
        <v>1600</v>
      </c>
      <c r="X41" s="19">
        <v>0</v>
      </c>
      <c r="Y41" s="21">
        <v>0</v>
      </c>
      <c r="Z41" s="22"/>
      <c r="AA41" s="23"/>
      <c r="AB41" s="19"/>
      <c r="AC41" s="19"/>
      <c r="AD41" s="19"/>
      <c r="AE41" s="19"/>
      <c r="AF41" s="24"/>
    </row>
    <row r="42" spans="2:32" ht="30">
      <c r="B42" s="12" t="s">
        <v>53</v>
      </c>
      <c r="C42" s="13"/>
      <c r="D42" s="14">
        <v>14</v>
      </c>
      <c r="E42" s="15">
        <v>854</v>
      </c>
      <c r="F42" s="15">
        <v>204</v>
      </c>
      <c r="G42" s="15">
        <v>287</v>
      </c>
      <c r="H42" s="17"/>
      <c r="I42" s="18">
        <v>13</v>
      </c>
      <c r="J42" s="19">
        <v>948</v>
      </c>
      <c r="K42" s="19">
        <v>470</v>
      </c>
      <c r="L42" s="20"/>
      <c r="M42" s="27"/>
      <c r="N42" s="22"/>
      <c r="O42" s="23">
        <v>13</v>
      </c>
      <c r="P42" s="20"/>
      <c r="Q42" s="20"/>
      <c r="R42" s="20"/>
      <c r="S42" s="26"/>
      <c r="T42" s="25"/>
      <c r="U42" s="23">
        <v>14</v>
      </c>
      <c r="V42" s="19">
        <v>944</v>
      </c>
      <c r="W42" s="19">
        <v>440</v>
      </c>
      <c r="X42" s="20"/>
      <c r="Y42" s="21">
        <v>519</v>
      </c>
      <c r="Z42" s="22"/>
      <c r="AA42" s="23">
        <v>14</v>
      </c>
      <c r="AB42" s="19">
        <v>855</v>
      </c>
      <c r="AC42" s="19">
        <v>425</v>
      </c>
      <c r="AD42" s="20"/>
      <c r="AE42" s="19">
        <v>213</v>
      </c>
      <c r="AF42" s="24">
        <v>436</v>
      </c>
    </row>
    <row r="43" spans="2:32">
      <c r="B43" s="12" t="s">
        <v>54</v>
      </c>
      <c r="C43" s="13"/>
      <c r="D43" s="14">
        <v>11</v>
      </c>
      <c r="E43" s="15">
        <v>1722</v>
      </c>
      <c r="F43" s="15">
        <v>436</v>
      </c>
      <c r="G43" s="15">
        <v>339</v>
      </c>
      <c r="H43" s="17"/>
      <c r="I43" s="18">
        <v>11</v>
      </c>
      <c r="J43" s="19">
        <v>2068</v>
      </c>
      <c r="K43" s="19">
        <v>199</v>
      </c>
      <c r="L43" s="19">
        <v>16</v>
      </c>
      <c r="M43" s="21">
        <v>1044</v>
      </c>
      <c r="N43" s="22"/>
      <c r="O43" s="23">
        <v>11</v>
      </c>
      <c r="P43" s="19">
        <v>2277</v>
      </c>
      <c r="Q43" s="19">
        <v>346</v>
      </c>
      <c r="R43" s="19">
        <v>32</v>
      </c>
      <c r="S43" s="24">
        <v>1299</v>
      </c>
      <c r="T43" s="25"/>
      <c r="U43" s="23">
        <v>12</v>
      </c>
      <c r="V43" s="19">
        <v>2308</v>
      </c>
      <c r="W43" s="19">
        <v>316</v>
      </c>
      <c r="X43" s="19">
        <v>50</v>
      </c>
      <c r="Y43" s="21">
        <v>1182</v>
      </c>
      <c r="Z43" s="22"/>
      <c r="AA43" s="23">
        <v>12</v>
      </c>
      <c r="AB43" s="19">
        <v>2586</v>
      </c>
      <c r="AC43" s="19">
        <v>327</v>
      </c>
      <c r="AD43" s="19">
        <v>90</v>
      </c>
      <c r="AE43" s="19">
        <v>580</v>
      </c>
      <c r="AF43" s="24">
        <v>162</v>
      </c>
    </row>
    <row r="44" spans="2:32" ht="30">
      <c r="B44" s="12" t="s">
        <v>55</v>
      </c>
      <c r="C44" s="13"/>
      <c r="D44" s="14">
        <v>23</v>
      </c>
      <c r="E44" s="15">
        <v>1388</v>
      </c>
      <c r="F44" s="15">
        <v>308</v>
      </c>
      <c r="G44" s="15">
        <v>538</v>
      </c>
      <c r="H44" s="17"/>
      <c r="I44" s="35"/>
      <c r="J44" s="19">
        <v>1959</v>
      </c>
      <c r="K44" s="19">
        <v>795</v>
      </c>
      <c r="L44" s="20"/>
      <c r="M44" s="21">
        <v>1164</v>
      </c>
      <c r="N44" s="22"/>
      <c r="O44" s="33">
        <v>19</v>
      </c>
      <c r="P44" s="19">
        <v>2089</v>
      </c>
      <c r="Q44" s="19">
        <v>863</v>
      </c>
      <c r="R44" s="20"/>
      <c r="S44" s="24">
        <v>1205</v>
      </c>
      <c r="T44" s="25"/>
      <c r="U44" s="23">
        <v>30</v>
      </c>
      <c r="V44" s="19">
        <v>1929</v>
      </c>
      <c r="W44" s="19">
        <v>770</v>
      </c>
      <c r="X44" s="19">
        <v>0</v>
      </c>
      <c r="Y44" s="21">
        <v>1048</v>
      </c>
      <c r="Z44" s="22"/>
      <c r="AA44" s="23">
        <v>18</v>
      </c>
      <c r="AB44" s="19">
        <v>1741</v>
      </c>
      <c r="AC44" s="19">
        <v>769</v>
      </c>
      <c r="AD44" s="19">
        <v>0</v>
      </c>
      <c r="AE44" s="19">
        <v>490</v>
      </c>
      <c r="AF44" s="24">
        <v>698</v>
      </c>
    </row>
    <row r="45" spans="2:32">
      <c r="B45" s="12" t="s">
        <v>56</v>
      </c>
      <c r="C45" s="13"/>
      <c r="D45" s="14">
        <v>2</v>
      </c>
      <c r="E45" s="15">
        <v>68</v>
      </c>
      <c r="F45" s="15">
        <v>8</v>
      </c>
      <c r="G45" s="15">
        <v>12</v>
      </c>
      <c r="H45" s="17"/>
      <c r="I45" s="18">
        <v>2</v>
      </c>
      <c r="J45" s="19">
        <v>66</v>
      </c>
      <c r="K45" s="19">
        <v>28</v>
      </c>
      <c r="L45" s="19">
        <v>0</v>
      </c>
      <c r="M45" s="21">
        <v>21</v>
      </c>
      <c r="N45" s="22"/>
      <c r="O45" s="23">
        <v>2</v>
      </c>
      <c r="P45" s="19">
        <v>71</v>
      </c>
      <c r="Q45" s="19">
        <v>31</v>
      </c>
      <c r="R45" s="19">
        <v>0</v>
      </c>
      <c r="S45" s="24">
        <v>18</v>
      </c>
      <c r="T45" s="25"/>
      <c r="U45" s="23">
        <v>2</v>
      </c>
      <c r="V45" s="19">
        <v>70</v>
      </c>
      <c r="W45" s="19">
        <v>31</v>
      </c>
      <c r="X45" s="20"/>
      <c r="Y45" s="21">
        <v>19</v>
      </c>
      <c r="Z45" s="22"/>
      <c r="AA45" s="23">
        <v>2</v>
      </c>
      <c r="AB45" s="19">
        <v>68</v>
      </c>
      <c r="AC45" s="19">
        <v>30</v>
      </c>
      <c r="AD45" s="19">
        <v>0</v>
      </c>
      <c r="AE45" s="19">
        <v>9</v>
      </c>
      <c r="AF45" s="24">
        <v>15</v>
      </c>
    </row>
    <row r="46" spans="2:32">
      <c r="B46" s="12" t="s">
        <v>57</v>
      </c>
      <c r="C46" s="13"/>
      <c r="D46" s="14">
        <v>15</v>
      </c>
      <c r="E46" s="15">
        <v>133</v>
      </c>
      <c r="F46" s="15">
        <v>6</v>
      </c>
      <c r="G46" s="15">
        <v>34</v>
      </c>
      <c r="H46" s="17"/>
      <c r="I46" s="18">
        <v>16</v>
      </c>
      <c r="J46" s="19">
        <v>250</v>
      </c>
      <c r="K46" s="19">
        <v>71</v>
      </c>
      <c r="L46" s="19">
        <v>220</v>
      </c>
      <c r="M46" s="21">
        <v>33</v>
      </c>
      <c r="N46" s="22"/>
      <c r="O46" s="23">
        <v>16</v>
      </c>
      <c r="P46" s="19">
        <v>239</v>
      </c>
      <c r="Q46" s="19">
        <v>52</v>
      </c>
      <c r="R46" s="19">
        <v>239</v>
      </c>
      <c r="S46" s="24">
        <v>114</v>
      </c>
      <c r="T46" s="25"/>
      <c r="U46" s="23">
        <v>18</v>
      </c>
      <c r="V46" s="19">
        <v>344</v>
      </c>
      <c r="W46" s="19">
        <v>73</v>
      </c>
      <c r="X46" s="19">
        <v>344</v>
      </c>
      <c r="Y46" s="21">
        <v>187</v>
      </c>
      <c r="Z46" s="22"/>
      <c r="AA46" s="23">
        <v>20</v>
      </c>
      <c r="AB46" s="19">
        <v>476</v>
      </c>
      <c r="AC46" s="19">
        <v>92</v>
      </c>
      <c r="AD46" s="19">
        <v>476</v>
      </c>
      <c r="AE46" s="19">
        <v>180</v>
      </c>
      <c r="AF46" s="24">
        <v>244</v>
      </c>
    </row>
    <row r="47" spans="2:32" ht="30">
      <c r="B47" s="12" t="s">
        <v>58</v>
      </c>
      <c r="C47" s="13"/>
      <c r="D47" s="14">
        <v>270</v>
      </c>
      <c r="E47" s="16"/>
      <c r="F47" s="16"/>
      <c r="G47" s="16"/>
      <c r="H47" s="17"/>
      <c r="I47" s="18">
        <v>275</v>
      </c>
      <c r="J47" s="20"/>
      <c r="K47" s="20"/>
      <c r="L47" s="20"/>
      <c r="M47" s="27"/>
      <c r="N47" s="22"/>
      <c r="O47" s="23">
        <v>275</v>
      </c>
      <c r="P47" s="20"/>
      <c r="Q47" s="20"/>
      <c r="R47" s="20"/>
      <c r="S47" s="26"/>
      <c r="T47" s="25"/>
      <c r="U47" s="23">
        <v>275</v>
      </c>
      <c r="V47" s="20"/>
      <c r="W47" s="20"/>
      <c r="X47" s="20"/>
      <c r="Y47" s="27"/>
      <c r="Z47" s="22"/>
      <c r="AA47" s="23">
        <v>280</v>
      </c>
      <c r="AB47" s="20"/>
      <c r="AC47" s="20"/>
      <c r="AD47" s="20"/>
      <c r="AE47" s="20"/>
      <c r="AF47" s="26"/>
    </row>
    <row r="48" spans="2:32" ht="30">
      <c r="B48" s="12" t="s">
        <v>59</v>
      </c>
      <c r="C48" s="13"/>
      <c r="D48" s="28"/>
      <c r="E48" s="16"/>
      <c r="F48" s="16"/>
      <c r="G48" s="16"/>
      <c r="H48" s="17"/>
      <c r="I48" s="18">
        <v>4</v>
      </c>
      <c r="J48" s="19">
        <v>1306</v>
      </c>
      <c r="K48" s="19">
        <v>1208</v>
      </c>
      <c r="L48" s="20"/>
      <c r="M48" s="21">
        <v>1020</v>
      </c>
      <c r="N48" s="22"/>
      <c r="O48" s="23">
        <v>4</v>
      </c>
      <c r="P48" s="19">
        <v>1279</v>
      </c>
      <c r="Q48" s="19">
        <v>1180</v>
      </c>
      <c r="R48" s="19">
        <v>0</v>
      </c>
      <c r="S48" s="24">
        <v>979</v>
      </c>
      <c r="T48" s="25"/>
      <c r="U48" s="23">
        <v>4</v>
      </c>
      <c r="V48" s="19">
        <v>1347</v>
      </c>
      <c r="W48" s="19">
        <v>1191</v>
      </c>
      <c r="X48" s="19">
        <v>4</v>
      </c>
      <c r="Y48" s="21">
        <v>981</v>
      </c>
      <c r="Z48" s="22"/>
      <c r="AA48" s="23">
        <v>4</v>
      </c>
      <c r="AB48" s="19">
        <v>1576</v>
      </c>
      <c r="AC48" s="19">
        <v>1454</v>
      </c>
      <c r="AD48" s="19">
        <v>6</v>
      </c>
      <c r="AE48" s="19">
        <v>457</v>
      </c>
      <c r="AF48" s="24">
        <v>1208</v>
      </c>
    </row>
    <row r="49" spans="2:32">
      <c r="B49" s="12" t="s">
        <v>60</v>
      </c>
      <c r="C49" s="13"/>
      <c r="D49" s="14">
        <v>4</v>
      </c>
      <c r="E49" s="15">
        <v>1480</v>
      </c>
      <c r="F49" s="15">
        <v>118</v>
      </c>
      <c r="G49" s="15">
        <v>235</v>
      </c>
      <c r="H49" s="17"/>
      <c r="I49" s="18">
        <v>2</v>
      </c>
      <c r="J49" s="19">
        <v>1238</v>
      </c>
      <c r="K49" s="19">
        <v>532</v>
      </c>
      <c r="L49" s="19">
        <v>12</v>
      </c>
      <c r="M49" s="21">
        <v>286</v>
      </c>
      <c r="N49" s="22"/>
      <c r="O49" s="23">
        <v>2</v>
      </c>
      <c r="P49" s="19">
        <v>1196</v>
      </c>
      <c r="Q49" s="19">
        <v>516</v>
      </c>
      <c r="R49" s="19">
        <v>19</v>
      </c>
      <c r="S49" s="24">
        <v>297</v>
      </c>
      <c r="T49" s="25"/>
      <c r="U49" s="23">
        <v>2</v>
      </c>
      <c r="V49" s="19">
        <v>1237</v>
      </c>
      <c r="W49" s="19">
        <v>496</v>
      </c>
      <c r="X49" s="19">
        <v>18</v>
      </c>
      <c r="Y49" s="21">
        <v>284</v>
      </c>
      <c r="Z49" s="22"/>
      <c r="AA49" s="23">
        <v>2</v>
      </c>
      <c r="AB49" s="19">
        <v>1193</v>
      </c>
      <c r="AC49" s="19">
        <v>432</v>
      </c>
      <c r="AD49" s="19">
        <v>29</v>
      </c>
      <c r="AE49" s="19">
        <v>169</v>
      </c>
      <c r="AF49" s="24">
        <v>322</v>
      </c>
    </row>
    <row r="50" spans="2:32">
      <c r="B50" s="12" t="s">
        <v>61</v>
      </c>
      <c r="C50" s="13"/>
      <c r="D50" s="14">
        <v>6</v>
      </c>
      <c r="E50" s="15">
        <v>950</v>
      </c>
      <c r="F50" s="15">
        <v>423</v>
      </c>
      <c r="G50" s="15">
        <v>372</v>
      </c>
      <c r="H50" s="17"/>
      <c r="I50" s="18">
        <v>17</v>
      </c>
      <c r="J50" s="19">
        <v>905</v>
      </c>
      <c r="K50" s="20"/>
      <c r="L50" s="20"/>
      <c r="M50" s="21">
        <v>437</v>
      </c>
      <c r="N50" s="22"/>
      <c r="O50" s="23">
        <v>17</v>
      </c>
      <c r="P50" s="19">
        <v>1203</v>
      </c>
      <c r="Q50" s="19">
        <v>512</v>
      </c>
      <c r="R50" s="19">
        <v>7</v>
      </c>
      <c r="S50" s="24">
        <v>917</v>
      </c>
      <c r="T50" s="25"/>
      <c r="U50" s="23">
        <v>17</v>
      </c>
      <c r="V50" s="19">
        <v>1002</v>
      </c>
      <c r="W50" s="19">
        <v>408</v>
      </c>
      <c r="X50" s="19">
        <v>594</v>
      </c>
      <c r="Y50" s="21">
        <v>875</v>
      </c>
      <c r="Z50" s="22"/>
      <c r="AA50" s="23">
        <v>17</v>
      </c>
      <c r="AB50" s="19">
        <v>1258</v>
      </c>
      <c r="AC50" s="19">
        <v>428</v>
      </c>
      <c r="AD50" s="19">
        <v>59</v>
      </c>
      <c r="AE50" s="19">
        <v>564</v>
      </c>
      <c r="AF50" s="24">
        <v>365</v>
      </c>
    </row>
    <row r="51" spans="2:32">
      <c r="B51" s="12" t="s">
        <v>62</v>
      </c>
      <c r="C51" s="13"/>
      <c r="D51" s="14">
        <v>84</v>
      </c>
      <c r="E51" s="15">
        <v>19463</v>
      </c>
      <c r="F51" s="15">
        <v>5157</v>
      </c>
      <c r="G51" s="15">
        <v>5277</v>
      </c>
      <c r="H51" s="17"/>
      <c r="I51" s="18">
        <v>84</v>
      </c>
      <c r="J51" s="19">
        <v>21103</v>
      </c>
      <c r="K51" s="19">
        <v>6350</v>
      </c>
      <c r="L51" s="20"/>
      <c r="M51" s="21">
        <v>10924</v>
      </c>
      <c r="N51" s="22"/>
      <c r="O51" s="23">
        <v>84</v>
      </c>
      <c r="P51" s="19">
        <v>21793</v>
      </c>
      <c r="Q51" s="19">
        <v>6635</v>
      </c>
      <c r="R51" s="20"/>
      <c r="S51" s="24">
        <v>10776</v>
      </c>
      <c r="T51" s="25"/>
      <c r="U51" s="23">
        <v>85</v>
      </c>
      <c r="V51" s="19">
        <v>22600</v>
      </c>
      <c r="W51" s="19">
        <v>6897</v>
      </c>
      <c r="X51" s="20"/>
      <c r="Y51" s="21">
        <v>11157</v>
      </c>
      <c r="Z51" s="22"/>
      <c r="AA51" s="23">
        <v>89</v>
      </c>
      <c r="AB51" s="19">
        <v>24094</v>
      </c>
      <c r="AC51" s="19">
        <v>7348</v>
      </c>
      <c r="AD51" s="20"/>
      <c r="AE51" s="19">
        <v>5059</v>
      </c>
      <c r="AF51" s="24">
        <v>11564</v>
      </c>
    </row>
    <row r="52" spans="2:32">
      <c r="B52" s="12" t="s">
        <v>63</v>
      </c>
      <c r="C52" s="13"/>
      <c r="D52" s="14">
        <v>40</v>
      </c>
      <c r="E52" s="15">
        <v>2700</v>
      </c>
      <c r="F52" s="15">
        <v>226</v>
      </c>
      <c r="G52" s="15">
        <v>1064</v>
      </c>
      <c r="H52" s="17"/>
      <c r="I52" s="18">
        <v>41</v>
      </c>
      <c r="J52" s="19">
        <v>3037</v>
      </c>
      <c r="K52" s="19">
        <v>458</v>
      </c>
      <c r="L52" s="19">
        <v>10</v>
      </c>
      <c r="M52" s="21">
        <v>1470</v>
      </c>
      <c r="N52" s="22"/>
      <c r="O52" s="23">
        <v>41</v>
      </c>
      <c r="P52" s="19">
        <v>3169</v>
      </c>
      <c r="Q52" s="19">
        <v>472</v>
      </c>
      <c r="R52" s="19">
        <v>12</v>
      </c>
      <c r="S52" s="24">
        <v>1466</v>
      </c>
      <c r="T52" s="25"/>
      <c r="U52" s="23">
        <v>40</v>
      </c>
      <c r="V52" s="19">
        <v>3984</v>
      </c>
      <c r="W52" s="19">
        <v>597</v>
      </c>
      <c r="X52" s="19">
        <v>12</v>
      </c>
      <c r="Y52" s="21">
        <v>1916</v>
      </c>
      <c r="Z52" s="22"/>
      <c r="AA52" s="23">
        <v>38</v>
      </c>
      <c r="AB52" s="19">
        <v>3829</v>
      </c>
      <c r="AC52" s="19">
        <v>543</v>
      </c>
      <c r="AD52" s="20"/>
      <c r="AE52" s="19">
        <v>849</v>
      </c>
      <c r="AF52" s="24">
        <v>1850</v>
      </c>
    </row>
    <row r="53" spans="2:32">
      <c r="B53" s="12" t="s">
        <v>64</v>
      </c>
      <c r="C53" s="13"/>
      <c r="D53" s="14">
        <v>15</v>
      </c>
      <c r="E53" s="15">
        <v>3488</v>
      </c>
      <c r="F53" s="15">
        <v>10</v>
      </c>
      <c r="G53" s="15">
        <v>147</v>
      </c>
      <c r="H53" s="17"/>
      <c r="I53" s="20"/>
      <c r="J53" s="20"/>
      <c r="K53" s="20"/>
      <c r="L53" s="20"/>
      <c r="M53" s="27"/>
      <c r="N53" s="22"/>
      <c r="O53" s="20"/>
      <c r="P53" s="20"/>
      <c r="Q53" s="20"/>
      <c r="R53" s="20"/>
      <c r="S53" s="26"/>
      <c r="T53" s="25"/>
      <c r="U53" s="20"/>
      <c r="V53" s="20"/>
      <c r="W53" s="20"/>
      <c r="X53" s="20"/>
      <c r="Y53" s="27"/>
      <c r="Z53" s="22"/>
      <c r="AA53" s="23"/>
      <c r="AB53" s="19"/>
      <c r="AC53" s="19"/>
      <c r="AD53" s="19"/>
      <c r="AE53" s="19"/>
      <c r="AF53" s="24"/>
    </row>
    <row r="54" spans="2:32">
      <c r="B54" s="12" t="s">
        <v>65</v>
      </c>
      <c r="C54" s="13"/>
      <c r="D54" s="14">
        <v>28</v>
      </c>
      <c r="E54" s="15">
        <v>1295</v>
      </c>
      <c r="F54" s="15">
        <v>28</v>
      </c>
      <c r="G54" s="15">
        <v>359</v>
      </c>
      <c r="H54" s="17"/>
      <c r="I54" s="18">
        <v>28</v>
      </c>
      <c r="J54" s="19">
        <v>1422</v>
      </c>
      <c r="K54" s="19">
        <v>489</v>
      </c>
      <c r="L54" s="19">
        <v>12</v>
      </c>
      <c r="M54" s="21">
        <v>439</v>
      </c>
      <c r="N54" s="22"/>
      <c r="O54" s="23">
        <v>28</v>
      </c>
      <c r="P54" s="19">
        <v>1542</v>
      </c>
      <c r="Q54" s="19">
        <v>571</v>
      </c>
      <c r="R54" s="19">
        <v>5</v>
      </c>
      <c r="S54" s="24">
        <v>394</v>
      </c>
      <c r="T54" s="25"/>
      <c r="U54" s="23">
        <v>28</v>
      </c>
      <c r="V54" s="19">
        <v>1711</v>
      </c>
      <c r="W54" s="19">
        <v>628</v>
      </c>
      <c r="X54" s="19">
        <v>7</v>
      </c>
      <c r="Y54" s="21">
        <v>409</v>
      </c>
      <c r="Z54" s="22"/>
      <c r="AA54" s="23">
        <v>28</v>
      </c>
      <c r="AB54" s="19">
        <v>1731</v>
      </c>
      <c r="AC54" s="19">
        <v>652</v>
      </c>
      <c r="AD54" s="19">
        <v>12</v>
      </c>
      <c r="AE54" s="19">
        <v>38</v>
      </c>
      <c r="AF54" s="24">
        <v>424</v>
      </c>
    </row>
    <row r="55" spans="2:32">
      <c r="B55" s="12" t="s">
        <v>66</v>
      </c>
      <c r="C55" s="13"/>
      <c r="D55" s="14">
        <v>13</v>
      </c>
      <c r="E55" s="15">
        <v>646</v>
      </c>
      <c r="F55" s="15">
        <v>50</v>
      </c>
      <c r="G55" s="15">
        <v>200</v>
      </c>
      <c r="H55" s="17"/>
      <c r="I55" s="18">
        <v>14</v>
      </c>
      <c r="J55" s="19">
        <v>858</v>
      </c>
      <c r="K55" s="19">
        <v>286</v>
      </c>
      <c r="L55" s="19">
        <v>0</v>
      </c>
      <c r="M55" s="21">
        <v>187</v>
      </c>
      <c r="N55" s="22"/>
      <c r="O55" s="23">
        <v>14</v>
      </c>
      <c r="P55" s="19">
        <v>794</v>
      </c>
      <c r="Q55" s="19">
        <v>193</v>
      </c>
      <c r="R55" s="19">
        <v>0</v>
      </c>
      <c r="S55" s="24">
        <v>208</v>
      </c>
      <c r="T55" s="25"/>
      <c r="U55" s="23">
        <v>9</v>
      </c>
      <c r="V55" s="19">
        <v>656</v>
      </c>
      <c r="W55" s="19">
        <v>155</v>
      </c>
      <c r="X55" s="19">
        <v>0</v>
      </c>
      <c r="Y55" s="21">
        <v>153</v>
      </c>
      <c r="Z55" s="22"/>
      <c r="AA55" s="23">
        <v>9</v>
      </c>
      <c r="AB55" s="19">
        <v>680</v>
      </c>
      <c r="AC55" s="19">
        <v>176</v>
      </c>
      <c r="AD55" s="20"/>
      <c r="AE55" s="19">
        <v>201</v>
      </c>
      <c r="AF55" s="24">
        <v>246</v>
      </c>
    </row>
    <row r="56" spans="2:32">
      <c r="B56" s="12" t="s">
        <v>67</v>
      </c>
      <c r="C56" s="13"/>
      <c r="D56" s="14">
        <v>75</v>
      </c>
      <c r="E56" s="15">
        <v>5012</v>
      </c>
      <c r="F56" s="15">
        <v>2386</v>
      </c>
      <c r="G56" s="15">
        <v>1879</v>
      </c>
      <c r="H56" s="17"/>
      <c r="I56" s="18">
        <v>64</v>
      </c>
      <c r="J56" s="19">
        <v>5741</v>
      </c>
      <c r="K56" s="19">
        <v>3702</v>
      </c>
      <c r="L56" s="20"/>
      <c r="M56" s="21">
        <v>3491</v>
      </c>
      <c r="N56" s="22"/>
      <c r="O56" s="23">
        <v>64</v>
      </c>
      <c r="P56" s="19">
        <v>6075</v>
      </c>
      <c r="Q56" s="19">
        <v>3995</v>
      </c>
      <c r="R56" s="20"/>
      <c r="S56" s="24">
        <v>3677</v>
      </c>
      <c r="T56" s="25"/>
      <c r="U56" s="23">
        <v>64</v>
      </c>
      <c r="V56" s="19">
        <v>6517</v>
      </c>
      <c r="W56" s="19">
        <v>4324</v>
      </c>
      <c r="X56" s="20"/>
      <c r="Y56" s="21">
        <v>5440</v>
      </c>
      <c r="Z56" s="22"/>
      <c r="AA56" s="23">
        <v>65</v>
      </c>
      <c r="AB56" s="19">
        <v>6451</v>
      </c>
      <c r="AC56" s="19">
        <v>4258</v>
      </c>
      <c r="AD56" s="20"/>
      <c r="AE56" s="19">
        <v>900</v>
      </c>
      <c r="AF56" s="24">
        <v>3833</v>
      </c>
    </row>
    <row r="57" spans="2:32">
      <c r="B57" s="12" t="s">
        <v>68</v>
      </c>
      <c r="C57" s="13"/>
      <c r="D57" s="14">
        <v>172</v>
      </c>
      <c r="E57" s="15">
        <v>18723</v>
      </c>
      <c r="F57" s="16"/>
      <c r="G57" s="15">
        <v>18723</v>
      </c>
      <c r="H57" s="17"/>
      <c r="I57" s="18">
        <v>178</v>
      </c>
      <c r="J57" s="19">
        <v>21000</v>
      </c>
      <c r="K57" s="19">
        <v>8000</v>
      </c>
      <c r="L57" s="20"/>
      <c r="M57" s="21">
        <v>21000</v>
      </c>
      <c r="N57" s="22"/>
      <c r="O57" s="23">
        <v>178</v>
      </c>
      <c r="P57" s="19">
        <v>19898</v>
      </c>
      <c r="Q57" s="19">
        <v>7617</v>
      </c>
      <c r="R57" s="19">
        <v>114</v>
      </c>
      <c r="S57" s="24">
        <v>19714</v>
      </c>
      <c r="T57" s="25"/>
      <c r="U57" s="23">
        <v>80</v>
      </c>
      <c r="V57" s="19">
        <v>20993</v>
      </c>
      <c r="W57" s="19">
        <v>8001</v>
      </c>
      <c r="X57" s="19">
        <v>117</v>
      </c>
      <c r="Y57" s="21">
        <v>20993</v>
      </c>
      <c r="Z57" s="22"/>
      <c r="AA57" s="23">
        <v>181</v>
      </c>
      <c r="AB57" s="19">
        <v>21504</v>
      </c>
      <c r="AC57" s="19">
        <v>8531</v>
      </c>
      <c r="AD57" s="20"/>
      <c r="AE57" s="20"/>
      <c r="AF57" s="24">
        <v>21251</v>
      </c>
    </row>
    <row r="58" spans="2:32">
      <c r="B58" s="12" t="s">
        <v>69</v>
      </c>
      <c r="C58" s="13"/>
      <c r="D58" s="14">
        <v>66</v>
      </c>
      <c r="E58" s="15">
        <v>11671</v>
      </c>
      <c r="F58" s="15">
        <v>10987</v>
      </c>
      <c r="G58" s="36"/>
      <c r="H58" s="17"/>
      <c r="I58" s="18">
        <v>67</v>
      </c>
      <c r="J58" s="19">
        <v>12200</v>
      </c>
      <c r="K58" s="19">
        <v>6313</v>
      </c>
      <c r="L58" s="19">
        <v>212</v>
      </c>
      <c r="M58" s="21">
        <v>11480</v>
      </c>
      <c r="N58" s="22"/>
      <c r="O58" s="23">
        <v>67</v>
      </c>
      <c r="P58" s="19">
        <v>11671</v>
      </c>
      <c r="Q58" s="19">
        <v>6079</v>
      </c>
      <c r="R58" s="19">
        <v>345</v>
      </c>
      <c r="S58" s="24">
        <v>10947</v>
      </c>
      <c r="T58" s="25"/>
      <c r="U58" s="23">
        <v>59</v>
      </c>
      <c r="V58" s="19">
        <v>10433</v>
      </c>
      <c r="W58" s="19">
        <v>5383</v>
      </c>
      <c r="X58" s="19">
        <v>307</v>
      </c>
      <c r="Y58" s="21">
        <v>9792</v>
      </c>
      <c r="Z58" s="22"/>
      <c r="AA58" s="23">
        <v>57</v>
      </c>
      <c r="AB58" s="19">
        <v>9326</v>
      </c>
      <c r="AC58" s="19">
        <v>4815</v>
      </c>
      <c r="AD58" s="19">
        <v>231</v>
      </c>
      <c r="AE58" s="19">
        <v>8739</v>
      </c>
      <c r="AF58" s="24">
        <v>0</v>
      </c>
    </row>
    <row r="59" spans="2:32">
      <c r="B59" s="12" t="s">
        <v>70</v>
      </c>
      <c r="C59" s="13"/>
      <c r="D59" s="28"/>
      <c r="E59" s="16"/>
      <c r="F59" s="16"/>
      <c r="G59" s="16"/>
      <c r="H59" s="17"/>
      <c r="I59" s="20"/>
      <c r="J59" s="20"/>
      <c r="K59" s="20"/>
      <c r="L59" s="20"/>
      <c r="M59" s="27"/>
      <c r="N59" s="22"/>
      <c r="O59" s="23">
        <v>1</v>
      </c>
      <c r="P59" s="19">
        <v>248</v>
      </c>
      <c r="Q59" s="19">
        <v>42</v>
      </c>
      <c r="R59" s="19">
        <v>4</v>
      </c>
      <c r="S59" s="24">
        <v>120</v>
      </c>
      <c r="T59" s="25"/>
      <c r="U59" s="23">
        <v>1</v>
      </c>
      <c r="V59" s="20"/>
      <c r="W59" s="20"/>
      <c r="X59" s="20"/>
      <c r="Y59" s="27"/>
      <c r="Z59" s="22"/>
      <c r="AA59" s="23"/>
      <c r="AB59" s="19"/>
      <c r="AC59" s="19"/>
      <c r="AD59" s="19"/>
      <c r="AE59" s="19"/>
      <c r="AF59" s="24"/>
    </row>
    <row r="60" spans="2:32">
      <c r="B60" s="12" t="s">
        <v>71</v>
      </c>
      <c r="C60" s="13"/>
      <c r="D60" s="14">
        <v>7</v>
      </c>
      <c r="E60" s="15">
        <v>355</v>
      </c>
      <c r="F60" s="15">
        <v>20</v>
      </c>
      <c r="G60" s="15">
        <v>118</v>
      </c>
      <c r="H60" s="17"/>
      <c r="I60" s="18">
        <v>6</v>
      </c>
      <c r="J60" s="19">
        <v>395</v>
      </c>
      <c r="K60" s="19">
        <v>118</v>
      </c>
      <c r="L60" s="20"/>
      <c r="M60" s="21">
        <v>50</v>
      </c>
      <c r="N60" s="22"/>
      <c r="O60" s="23">
        <v>6</v>
      </c>
      <c r="P60" s="19">
        <v>441</v>
      </c>
      <c r="Q60" s="19">
        <v>114</v>
      </c>
      <c r="R60" s="20"/>
      <c r="S60" s="24">
        <v>157</v>
      </c>
      <c r="T60" s="25"/>
      <c r="U60" s="23">
        <v>6</v>
      </c>
      <c r="V60" s="19">
        <v>395</v>
      </c>
      <c r="W60" s="19">
        <v>98</v>
      </c>
      <c r="X60" s="20"/>
      <c r="Y60" s="21">
        <v>160</v>
      </c>
      <c r="Z60" s="22"/>
      <c r="AA60" s="23">
        <v>6</v>
      </c>
      <c r="AB60" s="19">
        <v>362</v>
      </c>
      <c r="AC60" s="19">
        <v>80</v>
      </c>
      <c r="AD60" s="19">
        <v>0</v>
      </c>
      <c r="AE60" s="20"/>
      <c r="AF60" s="24">
        <v>106</v>
      </c>
    </row>
    <row r="61" spans="2:32" ht="15.75" thickBot="1">
      <c r="B61" s="12" t="s">
        <v>72</v>
      </c>
      <c r="C61" s="13"/>
      <c r="D61" s="37">
        <v>21</v>
      </c>
      <c r="E61" s="38">
        <v>2889</v>
      </c>
      <c r="F61" s="38">
        <v>646</v>
      </c>
      <c r="G61" s="38">
        <v>1170</v>
      </c>
      <c r="H61" s="39"/>
      <c r="I61" s="40">
        <v>21</v>
      </c>
      <c r="J61" s="41">
        <v>3380</v>
      </c>
      <c r="K61" s="41">
        <v>1478</v>
      </c>
      <c r="L61" s="42"/>
      <c r="M61" s="43">
        <v>1869</v>
      </c>
      <c r="N61" s="44"/>
      <c r="O61" s="45">
        <v>21</v>
      </c>
      <c r="P61" s="41">
        <v>3625</v>
      </c>
      <c r="Q61" s="41">
        <v>1725</v>
      </c>
      <c r="R61" s="41">
        <v>8</v>
      </c>
      <c r="S61" s="46">
        <v>2087</v>
      </c>
      <c r="T61" s="25"/>
      <c r="U61" s="45">
        <v>23</v>
      </c>
      <c r="V61" s="41">
        <v>4021</v>
      </c>
      <c r="W61" s="41">
        <v>1888</v>
      </c>
      <c r="X61" s="41">
        <v>15</v>
      </c>
      <c r="Y61" s="43">
        <v>2286</v>
      </c>
      <c r="Z61" s="22"/>
      <c r="AA61" s="47">
        <v>25</v>
      </c>
      <c r="AB61" s="48">
        <v>4164</v>
      </c>
      <c r="AC61" s="48">
        <v>1922</v>
      </c>
      <c r="AD61" s="48">
        <v>18</v>
      </c>
      <c r="AE61" s="48">
        <v>753</v>
      </c>
      <c r="AF61" s="49">
        <v>2238</v>
      </c>
    </row>
    <row r="62" spans="2:32" ht="15.75" thickBot="1">
      <c r="B62" s="50"/>
      <c r="C62" s="50"/>
      <c r="D62" s="51">
        <f>SUM(D4:D61)</f>
        <v>1919</v>
      </c>
      <c r="E62" s="52">
        <f>SUM(E4:E61)</f>
        <v>452957</v>
      </c>
      <c r="F62" s="52">
        <f>SUM(F4:F61)</f>
        <v>51633</v>
      </c>
      <c r="G62" s="52">
        <f>SUM(G4:G61)</f>
        <v>62493</v>
      </c>
      <c r="H62" s="53"/>
      <c r="I62" s="54">
        <f>SUM(I4:I61)</f>
        <v>1951</v>
      </c>
      <c r="J62" s="55">
        <f>SUM(J4:J61)</f>
        <v>228954</v>
      </c>
      <c r="K62" s="56">
        <f>SUM(K4:K61)</f>
        <v>87965</v>
      </c>
      <c r="L62" s="56">
        <f>SUM(L4:L61)</f>
        <v>946</v>
      </c>
      <c r="M62" s="57">
        <f>SUM(M4:M61)</f>
        <v>133487</v>
      </c>
      <c r="N62" s="58"/>
      <c r="O62" s="59">
        <f>SUM(O4:O61)</f>
        <v>2036</v>
      </c>
      <c r="P62" s="60">
        <f>SUM(P4:P61)</f>
        <v>227440</v>
      </c>
      <c r="Q62" s="61">
        <f>SUM(Q4:Q61)</f>
        <v>84442</v>
      </c>
      <c r="R62" s="61">
        <f>SUM(R4:R61)</f>
        <v>1463</v>
      </c>
      <c r="S62" s="62">
        <f>SUM(S4:S61)</f>
        <v>134412</v>
      </c>
      <c r="T62" s="63"/>
      <c r="U62" s="56">
        <f>SUM(U4:U61)</f>
        <v>1832</v>
      </c>
      <c r="V62" s="60">
        <f>SUM(V4:V61)</f>
        <v>238318</v>
      </c>
      <c r="W62" s="61">
        <f>SUM(W4:W61)</f>
        <v>91782</v>
      </c>
      <c r="X62" s="61">
        <f>SUM(X4:X61)</f>
        <v>1963</v>
      </c>
      <c r="Y62" s="62">
        <f>SUM(Y4:Y61)</f>
        <v>144526</v>
      </c>
      <c r="Z62" s="63"/>
      <c r="AA62" s="55">
        <f t="shared" ref="AA62:AF62" si="0">SUM(AA4:AA61)</f>
        <v>1963</v>
      </c>
      <c r="AB62" s="56">
        <f t="shared" si="0"/>
        <v>237466</v>
      </c>
      <c r="AC62" s="56">
        <f t="shared" si="0"/>
        <v>87910</v>
      </c>
      <c r="AD62" s="56">
        <f t="shared" si="0"/>
        <v>1886</v>
      </c>
      <c r="AE62" s="56">
        <f t="shared" si="0"/>
        <v>56279</v>
      </c>
      <c r="AF62" s="64">
        <f t="shared" si="0"/>
        <v>129580</v>
      </c>
    </row>
    <row r="63" spans="2:32">
      <c r="B63" s="50"/>
      <c r="C63" s="50"/>
      <c r="D63" s="65"/>
      <c r="E63" s="65"/>
      <c r="F63" s="205">
        <f>F62+G62</f>
        <v>114126</v>
      </c>
      <c r="G63" s="206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203">
        <f>AE62+AF62</f>
        <v>185859</v>
      </c>
      <c r="AF63" s="204"/>
    </row>
    <row r="64" spans="2:32">
      <c r="B64" s="50"/>
      <c r="C64" s="50"/>
      <c r="D64" s="65"/>
      <c r="E64" s="65"/>
      <c r="F64" s="192" t="s">
        <v>73</v>
      </c>
      <c r="G64" s="193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194" t="s">
        <v>74</v>
      </c>
      <c r="AF64" s="194"/>
    </row>
  </sheetData>
  <mergeCells count="9">
    <mergeCell ref="F64:G64"/>
    <mergeCell ref="AE64:AF64"/>
    <mergeCell ref="D2:G2"/>
    <mergeCell ref="I2:M2"/>
    <mergeCell ref="O2:S2"/>
    <mergeCell ref="U2:Y2"/>
    <mergeCell ref="AA2:AF2"/>
    <mergeCell ref="AE63:AF63"/>
    <mergeCell ref="F63:G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2019-2022</vt:lpstr>
      <vt:lpstr>Détail 2022 2024</vt:lpstr>
      <vt:lpstr>Détail 2024 2026</vt:lpstr>
      <vt:lpstr>Bilan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dcterms:created xsi:type="dcterms:W3CDTF">2026-05-20T13:49:34Z</dcterms:created>
  <dcterms:modified xsi:type="dcterms:W3CDTF">2026-05-29T08:29:46Z</dcterms:modified>
</cp:coreProperties>
</file>