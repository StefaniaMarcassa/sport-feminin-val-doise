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ommunes" sheetId="2" state="visible" r:id="rId4"/>
    <sheet name="Cantons" sheetId="3" state="visible" r:id="rId5"/>
    <sheet name="EPCI" sheetId="4" state="visible" r:id="rId6"/>
    <sheet name="Associations_2025" sheetId="5" state="visible" r:id="rId7"/>
    <sheet name="Evolution" sheetId="6" state="visible" r:id="rId8"/>
    <sheet name="Territoires_2019_2025" sheetId="7" state="visible" r:id="rId9"/>
    <sheet name="Comites" sheetId="8" state="visible" r:id="rId10"/>
    <sheet name="Disciplines_5_saisons" sheetId="9" state="visible" r:id="rId11"/>
    <sheet name="Gouvernance" sheetId="10" state="visible" r:id="rId12"/>
    <sheet name="Sections_sportives" sheetId="11" state="visible" r:id="rId13"/>
    <sheet name="Installation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<sst xmlns="http://schemas.openxmlformats.org/spreadsheetml/2006/main" count="16705" uniqueCount="4109">
  <si>
    <t xml:space="preserve">Cartographie du sport associatif et du sport féminin en Val d'Oise</t>
  </si>
  <si>
    <t xml:space="preserve">Base consolidée construite à partir des fichiers de la Direction des Sports. Version du 21/09/2026.</t>
  </si>
  <si>
    <t xml:space="preserve">Onglet</t>
  </si>
  <si>
    <t xml:space="preserve">Contenu</t>
  </si>
  <si>
    <t xml:space="preserve">Communes</t>
  </si>
  <si>
    <t xml:space="preserve">183 communes du Val d'Oise. Volumes 2025 (associations civiles, adhérent·es F/H, bénévoles F, salariées F), scolaires, subventions, équipements, manifestations, sections sportives, séries 2019-2025. Les ratios sont des formules.</t>
  </si>
  <si>
    <t xml:space="preserve">Cantons</t>
  </si>
  <si>
    <t xml:space="preserve">18 cantons regroupés (Argenteuil 1-2-3 et Cergy 1-2 fusionnés, car ils découpent une même commune). Sommes par SUMIFS sur l'onglet Communes.</t>
  </si>
  <si>
    <t xml:space="preserve">EPCI</t>
  </si>
  <si>
    <t xml:space="preserve">12 intercommunalités (rattachement au code officiel géographique). Sommes par SUMIFS sur l'onglet Communes.</t>
  </si>
  <si>
    <t xml:space="preserve">Associations_2025</t>
  </si>
  <si>
    <t xml:space="preserve">Liste des 553 associations civiles 2025 avec commune, canton, EPCI, adhérent·es F/H, part F et profil de mixité.</t>
  </si>
  <si>
    <t xml:space="preserve">Evolution</t>
  </si>
  <si>
    <t xml:space="preserve">Totaux départementaux 2019-2025 : nombre d'associations civiles et volume de licencié·es / adhérent·es.</t>
  </si>
  <si>
    <t xml:space="preserve">Comites</t>
  </si>
  <si>
    <t xml:space="preserve">Comités départementaux : licencié·es et féminines par saison (2022/23 à 2025/26), actions « pratique féminine ».</t>
  </si>
  <si>
    <t xml:space="preserve">Gouvernance</t>
  </si>
  <si>
    <t xml:space="preserve">Enquête 2021 (pratiquantes, bénévoles, éducatrices, arbitres, présidentes) et répartition F/H des élu·es et directeur·rices des sports.</t>
  </si>
  <si>
    <t xml:space="preserve">Sections_sportives</t>
  </si>
  <si>
    <t xml:space="preserve">Sections sportives scolaires 2026-2027 du Val d'Oise (extrait du PDF académique).</t>
  </si>
  <si>
    <t xml:space="preserve">Installations</t>
  </si>
  <si>
    <t xml:space="preserve">Liste des 1 543 lieux de pratique, avec code commune.</t>
  </si>
  <si>
    <t xml:space="preserve">Définitions et limites</t>
  </si>
  <si>
    <t xml:space="preserve">Champ</t>
  </si>
  <si>
    <t xml:space="preserve">Les fichiers « associations civiles (01) et scolaires (02) » portent sur les associations aidées par le Département. Ce n'est pas un recensement de tous les clubs. Une commune « sans association » peut avoir des clubs non aidés.</t>
  </si>
  <si>
    <t xml:space="preserve">Part F 2025</t>
  </si>
  <si>
    <t xml:space="preserve">Adhérentes féminines / (adhérentes + adhérents masculins), déclaré par les associations en 2025. Même calcul pour 2024.</t>
  </si>
  <si>
    <t xml:space="preserve">Libellés trompeurs</t>
  </si>
  <si>
    <t xml:space="preserve">Dans les fichiers 2023-2025, plusieurs colonnes libellées « F » contiennent en fait des totaux F+H. Ex. 2025 : « Licencié F » = adhérents F+H dans 99 % des cas ; « Moins 18 F » + « Plus 18 F » = total F+H dans 95 % des cas. Ces colonnes ne sont pas utilisées comme données féminines. Idem pour « licencié Feminine » en 2023, traité comme un total.</t>
  </si>
  <si>
    <t xml:space="preserve">Rupture de série</t>
  </si>
  <si>
    <t xml:space="preserve">Jusqu'en 2023 le volume est un nombre de licencié·es ; en 2024-2025 c'est un nombre d'adhérent·es (F+H). La hausse 2023-2024 reflète en partie ce changement de mesure.</t>
  </si>
  <si>
    <t xml:space="preserve">Scolaires 2025</t>
  </si>
  <si>
    <t xml:space="preserve">La colonne s'intitule « Nombre Licencié F ». Le libellé n'est pas vérifiable ; le chiffre est probablement un total. À confirmer avec la Direction des Sports.</t>
  </si>
  <si>
    <t xml:space="preserve">Canton connu pour 108 communes (liste des subventions 2025). Pour les 75 autres, canton imputé à partir de la commune voisine la plus proche (colonne « canton_source »). À vérifier avec la liste officielle INSEE.</t>
  </si>
  <si>
    <t xml:space="preserve">Population</t>
  </si>
  <si>
    <t xml:space="preserve">Population municipale du code officiel géographique (paquet etalab « découpage administratif », mars 2026).</t>
  </si>
  <si>
    <t xml:space="preserve">Taux pour 1 000 hab.</t>
  </si>
  <si>
    <t xml:space="preserve">Les adhérent·es sont comptés dans la commune du siège de l'association, pas dans leur commune de résidence. Les taux par habitant indiquent une offre locale, pas une pratique des habitantes.</t>
  </si>
  <si>
    <t xml:space="preserve">Effectifs faibles</t>
  </si>
  <si>
    <t xml:space="preserve">Une part F calculée sur moins de 100 adhérent·es est fragile (colonne « fiabilite_part_F »).</t>
  </si>
  <si>
    <t xml:space="preserve">Chaque ligne est un lieu. La colonne source « installation Nombre » n'est pas documentée ; elle est reprise sans être interprétée.</t>
  </si>
  <si>
    <t xml:space="preserve">Hors département</t>
  </si>
  <si>
    <t xml:space="preserve">2 associations civiles 2025 et 2 associations subventionnées ont leur siège hors Val d'Oise (Conflans-Sainte-Honorine, Sacy-le-Grand, Belle-Église). Elles sont exclues des agrégats communaux.</t>
  </si>
  <si>
    <t xml:space="preserve">Ajouts 22/09/2026</t>
  </si>
  <si>
    <t xml:space="preserve">Disciplines_5_saisons</t>
  </si>
  <si>
    <t xml:space="preserve">Part des femmes par discipline : 2020/21 (enquête) puis 2022/23 à 2025/26 (comités). Total calculé sur les disciplines présentes les 5 saisons.</t>
  </si>
  <si>
    <t xml:space="preserve">Territoires_2019_2025</t>
  </si>
  <si>
    <t xml:space="preserve">Nombre d'associations aidées, volume de licencié·es / adhérent·es et panel d'associations présentes les 7 années, par canton et intercommunalité.</t>
  </si>
  <si>
    <t xml:space="preserve">Indicateurs par commune</t>
  </si>
  <si>
    <t xml:space="preserve">Colonnes grises = données sources agrégées ; colonnes de droite = ratios calculés par formule. Voir Lisez-moi pour les définitions.</t>
  </si>
  <si>
    <t xml:space="preserve">Code INSEE</t>
  </si>
  <si>
    <t xml:space="preserve">Commune</t>
  </si>
  <si>
    <t xml:space="preserve">Canton</t>
  </si>
  <si>
    <t xml:space="preserve">Source du canton</t>
  </si>
  <si>
    <t xml:space="preserve">Grille de densité INSEE</t>
  </si>
  <si>
    <t xml:space="preserve">Asso. civiles 2025</t>
  </si>
  <si>
    <t xml:space="preserve">Adhérentes F 2025</t>
  </si>
  <si>
    <t xml:space="preserve">Adhérents H 2025</t>
  </si>
  <si>
    <t xml:space="preserve">Bénévoles F 2025</t>
  </si>
  <si>
    <t xml:space="preserve">Salariées F 2025</t>
  </si>
  <si>
    <t xml:space="preserve">Asso. &lt;20 % F (2025)</t>
  </si>
  <si>
    <t xml:space="preserve">Asso. ≥60 % F (2025)</t>
  </si>
  <si>
    <t xml:space="preserve">Asso. civiles 2024</t>
  </si>
  <si>
    <t xml:space="preserve">Adhérentes F 2024</t>
  </si>
  <si>
    <t xml:space="preserve">Adhérents H 2024</t>
  </si>
  <si>
    <t xml:space="preserve">Asso. scolaires 2025</t>
  </si>
  <si>
    <t xml:space="preserve">Licencié·es scolaires 2025 (libellé F)</t>
  </si>
  <si>
    <t xml:space="preserve">Sections scolaires 2025</t>
  </si>
  <si>
    <t xml:space="preserve">Asso. civiles subventionnées 2025</t>
  </si>
  <si>
    <t xml:space="preserve">Asso. scolaires subventionnées 2025</t>
  </si>
  <si>
    <t xml:space="preserve">Lieux de pratique</t>
  </si>
  <si>
    <t xml:space="preserve">dont établissements scolaires</t>
  </si>
  <si>
    <t xml:space="preserve">dont piscines</t>
  </si>
  <si>
    <t xml:space="preserve">Manifestations 2023</t>
  </si>
  <si>
    <t xml:space="preserve">Manifestations 2024</t>
  </si>
  <si>
    <t xml:space="preserve">Manifestations 2025</t>
  </si>
  <si>
    <t xml:space="preserve">Sections sportives scolaires 2026-27</t>
  </si>
  <si>
    <t xml:space="preserve">dont sections féminines</t>
  </si>
  <si>
    <t xml:space="preserve">Asso. civiles 2019</t>
  </si>
  <si>
    <t xml:space="preserve">Asso. civiles 2020</t>
  </si>
  <si>
    <t xml:space="preserve">Asso. civiles 2021</t>
  </si>
  <si>
    <t xml:space="preserve">Asso. civiles 2022</t>
  </si>
  <si>
    <t xml:space="preserve">Asso. civiles 2023</t>
  </si>
  <si>
    <t xml:space="preserve">Licencié·es / adhérent·es 2019</t>
  </si>
  <si>
    <t xml:space="preserve">Licencié·es / adhérent·es 2020</t>
  </si>
  <si>
    <t xml:space="preserve">Licencié·es / adhérent·es 2021</t>
  </si>
  <si>
    <t xml:space="preserve">Licencié·es / adhérent·es 2022</t>
  </si>
  <si>
    <t xml:space="preserve">Licencié·es / adhérent·es 2023</t>
  </si>
  <si>
    <t xml:space="preserve">Licencié·es / adhérent·es 2024</t>
  </si>
  <si>
    <t xml:space="preserve">Licencié·es / adhérent·es 2025</t>
  </si>
  <si>
    <t xml:space="preserve">Adhérent·es total 2025</t>
  </si>
  <si>
    <t xml:space="preserve">Part F 2024</t>
  </si>
  <si>
    <t xml:space="preserve">Évolution part F (points)</t>
  </si>
  <si>
    <t xml:space="preserve">Adhérentes F pour 1 000 hab.</t>
  </si>
  <si>
    <t xml:space="preserve">Asso. civiles pour 10 000 hab.</t>
  </si>
  <si>
    <t xml:space="preserve">Lieux pour 10 000 hab.</t>
  </si>
  <si>
    <t xml:space="preserve">Bénévoles F pour 100 adhérentes</t>
  </si>
  <si>
    <t xml:space="preserve">Fiabilité part F</t>
  </si>
  <si>
    <t xml:space="preserve">95002</t>
  </si>
  <si>
    <t xml:space="preserve">Ableiges</t>
  </si>
  <si>
    <t xml:space="preserve">Pontoise</t>
  </si>
  <si>
    <t xml:space="preserve">liste subventions 2025</t>
  </si>
  <si>
    <t xml:space="preserve">CC Vexin Centre</t>
  </si>
  <si>
    <t xml:space="preserve">Rural à habitat dispersé</t>
  </si>
  <si>
    <t xml:space="preserve">95008</t>
  </si>
  <si>
    <t xml:space="preserve">Aincourt</t>
  </si>
  <si>
    <t xml:space="preserve">Vauréal</t>
  </si>
  <si>
    <t xml:space="preserve">imputé (commune voisine la plus proche)</t>
  </si>
  <si>
    <t xml:space="preserve">CC du Vexin-Val de Seine</t>
  </si>
  <si>
    <t xml:space="preserve">95011</t>
  </si>
  <si>
    <t xml:space="preserve">Ambleville</t>
  </si>
  <si>
    <t xml:space="preserve">95012</t>
  </si>
  <si>
    <t xml:space="preserve">Amenucourt</t>
  </si>
  <si>
    <t xml:space="preserve">95014</t>
  </si>
  <si>
    <t xml:space="preserve">Andilly</t>
  </si>
  <si>
    <t xml:space="preserve">Montmorency</t>
  </si>
  <si>
    <t xml:space="preserve">CA Plaine Vallée</t>
  </si>
  <si>
    <t xml:space="preserve">Grands centres urbains</t>
  </si>
  <si>
    <t xml:space="preserve">95018</t>
  </si>
  <si>
    <t xml:space="preserve">Argenteuil</t>
  </si>
  <si>
    <t xml:space="preserve">Argenteuil (1-2-3)</t>
  </si>
  <si>
    <t xml:space="preserve">Métropole du Grand Paris</t>
  </si>
  <si>
    <t xml:space="preserve">95019</t>
  </si>
  <si>
    <t xml:space="preserve">Arnouville</t>
  </si>
  <si>
    <t xml:space="preserve">Garges-lès-Gonesse</t>
  </si>
  <si>
    <t xml:space="preserve">CA Roissy Pays de France</t>
  </si>
  <si>
    <t xml:space="preserve">95023</t>
  </si>
  <si>
    <t xml:space="preserve">Arronville</t>
  </si>
  <si>
    <t xml:space="preserve">CC Sausseron Impressionnistes</t>
  </si>
  <si>
    <t xml:space="preserve">95024</t>
  </si>
  <si>
    <t xml:space="preserve">Arthies</t>
  </si>
  <si>
    <t xml:space="preserve">95026</t>
  </si>
  <si>
    <t xml:space="preserve">Asnières-sur-Oise</t>
  </si>
  <si>
    <t xml:space="preserve">Fosses</t>
  </si>
  <si>
    <t xml:space="preserve">CC Carnelle Pays-de-France</t>
  </si>
  <si>
    <t xml:space="preserve">Ceintures urbaines</t>
  </si>
  <si>
    <t xml:space="preserve">95028</t>
  </si>
  <si>
    <t xml:space="preserve">Attainville</t>
  </si>
  <si>
    <t xml:space="preserve">95039</t>
  </si>
  <si>
    <t xml:space="preserve">Auvers-sur-Oise</t>
  </si>
  <si>
    <t xml:space="preserve">Saint-Ouen-l'Aumône</t>
  </si>
  <si>
    <t xml:space="preserve">95040</t>
  </si>
  <si>
    <t xml:space="preserve">Avernes</t>
  </si>
  <si>
    <t xml:space="preserve">Bourgs ruraux</t>
  </si>
  <si>
    <t xml:space="preserve">95042</t>
  </si>
  <si>
    <t xml:space="preserve">Baillet-en-France</t>
  </si>
  <si>
    <t xml:space="preserve">Domont</t>
  </si>
  <si>
    <t xml:space="preserve">95046</t>
  </si>
  <si>
    <t xml:space="preserve">Banthelu</t>
  </si>
  <si>
    <t xml:space="preserve">95051</t>
  </si>
  <si>
    <t xml:space="preserve">Beauchamp</t>
  </si>
  <si>
    <t xml:space="preserve">Taverny</t>
  </si>
  <si>
    <t xml:space="preserve">CA Val Parisis</t>
  </si>
  <si>
    <t xml:space="preserve">95052</t>
  </si>
  <si>
    <t xml:space="preserve">Beaumont-sur-Oise</t>
  </si>
  <si>
    <t xml:space="preserve">L'Isle-Adam</t>
  </si>
  <si>
    <t xml:space="preserve">CC du Haut Val d'Oise</t>
  </si>
  <si>
    <t xml:space="preserve">Centres urbains intermédiaires</t>
  </si>
  <si>
    <t xml:space="preserve">95055</t>
  </si>
  <si>
    <t xml:space="preserve">Bellefontaine</t>
  </si>
  <si>
    <t xml:space="preserve">95056</t>
  </si>
  <si>
    <t xml:space="preserve">Belloy-en-France</t>
  </si>
  <si>
    <t xml:space="preserve">95058</t>
  </si>
  <si>
    <t xml:space="preserve">Bernes-sur-Oise</t>
  </si>
  <si>
    <t xml:space="preserve">95059</t>
  </si>
  <si>
    <t xml:space="preserve">Berville</t>
  </si>
  <si>
    <t xml:space="preserve">95060</t>
  </si>
  <si>
    <t xml:space="preserve">Bessancourt</t>
  </si>
  <si>
    <t xml:space="preserve">95063</t>
  </si>
  <si>
    <t xml:space="preserve">Bezons</t>
  </si>
  <si>
    <t xml:space="preserve">CA Saint Germain Boucles de Seine</t>
  </si>
  <si>
    <t xml:space="preserve">95074</t>
  </si>
  <si>
    <t xml:space="preserve">Boisemont</t>
  </si>
  <si>
    <t xml:space="preserve">CA de Cergy-Pontoise</t>
  </si>
  <si>
    <t xml:space="preserve">95078</t>
  </si>
  <si>
    <t xml:space="preserve">Boissy-l'Aillerie</t>
  </si>
  <si>
    <t xml:space="preserve">95088</t>
  </si>
  <si>
    <t xml:space="preserve">Bonneuil-en-France</t>
  </si>
  <si>
    <t xml:space="preserve">95091</t>
  </si>
  <si>
    <t xml:space="preserve">Bouffémont</t>
  </si>
  <si>
    <t xml:space="preserve">95094</t>
  </si>
  <si>
    <t xml:space="preserve">Bouqueval</t>
  </si>
  <si>
    <t xml:space="preserve">Villiers-le-Bel</t>
  </si>
  <si>
    <t xml:space="preserve">95101</t>
  </si>
  <si>
    <t xml:space="preserve">Bray-et-Lû</t>
  </si>
  <si>
    <t xml:space="preserve">95110</t>
  </si>
  <si>
    <t xml:space="preserve">Brignancourt</t>
  </si>
  <si>
    <t xml:space="preserve">95116</t>
  </si>
  <si>
    <t xml:space="preserve">Bruyères-sur-Oise</t>
  </si>
  <si>
    <t xml:space="preserve">95102</t>
  </si>
  <si>
    <t xml:space="preserve">Bréançon</t>
  </si>
  <si>
    <t xml:space="preserve">95119</t>
  </si>
  <si>
    <t xml:space="preserve">Buhy</t>
  </si>
  <si>
    <t xml:space="preserve">95120</t>
  </si>
  <si>
    <t xml:space="preserve">Butry-sur-Oise</t>
  </si>
  <si>
    <t xml:space="preserve">95061</t>
  </si>
  <si>
    <t xml:space="preserve">Béthemont-la-Forêt</t>
  </si>
  <si>
    <t xml:space="preserve">CC de la Vallée de l'Oise et des Trois Forêts</t>
  </si>
  <si>
    <t xml:space="preserve">95127</t>
  </si>
  <si>
    <t xml:space="preserve">Cergy</t>
  </si>
  <si>
    <t xml:space="preserve">Cergy (1-2)</t>
  </si>
  <si>
    <t xml:space="preserve">95134</t>
  </si>
  <si>
    <t xml:space="preserve">Champagne-sur-Oise</t>
  </si>
  <si>
    <t xml:space="preserve">95141</t>
  </si>
  <si>
    <t xml:space="preserve">Charmont</t>
  </si>
  <si>
    <t xml:space="preserve">95142</t>
  </si>
  <si>
    <t xml:space="preserve">Chars</t>
  </si>
  <si>
    <t xml:space="preserve">95149</t>
  </si>
  <si>
    <t xml:space="preserve">Chaumontel</t>
  </si>
  <si>
    <t xml:space="preserve">Petites villes</t>
  </si>
  <si>
    <t xml:space="preserve">95150</t>
  </si>
  <si>
    <t xml:space="preserve">Chaussy</t>
  </si>
  <si>
    <t xml:space="preserve">95151</t>
  </si>
  <si>
    <t xml:space="preserve">Chauvry</t>
  </si>
  <si>
    <t xml:space="preserve">95154</t>
  </si>
  <si>
    <t xml:space="preserve">Chennevières-lès-Louvres</t>
  </si>
  <si>
    <t xml:space="preserve">Goussainville</t>
  </si>
  <si>
    <t xml:space="preserve">95144</t>
  </si>
  <si>
    <t xml:space="preserve">Châtenay-en-France</t>
  </si>
  <si>
    <t xml:space="preserve">95157</t>
  </si>
  <si>
    <t xml:space="preserve">Chérence</t>
  </si>
  <si>
    <t xml:space="preserve">95166</t>
  </si>
  <si>
    <t xml:space="preserve">Cléry-en-Vexin</t>
  </si>
  <si>
    <t xml:space="preserve">95169</t>
  </si>
  <si>
    <t xml:space="preserve">Commeny</t>
  </si>
  <si>
    <t xml:space="preserve">95170</t>
  </si>
  <si>
    <t xml:space="preserve">Condécourt</t>
  </si>
  <si>
    <t xml:space="preserve">95176</t>
  </si>
  <si>
    <t xml:space="preserve">Cormeilles-en-Parisis</t>
  </si>
  <si>
    <t xml:space="preserve">Franconville</t>
  </si>
  <si>
    <t xml:space="preserve">95177</t>
  </si>
  <si>
    <t xml:space="preserve">Cormeilles-en-Vexin</t>
  </si>
  <si>
    <t xml:space="preserve">95181</t>
  </si>
  <si>
    <t xml:space="preserve">Courcelles-sur-Viosne</t>
  </si>
  <si>
    <t xml:space="preserve">95183</t>
  </si>
  <si>
    <t xml:space="preserve">Courdimanche</t>
  </si>
  <si>
    <t xml:space="preserve">95197</t>
  </si>
  <si>
    <t xml:space="preserve">Deuil-la-Barre</t>
  </si>
  <si>
    <t xml:space="preserve">95199</t>
  </si>
  <si>
    <t xml:space="preserve">95203</t>
  </si>
  <si>
    <t xml:space="preserve">Eaubonne</t>
  </si>
  <si>
    <t xml:space="preserve">Ermont</t>
  </si>
  <si>
    <t xml:space="preserve">95210</t>
  </si>
  <si>
    <t xml:space="preserve">Enghien-les-Bains</t>
  </si>
  <si>
    <t xml:space="preserve">95211</t>
  </si>
  <si>
    <t xml:space="preserve">Ennery</t>
  </si>
  <si>
    <t xml:space="preserve">95219</t>
  </si>
  <si>
    <t xml:space="preserve">95241</t>
  </si>
  <si>
    <t xml:space="preserve">Fontenay-en-Parisis</t>
  </si>
  <si>
    <t xml:space="preserve">95250</t>
  </si>
  <si>
    <t xml:space="preserve">95252</t>
  </si>
  <si>
    <t xml:space="preserve">95258</t>
  </si>
  <si>
    <t xml:space="preserve">Frouville</t>
  </si>
  <si>
    <t xml:space="preserve">95253</t>
  </si>
  <si>
    <t xml:space="preserve">Frémainville</t>
  </si>
  <si>
    <t xml:space="preserve">95254</t>
  </si>
  <si>
    <t xml:space="preserve">Frémécourt</t>
  </si>
  <si>
    <t xml:space="preserve">95256</t>
  </si>
  <si>
    <t xml:space="preserve">Frépillon</t>
  </si>
  <si>
    <t xml:space="preserve">95268</t>
  </si>
  <si>
    <t xml:space="preserve">95270</t>
  </si>
  <si>
    <t xml:space="preserve">Genainville</t>
  </si>
  <si>
    <t xml:space="preserve">95277</t>
  </si>
  <si>
    <t xml:space="preserve">Gonesse</t>
  </si>
  <si>
    <t xml:space="preserve">95280</t>
  </si>
  <si>
    <t xml:space="preserve">95287</t>
  </si>
  <si>
    <t xml:space="preserve">Grisy-les-Plâtres</t>
  </si>
  <si>
    <t xml:space="preserve">95288</t>
  </si>
  <si>
    <t xml:space="preserve">Groslay</t>
  </si>
  <si>
    <t xml:space="preserve">95295</t>
  </si>
  <si>
    <t xml:space="preserve">Guiry-en-Vexin</t>
  </si>
  <si>
    <t xml:space="preserve">95271</t>
  </si>
  <si>
    <t xml:space="preserve">Génicourt</t>
  </si>
  <si>
    <t xml:space="preserve">95298</t>
  </si>
  <si>
    <t xml:space="preserve">Haravilliers</t>
  </si>
  <si>
    <t xml:space="preserve">95301</t>
  </si>
  <si>
    <t xml:space="preserve">Haute-Isle</t>
  </si>
  <si>
    <t xml:space="preserve">95306</t>
  </si>
  <si>
    <t xml:space="preserve">Herblay-sur-Seine</t>
  </si>
  <si>
    <t xml:space="preserve">95309</t>
  </si>
  <si>
    <t xml:space="preserve">Hodent</t>
  </si>
  <si>
    <t xml:space="preserve">95304</t>
  </si>
  <si>
    <t xml:space="preserve">Hédouville</t>
  </si>
  <si>
    <t xml:space="preserve">95308</t>
  </si>
  <si>
    <t xml:space="preserve">Hérouville-en-Vexin</t>
  </si>
  <si>
    <t xml:space="preserve">95316</t>
  </si>
  <si>
    <t xml:space="preserve">Jagny-sous-Bois</t>
  </si>
  <si>
    <t xml:space="preserve">95323</t>
  </si>
  <si>
    <t xml:space="preserve">Jouy-le-Moutier</t>
  </si>
  <si>
    <t xml:space="preserve">95313</t>
  </si>
  <si>
    <t xml:space="preserve">95139</t>
  </si>
  <si>
    <t xml:space="preserve">La Chapelle-en-Vexin</t>
  </si>
  <si>
    <t xml:space="preserve">95257</t>
  </si>
  <si>
    <t xml:space="preserve">La Frette-sur-Seine</t>
  </si>
  <si>
    <t xml:space="preserve">95523</t>
  </si>
  <si>
    <t xml:space="preserve">La Roche-Guyon</t>
  </si>
  <si>
    <t xml:space="preserve">95328</t>
  </si>
  <si>
    <t xml:space="preserve">Labbeville</t>
  </si>
  <si>
    <t xml:space="preserve">95331</t>
  </si>
  <si>
    <t xml:space="preserve">Lassy</t>
  </si>
  <si>
    <t xml:space="preserve">95054</t>
  </si>
  <si>
    <t xml:space="preserve">Le Bellay-en-Vexin</t>
  </si>
  <si>
    <t xml:space="preserve">95303</t>
  </si>
  <si>
    <t xml:space="preserve">Le Heaulme</t>
  </si>
  <si>
    <t xml:space="preserve">95395</t>
  </si>
  <si>
    <t xml:space="preserve">Le Mesnil-Aubry</t>
  </si>
  <si>
    <t xml:space="preserve">95483</t>
  </si>
  <si>
    <t xml:space="preserve">Le Perchay</t>
  </si>
  <si>
    <t xml:space="preserve">95491</t>
  </si>
  <si>
    <t xml:space="preserve">Le Plessis-Bouchard</t>
  </si>
  <si>
    <t xml:space="preserve">95492</t>
  </si>
  <si>
    <t xml:space="preserve">Le Plessis-Gassot</t>
  </si>
  <si>
    <t xml:space="preserve">95493</t>
  </si>
  <si>
    <t xml:space="preserve">Le Plessis-Luzarches</t>
  </si>
  <si>
    <t xml:space="preserve">95612</t>
  </si>
  <si>
    <t xml:space="preserve">Le Thillay</t>
  </si>
  <si>
    <t xml:space="preserve">95341</t>
  </si>
  <si>
    <t xml:space="preserve">Livilliers</t>
  </si>
  <si>
    <t xml:space="preserve">95348</t>
  </si>
  <si>
    <t xml:space="preserve">Longuesse</t>
  </si>
  <si>
    <t xml:space="preserve">95351</t>
  </si>
  <si>
    <t xml:space="preserve">Louvres</t>
  </si>
  <si>
    <t xml:space="preserve">95352</t>
  </si>
  <si>
    <t xml:space="preserve">Luzarches</t>
  </si>
  <si>
    <t xml:space="preserve">95353</t>
  </si>
  <si>
    <t xml:space="preserve">Maffliers</t>
  </si>
  <si>
    <t xml:space="preserve">95355</t>
  </si>
  <si>
    <t xml:space="preserve">Magny-en-Vexin</t>
  </si>
  <si>
    <t xml:space="preserve">95365</t>
  </si>
  <si>
    <t xml:space="preserve">Mareil-en-France</t>
  </si>
  <si>
    <t xml:space="preserve">95369</t>
  </si>
  <si>
    <t xml:space="preserve">Margency</t>
  </si>
  <si>
    <t xml:space="preserve">95370</t>
  </si>
  <si>
    <t xml:space="preserve">Marines</t>
  </si>
  <si>
    <t xml:space="preserve">95371</t>
  </si>
  <si>
    <t xml:space="preserve">Marly-la-Ville</t>
  </si>
  <si>
    <t xml:space="preserve">95379</t>
  </si>
  <si>
    <t xml:space="preserve">Maudétour-en-Vexin</t>
  </si>
  <si>
    <t xml:space="preserve">95387</t>
  </si>
  <si>
    <t xml:space="preserve">Menouville</t>
  </si>
  <si>
    <t xml:space="preserve">95388</t>
  </si>
  <si>
    <t xml:space="preserve">Menucourt</t>
  </si>
  <si>
    <t xml:space="preserve">95409</t>
  </si>
  <si>
    <t xml:space="preserve">Moisselles</t>
  </si>
  <si>
    <t xml:space="preserve">95422</t>
  </si>
  <si>
    <t xml:space="preserve">Montgeroult</t>
  </si>
  <si>
    <t xml:space="preserve">95424</t>
  </si>
  <si>
    <t xml:space="preserve">Montigny-lès-Cormeilles</t>
  </si>
  <si>
    <t xml:space="preserve">95426</t>
  </si>
  <si>
    <t xml:space="preserve">Montlignon</t>
  </si>
  <si>
    <t xml:space="preserve">95427</t>
  </si>
  <si>
    <t xml:space="preserve">Montmagny</t>
  </si>
  <si>
    <t xml:space="preserve">95428</t>
  </si>
  <si>
    <t xml:space="preserve">95429</t>
  </si>
  <si>
    <t xml:space="preserve">Montreuil-sur-Epte</t>
  </si>
  <si>
    <t xml:space="preserve">95430</t>
  </si>
  <si>
    <t xml:space="preserve">Montsoult</t>
  </si>
  <si>
    <t xml:space="preserve">95436</t>
  </si>
  <si>
    <t xml:space="preserve">Mours</t>
  </si>
  <si>
    <t xml:space="preserve">95438</t>
  </si>
  <si>
    <t xml:space="preserve">Moussy</t>
  </si>
  <si>
    <t xml:space="preserve">95392</t>
  </si>
  <si>
    <t xml:space="preserve">Mériel</t>
  </si>
  <si>
    <t xml:space="preserve">95394</t>
  </si>
  <si>
    <t xml:space="preserve">Méry-sur-Oise</t>
  </si>
  <si>
    <t xml:space="preserve">95445</t>
  </si>
  <si>
    <t xml:space="preserve">Nerville-la-Forêt</t>
  </si>
  <si>
    <t xml:space="preserve">95446</t>
  </si>
  <si>
    <t xml:space="preserve">Nesles-la-Vallée</t>
  </si>
  <si>
    <t xml:space="preserve">95447</t>
  </si>
  <si>
    <t xml:space="preserve">Neuilly-en-Vexin</t>
  </si>
  <si>
    <t xml:space="preserve">95450</t>
  </si>
  <si>
    <t xml:space="preserve">Neuville-sur-Oise</t>
  </si>
  <si>
    <t xml:space="preserve">95452</t>
  </si>
  <si>
    <t xml:space="preserve">Nointel</t>
  </si>
  <si>
    <t xml:space="preserve">95456</t>
  </si>
  <si>
    <t xml:space="preserve">Noisy-sur-Oise</t>
  </si>
  <si>
    <t xml:space="preserve">95459</t>
  </si>
  <si>
    <t xml:space="preserve">Nucourt</t>
  </si>
  <si>
    <t xml:space="preserve">95462</t>
  </si>
  <si>
    <t xml:space="preserve">Omerville</t>
  </si>
  <si>
    <t xml:space="preserve">95476</t>
  </si>
  <si>
    <t xml:space="preserve">Osny</t>
  </si>
  <si>
    <t xml:space="preserve">95480</t>
  </si>
  <si>
    <t xml:space="preserve">Parmain</t>
  </si>
  <si>
    <t xml:space="preserve">95487</t>
  </si>
  <si>
    <t xml:space="preserve">Persan</t>
  </si>
  <si>
    <t xml:space="preserve">95488</t>
  </si>
  <si>
    <t xml:space="preserve">Pierrelaye</t>
  </si>
  <si>
    <t xml:space="preserve">95489</t>
  </si>
  <si>
    <t xml:space="preserve">Piscop</t>
  </si>
  <si>
    <t xml:space="preserve">95500</t>
  </si>
  <si>
    <t xml:space="preserve">95504</t>
  </si>
  <si>
    <t xml:space="preserve">Presles</t>
  </si>
  <si>
    <t xml:space="preserve">95510</t>
  </si>
  <si>
    <t xml:space="preserve">Puiseux-Pontoise</t>
  </si>
  <si>
    <t xml:space="preserve">95509</t>
  </si>
  <si>
    <t xml:space="preserve">Puiseux-en-France</t>
  </si>
  <si>
    <t xml:space="preserve">95527</t>
  </si>
  <si>
    <t xml:space="preserve">Roissy-en-France</t>
  </si>
  <si>
    <t xml:space="preserve">95529</t>
  </si>
  <si>
    <t xml:space="preserve">Ronquerolles</t>
  </si>
  <si>
    <t xml:space="preserve">95535</t>
  </si>
  <si>
    <t xml:space="preserve">Sagy</t>
  </si>
  <si>
    <t xml:space="preserve">95539</t>
  </si>
  <si>
    <t xml:space="preserve">Saint-Brice-sous-Forêt</t>
  </si>
  <si>
    <t xml:space="preserve">95541</t>
  </si>
  <si>
    <t xml:space="preserve">Saint-Clair-sur-Epte</t>
  </si>
  <si>
    <t xml:space="preserve">95543</t>
  </si>
  <si>
    <t xml:space="preserve">Saint-Cyr-en-Arthies</t>
  </si>
  <si>
    <t xml:space="preserve">95554</t>
  </si>
  <si>
    <t xml:space="preserve">Saint-Gervais</t>
  </si>
  <si>
    <t xml:space="preserve">95555</t>
  </si>
  <si>
    <t xml:space="preserve">Saint-Gratien</t>
  </si>
  <si>
    <t xml:space="preserve">95563</t>
  </si>
  <si>
    <t xml:space="preserve">Saint-Leu-la-Forêt</t>
  </si>
  <si>
    <t xml:space="preserve">95566</t>
  </si>
  <si>
    <t xml:space="preserve">Saint-Martin-du-Tertre</t>
  </si>
  <si>
    <t xml:space="preserve">95572</t>
  </si>
  <si>
    <t xml:space="preserve">95574</t>
  </si>
  <si>
    <t xml:space="preserve">Saint-Prix</t>
  </si>
  <si>
    <t xml:space="preserve">95580</t>
  </si>
  <si>
    <t xml:space="preserve">Saint-Witz</t>
  </si>
  <si>
    <t xml:space="preserve">95582</t>
  </si>
  <si>
    <t xml:space="preserve">Sannois</t>
  </si>
  <si>
    <t xml:space="preserve">95584</t>
  </si>
  <si>
    <t xml:space="preserve">Santeuil</t>
  </si>
  <si>
    <t xml:space="preserve">95585</t>
  </si>
  <si>
    <t xml:space="preserve">Sarcelles</t>
  </si>
  <si>
    <t xml:space="preserve">95592</t>
  </si>
  <si>
    <t xml:space="preserve">Seraincourt</t>
  </si>
  <si>
    <t xml:space="preserve">95594</t>
  </si>
  <si>
    <t xml:space="preserve">Seugy</t>
  </si>
  <si>
    <t xml:space="preserve">95598</t>
  </si>
  <si>
    <t xml:space="preserve">Soisy-sous-Montmorency</t>
  </si>
  <si>
    <t xml:space="preserve">95604</t>
  </si>
  <si>
    <t xml:space="preserve">Survilliers</t>
  </si>
  <si>
    <t xml:space="preserve">95607</t>
  </si>
  <si>
    <t xml:space="preserve">95611</t>
  </si>
  <si>
    <t xml:space="preserve">Theuville</t>
  </si>
  <si>
    <t xml:space="preserve">95610</t>
  </si>
  <si>
    <t xml:space="preserve">Théméricourt</t>
  </si>
  <si>
    <t xml:space="preserve">95625</t>
  </si>
  <si>
    <t xml:space="preserve">Us</t>
  </si>
  <si>
    <t xml:space="preserve">95627</t>
  </si>
  <si>
    <t xml:space="preserve">Vallangoujard</t>
  </si>
  <si>
    <t xml:space="preserve">95628</t>
  </si>
  <si>
    <t xml:space="preserve">Valmondois</t>
  </si>
  <si>
    <t xml:space="preserve">95633</t>
  </si>
  <si>
    <t xml:space="preserve">Vaudherland</t>
  </si>
  <si>
    <t xml:space="preserve">95637</t>
  </si>
  <si>
    <t xml:space="preserve">95652</t>
  </si>
  <si>
    <t xml:space="preserve">Viarmes</t>
  </si>
  <si>
    <t xml:space="preserve">95656</t>
  </si>
  <si>
    <t xml:space="preserve">Vienne-en-Arthies</t>
  </si>
  <si>
    <t xml:space="preserve">95658</t>
  </si>
  <si>
    <t xml:space="preserve">Vigny</t>
  </si>
  <si>
    <t xml:space="preserve">95660</t>
  </si>
  <si>
    <t xml:space="preserve">Villaines-sous-Bois</t>
  </si>
  <si>
    <t xml:space="preserve">95675</t>
  </si>
  <si>
    <t xml:space="preserve">Villeron</t>
  </si>
  <si>
    <t xml:space="preserve">95676</t>
  </si>
  <si>
    <t xml:space="preserve">Villers-en-Arthies</t>
  </si>
  <si>
    <t xml:space="preserve">95678</t>
  </si>
  <si>
    <t xml:space="preserve">Villiers-Adam</t>
  </si>
  <si>
    <t xml:space="preserve">95680</t>
  </si>
  <si>
    <t xml:space="preserve">95682</t>
  </si>
  <si>
    <t xml:space="preserve">Villiers-le-Sec</t>
  </si>
  <si>
    <t xml:space="preserve">95641</t>
  </si>
  <si>
    <t xml:space="preserve">Vémars</t>
  </si>
  <si>
    <t xml:space="preserve">95651</t>
  </si>
  <si>
    <t xml:space="preserve">Vétheuil</t>
  </si>
  <si>
    <t xml:space="preserve">95690</t>
  </si>
  <si>
    <t xml:space="preserve">Wy-dit-Joli-Village</t>
  </si>
  <si>
    <t xml:space="preserve">95205</t>
  </si>
  <si>
    <t xml:space="preserve">Écouen</t>
  </si>
  <si>
    <t xml:space="preserve">95213</t>
  </si>
  <si>
    <t xml:space="preserve">Épiais-Rhus</t>
  </si>
  <si>
    <t xml:space="preserve">95212</t>
  </si>
  <si>
    <t xml:space="preserve">Épiais-lès-Louvres</t>
  </si>
  <si>
    <t xml:space="preserve">95214</t>
  </si>
  <si>
    <t xml:space="preserve">Épinay-Champlâtreux</t>
  </si>
  <si>
    <t xml:space="preserve">Rural à habitat très dispersé</t>
  </si>
  <si>
    <t xml:space="preserve">95218</t>
  </si>
  <si>
    <t xml:space="preserve">Éragny-sur-Oise</t>
  </si>
  <si>
    <t xml:space="preserve">95229</t>
  </si>
  <si>
    <t xml:space="preserve">Ézanville</t>
  </si>
  <si>
    <t xml:space="preserve">Indicateurs par canton</t>
  </si>
  <si>
    <t xml:space="preserve">Sommes calculées par SUMIFS sur l'onglet Communes ; ratios par formule.</t>
  </si>
  <si>
    <t xml:space="preserve">Nb communes</t>
  </si>
  <si>
    <t xml:space="preserve">Communes sans asso. civile aidée</t>
  </si>
  <si>
    <t xml:space="preserve">Total Val d'Oise</t>
  </si>
  <si>
    <t xml:space="preserve">Indicateurs par EPCI</t>
  </si>
  <si>
    <t xml:space="preserve">Associations sportives civiles aidées, 2025</t>
  </si>
  <si>
    <t xml:space="preserve">Source : onglet « 2025 ASS CIVILES ». Part F et profil calculés par formule.</t>
  </si>
  <si>
    <t xml:space="preserve">Association</t>
  </si>
  <si>
    <t xml:space="preserve">Ville (source)</t>
  </si>
  <si>
    <t xml:space="preserve">Adhérentes F</t>
  </si>
  <si>
    <t xml:space="preserve">Adhérents H</t>
  </si>
  <si>
    <t xml:space="preserve">Bénévoles F</t>
  </si>
  <si>
    <t xml:space="preserve">Salariées F</t>
  </si>
  <si>
    <t xml:space="preserve">Adhérent·es total</t>
  </si>
  <si>
    <t xml:space="preserve">Part F</t>
  </si>
  <si>
    <t xml:space="preserve">Profil de mixité</t>
  </si>
  <si>
    <t xml:space="preserve">ASS SPORTIVE DU GOLF CLUB D ABLEIGES</t>
  </si>
  <si>
    <t xml:space="preserve">ABLEIGES</t>
  </si>
  <si>
    <t xml:space="preserve">APCLES</t>
  </si>
  <si>
    <t xml:space="preserve">ARGENTEUIL</t>
  </si>
  <si>
    <t xml:space="preserve">ARGENTEUIL BASKET BALL</t>
  </si>
  <si>
    <t xml:space="preserve">ARGENTEUIL FOOTBALL CLUB</t>
  </si>
  <si>
    <t xml:space="preserve">ARGENTEUIL NATATION</t>
  </si>
  <si>
    <t xml:space="preserve">ARGENTEUIL TENNIS DE TABLE</t>
  </si>
  <si>
    <t xml:space="preserve">ARGENTEUIL VAL DE SEINE CYCLISME</t>
  </si>
  <si>
    <t xml:space="preserve">ARGENTEUIL VOLLEY BALL 95</t>
  </si>
  <si>
    <t xml:space="preserve">CLUB DE PLONGEE DE LA POLICE ET DE LA JUSTICE DU VAL D OISE</t>
  </si>
  <si>
    <t xml:space="preserve">CLUB DES PETITS PLONGEURS DE LA POLICE</t>
  </si>
  <si>
    <t xml:space="preserve">CLUB ECHIQUIER LAPIERRE ARGENTEUIL</t>
  </si>
  <si>
    <t xml:space="preserve">CLUB OLYMPIQUE MULTISPORTS D ARGENTEUIL HAND BALL</t>
  </si>
  <si>
    <t xml:space="preserve">COMA</t>
  </si>
  <si>
    <t xml:space="preserve">COMA AVIRON</t>
  </si>
  <si>
    <t xml:space="preserve">COMA GYMNASTIQUE RYTHMIQUE</t>
  </si>
  <si>
    <t xml:space="preserve">ESCALES JUDO</t>
  </si>
  <si>
    <t xml:space="preserve">ETOILE SPORTIVE DES CHAMPIOUX</t>
  </si>
  <si>
    <t xml:space="preserve">HANDISPORT ARGENTEUIL CLUB</t>
  </si>
  <si>
    <t xml:space="preserve">HURRICANE</t>
  </si>
  <si>
    <t xml:space="preserve">LA PETANQUE DU MARAIS ARGENTEUIL</t>
  </si>
  <si>
    <t xml:space="preserve">LES ARCHERS DE CENT NOIX D ARGENTEUIL</t>
  </si>
  <si>
    <t xml:space="preserve">LES POINTES D ARGENTEUIL ATHLETIC CLUB</t>
  </si>
  <si>
    <t xml:space="preserve">RACING CLUB D ARGENTEUIL</t>
  </si>
  <si>
    <t xml:space="preserve">SAINT GEORGES D ARGENTEUIL</t>
  </si>
  <si>
    <t xml:space="preserve">UNION VELOCIPEDIQUE ARGENTEUILLAISE</t>
  </si>
  <si>
    <t xml:space="preserve">ARNOUVILLE JUDO FITNESS</t>
  </si>
  <si>
    <t xml:space="preserve">ARNOUVILLE</t>
  </si>
  <si>
    <t xml:space="preserve">ARNOUVILLE TENNIS CLUB</t>
  </si>
  <si>
    <t xml:space="preserve">ENTENTE CYCLO MARCHE ARNOUVILLOISE</t>
  </si>
  <si>
    <t xml:space="preserve">GSP SPELEO PLONGEE CAVERNE CARRIERES IDF</t>
  </si>
  <si>
    <t xml:space="preserve">ARRONVILLE</t>
  </si>
  <si>
    <t xml:space="preserve">AMICALE DE TENNIS D ARTHIES</t>
  </si>
  <si>
    <t xml:space="preserve">ARTHIES</t>
  </si>
  <si>
    <t xml:space="preserve">AMICALE SPORTIVE ATTAINVILLOISE</t>
  </si>
  <si>
    <t xml:space="preserve">ATTAINVILLE</t>
  </si>
  <si>
    <t xml:space="preserve">ATTAINVILLE FUTSAL CLUB</t>
  </si>
  <si>
    <t xml:space="preserve">DODGEBALL CLUB 95</t>
  </si>
  <si>
    <t xml:space="preserve">AUVERS NATURE ET RANDONNEE</t>
  </si>
  <si>
    <t xml:space="preserve">AUVERS SUR OISE</t>
  </si>
  <si>
    <t xml:space="preserve">FOOTBALL CLUB AUVERS ENNERY</t>
  </si>
  <si>
    <t xml:space="preserve">GYMNASTIQUE SPORTIVE AUVERSOISE</t>
  </si>
  <si>
    <t xml:space="preserve">OFFICE MUNICIPAL DES SPORTS D AUVERS SUR OISE</t>
  </si>
  <si>
    <t xml:space="preserve">RAND AU VERT</t>
  </si>
  <si>
    <t xml:space="preserve">UNION SPORTIVE D AUVERS SUR OISE CYCLOTOURISME</t>
  </si>
  <si>
    <t xml:space="preserve">CLUB MODELISTE DU CONFLUENT</t>
  </si>
  <si>
    <t xml:space="preserve">AVERNES</t>
  </si>
  <si>
    <t xml:space="preserve">A TOUT SPORT GV</t>
  </si>
  <si>
    <t xml:space="preserve">BAILLET EN FRANCE</t>
  </si>
  <si>
    <t xml:space="preserve">ASSOCIATION SPORTIVE DU GOLF PARIS INTERNATIIONAL CLUB</t>
  </si>
  <si>
    <t xml:space="preserve">F5 FLY FURTHER FOR FUN AND FAIR</t>
  </si>
  <si>
    <t xml:space="preserve">AMICALE LAIQUE BEAUCHAMP</t>
  </si>
  <si>
    <t xml:space="preserve">BEAUCHAMP</t>
  </si>
  <si>
    <t xml:space="preserve">ARABESQUE GYMNIQUE DE BEAUCHAMP</t>
  </si>
  <si>
    <t xml:space="preserve">ASSOCIATION TENNIS DE BEAUCHAMP</t>
  </si>
  <si>
    <t xml:space="preserve">ATHLETIC CLUB DE BEAUCHAMP ATHLETISME ET COURSE D ORIENTATION</t>
  </si>
  <si>
    <t xml:space="preserve">BEAUCHAMP LOISIRS ET CULTURE</t>
  </si>
  <si>
    <t xml:space="preserve">JUDO CLUB DE BEAUCHAMP</t>
  </si>
  <si>
    <t xml:space="preserve">KARATE DE BEAUCHAMP</t>
  </si>
  <si>
    <t xml:space="preserve">LES ARCHERS DE BEAUCHAMP</t>
  </si>
  <si>
    <t xml:space="preserve">ASSOCIATION BEAUMONT TRIATHLON</t>
  </si>
  <si>
    <t xml:space="preserve">BEAUMONT SUR OISE</t>
  </si>
  <si>
    <t xml:space="preserve">ATHLETIC CLUB DU NORD VAL D OISE</t>
  </si>
  <si>
    <t xml:space="preserve">BEAUMONT AVIRON</t>
  </si>
  <si>
    <t xml:space="preserve">BEAUMONT SUR OISE JUDO</t>
  </si>
  <si>
    <t xml:space="preserve">CANETON CLUB DE BEAUMONT</t>
  </si>
  <si>
    <t xml:space="preserve">CERCLE D ESCRIME DE BEAUMONT SUR OISE</t>
  </si>
  <si>
    <t xml:space="preserve">CLUB ESCALADE BEAUMONTOIS</t>
  </si>
  <si>
    <t xml:space="preserve">CLUB MODELISTE BEAUMONTOIS</t>
  </si>
  <si>
    <t xml:space="preserve">ENTENTE BEAUMONT MOURS</t>
  </si>
  <si>
    <t xml:space="preserve">SUBAQUACLUB PERSAN BEAUMONT PISCINE</t>
  </si>
  <si>
    <t xml:space="preserve">TENNIS CLUB BEAUMONTOIS</t>
  </si>
  <si>
    <t xml:space="preserve">HOBBY CLUB</t>
  </si>
  <si>
    <t xml:space="preserve">BELLEFONTAINE</t>
  </si>
  <si>
    <t xml:space="preserve">ASS SPORTIVE ET CULTURELLE BELLOY EN FRANCE</t>
  </si>
  <si>
    <t xml:space="preserve">BELLOY EN FRANCE</t>
  </si>
  <si>
    <t xml:space="preserve">CLUB BOULISTE DE BELLOY EN FRANCE</t>
  </si>
  <si>
    <t xml:space="preserve">CLUB CYCLISTE MUNICIPAL DE BELLOY EN FRANCE</t>
  </si>
  <si>
    <t xml:space="preserve">AERO CLUB CENTRAL DES METALLURGISTES VOL A MOTEUR</t>
  </si>
  <si>
    <t xml:space="preserve">BERNES SUR OISE</t>
  </si>
  <si>
    <t xml:space="preserve">FOYER RURAL DE BERNES</t>
  </si>
  <si>
    <t xml:space="preserve">GROUPEMENT INITIATION  PARACHUTISME SPORTIF</t>
  </si>
  <si>
    <t xml:space="preserve">RANDORI CLUB DE BESSANCOURT JUDO</t>
  </si>
  <si>
    <t xml:space="preserve">BESSANCOURT</t>
  </si>
  <si>
    <t xml:space="preserve">TENNIS CLUB DE BESSANCOURT FREPILLON</t>
  </si>
  <si>
    <t xml:space="preserve">BEZONS FUTSAL CLUB</t>
  </si>
  <si>
    <t xml:space="preserve">BEZONS</t>
  </si>
  <si>
    <t xml:space="preserve">UNION DES SECTIONS OMNISPORTS DE BEZONS</t>
  </si>
  <si>
    <t xml:space="preserve">ASS SP DE KARTING DE CORMEILLES EN VEXIN</t>
  </si>
  <si>
    <t xml:space="preserve">BOISSY L AILLERIE</t>
  </si>
  <si>
    <t xml:space="preserve">CERGY PONTOISE AIR CLUB</t>
  </si>
  <si>
    <t xml:space="preserve">TENNIS CLUB BUXERIEN</t>
  </si>
  <si>
    <t xml:space="preserve">ASSO GYMNIQUE DE BOUFFEMONT</t>
  </si>
  <si>
    <t xml:space="preserve">BOUFFEMONT</t>
  </si>
  <si>
    <t xml:space="preserve">BOUFFEMONT ATHLETIC CLUB JUDO</t>
  </si>
  <si>
    <t xml:space="preserve">BOUFFEMONT ATHLETIQUE CLUB BASKET</t>
  </si>
  <si>
    <t xml:space="preserve">BOUFFEMONT VOLLEY ATHLETIC CLUB GYMNASE MUNICIPAL</t>
  </si>
  <si>
    <t xml:space="preserve">EVOLUTION CLUB DE GYMNASTIQUE DE BOUFFEMONT</t>
  </si>
  <si>
    <t xml:space="preserve">TENNIS CLUB BOUFFEMONT</t>
  </si>
  <si>
    <t xml:space="preserve">CENTRE D EDUCATION SPORTIVE DE PUISEUX EN FRANCE</t>
  </si>
  <si>
    <t xml:space="preserve">BOUQUEVAL</t>
  </si>
  <si>
    <t xml:space="preserve">OMNISPORTS</t>
  </si>
  <si>
    <t xml:space="preserve">BRAY ET LU</t>
  </si>
  <si>
    <t xml:space="preserve">JOGGING CLUB BRUYERES</t>
  </si>
  <si>
    <t xml:space="preserve">BRUYERES SUR OISE</t>
  </si>
  <si>
    <t xml:space="preserve">UNION SPORTIVE DES MUNICIPALITES DE BRUYERES ET BERNES SUR OISE</t>
  </si>
  <si>
    <t xml:space="preserve">VAL D OISE AVIRON</t>
  </si>
  <si>
    <t xml:space="preserve">BUTRY SUR OISE</t>
  </si>
  <si>
    <t xml:space="preserve">ACADEMIE TAY SON VO DAO 95</t>
  </si>
  <si>
    <t xml:space="preserve">CERGY</t>
  </si>
  <si>
    <t xml:space="preserve">ASS CERGY GYMNASTIQUE RYTHMIQUE</t>
  </si>
  <si>
    <t xml:space="preserve">ASS SPORTIVE VOLLEY BALL CERGY</t>
  </si>
  <si>
    <t xml:space="preserve">ASSOCIATION CDOP 95</t>
  </si>
  <si>
    <t xml:space="preserve">ASSOCIATION DEPARTEMENTALE D ACTIVITES NAUTIQUE</t>
  </si>
  <si>
    <t xml:space="preserve">CERCLE D ESCRIME DE CERGY</t>
  </si>
  <si>
    <t xml:space="preserve">CERGY BOXE FRANCAISE</t>
  </si>
  <si>
    <t xml:space="preserve">CERGY ST CHRISTOPHE</t>
  </si>
  <si>
    <t xml:space="preserve">CERGY HANDBALL</t>
  </si>
  <si>
    <t xml:space="preserve">CERGY M CLUB</t>
  </si>
  <si>
    <t xml:space="preserve">CERGY PONTOISE AQU ARTISTIQUE</t>
  </si>
  <si>
    <t xml:space="preserve">CLUB D ECHECS CERGY PHILIDOR</t>
  </si>
  <si>
    <t xml:space="preserve">CLUB DE CANOE KAYAK CERGY PONTOISE</t>
  </si>
  <si>
    <t xml:space="preserve">CERGY PONTOISE CEDEX</t>
  </si>
  <si>
    <t xml:space="preserve">CLUB DES SPORTS DE GLACE DE CERGY PONTOISE</t>
  </si>
  <si>
    <t xml:space="preserve">ELAN GYMNIQUE DE VAUREAL</t>
  </si>
  <si>
    <t xml:space="preserve">ENTENTE CYCLISTE OSNY PONTOISE</t>
  </si>
  <si>
    <t xml:space="preserve">EX AEQUO</t>
  </si>
  <si>
    <t xml:space="preserve">LES RENARDS DE CERGY</t>
  </si>
  <si>
    <t xml:space="preserve">LES SANGLIERS DU VEXIN</t>
  </si>
  <si>
    <t xml:space="preserve">LES VOLANTS DE CERGY CLUB DE BADMINTON</t>
  </si>
  <si>
    <t xml:space="preserve">PETANQUE CLUB DU RAYON BLEU</t>
  </si>
  <si>
    <t xml:space="preserve">TAEKWONDO ELITE CERGY</t>
  </si>
  <si>
    <t xml:space="preserve">TEDDY BEARS BASEBALL CLUB CERGY</t>
  </si>
  <si>
    <t xml:space="preserve">TENNIS CLUB DE CERGY</t>
  </si>
  <si>
    <t xml:space="preserve">TRIAXION</t>
  </si>
  <si>
    <t xml:space="preserve">US CERGY CYCLO</t>
  </si>
  <si>
    <t xml:space="preserve">ZONE 4 ROLLER</t>
  </si>
  <si>
    <t xml:space="preserve">CHAMPENOISE AIKIDO</t>
  </si>
  <si>
    <t xml:space="preserve">CHAMPAGNE SUR OISE</t>
  </si>
  <si>
    <t xml:space="preserve">LA PETANQUE CHAMPENOISE</t>
  </si>
  <si>
    <t xml:space="preserve">TENNIS CLUB CHAMPAGNE</t>
  </si>
  <si>
    <t xml:space="preserve">ASSOCIATION CYCLISTE DE LA VALLEE DE LA VIOSNE</t>
  </si>
  <si>
    <t xml:space="preserve">CHARS</t>
  </si>
  <si>
    <t xml:space="preserve">PICKLEBALL VEXIN CENTRE</t>
  </si>
  <si>
    <t xml:space="preserve">GYMNASTIQUE VOLONTAIRE DE CHAUMONTEL</t>
  </si>
  <si>
    <t xml:space="preserve">CHAUMONTEL</t>
  </si>
  <si>
    <t xml:space="preserve">JUDO CLUB DE CHAUMONTEL</t>
  </si>
  <si>
    <t xml:space="preserve">VELO CLUB CHAUMONTELLOIS</t>
  </si>
  <si>
    <t xml:space="preserve">ASSOCIATION SPORTIVE DE VILLARCEAUX</t>
  </si>
  <si>
    <t xml:space="preserve">CHAUSSY</t>
  </si>
  <si>
    <t xml:space="preserve">AERONAUTIQUE DU VAL D OISE A A V O</t>
  </si>
  <si>
    <t xml:space="preserve">CHERENCE</t>
  </si>
  <si>
    <t xml:space="preserve">AMICALE CLUB SPORTIF CORMEILLES</t>
  </si>
  <si>
    <t xml:space="preserve">CORMEILLES EN PARISIS</t>
  </si>
  <si>
    <t xml:space="preserve">ASS SPORTIVE DE COURDIMANCHE</t>
  </si>
  <si>
    <t xml:space="preserve">COURDIMANCHE</t>
  </si>
  <si>
    <t xml:space="preserve">CLUB OMNISPORTS DE COURDIMANCHE</t>
  </si>
  <si>
    <t xml:space="preserve">FOYER RURAL DE COURDIMANCHE</t>
  </si>
  <si>
    <t xml:space="preserve">TENNIS CLUB DE COURDIMANCHE</t>
  </si>
  <si>
    <t xml:space="preserve">LA VIGILANTE DE DEUIL</t>
  </si>
  <si>
    <t xml:space="preserve">DEUIL LA BARRE</t>
  </si>
  <si>
    <t xml:space="preserve">SPORTING CLUB MACCABI 95 SCM 95</t>
  </si>
  <si>
    <t xml:space="preserve">TEAM JPECHE COMPETITION</t>
  </si>
  <si>
    <t xml:space="preserve">TENNIS CLUB DE LA SOURCE</t>
  </si>
  <si>
    <t xml:space="preserve">TWIRLING CLUB DE MONTMAGNY LES GALAXIES</t>
  </si>
  <si>
    <t xml:space="preserve">UNION SPORTIVE DEUIL ENGHIEN MONTMORENCY</t>
  </si>
  <si>
    <t xml:space="preserve">ASS SPORTIVE DU GOLF DE DOMONT  MONTMORENCY</t>
  </si>
  <si>
    <t xml:space="preserve">DOMONT</t>
  </si>
  <si>
    <t xml:space="preserve">BUDOKAI DOMONTOIS</t>
  </si>
  <si>
    <t xml:space="preserve">CSME KARATE</t>
  </si>
  <si>
    <t xml:space="preserve">DOMONT ATHLETISME</t>
  </si>
  <si>
    <t xml:space="preserve">DOMONT BASKET</t>
  </si>
  <si>
    <t xml:space="preserve">DOMONT TENNIS DE TABLE</t>
  </si>
  <si>
    <t xml:space="preserve">FOOTBALL CLUB DE DOMONT</t>
  </si>
  <si>
    <t xml:space="preserve">GYMNASTIQUE VOLONTAIRE DOMONTOISE</t>
  </si>
  <si>
    <t xml:space="preserve">KARATE CLUB DOMONT</t>
  </si>
  <si>
    <t xml:space="preserve">STADE DOMONTOIS RUGBY CLUB</t>
  </si>
  <si>
    <t xml:space="preserve">UNION CYCLOTOURISTE DOMONTOISE</t>
  </si>
  <si>
    <t xml:space="preserve">UNION SPORTIVE DOMONT CYCLISME</t>
  </si>
  <si>
    <t xml:space="preserve">ASSOCIATION DES PIEDS AGILES</t>
  </si>
  <si>
    <t xml:space="preserve">EAUBONNE</t>
  </si>
  <si>
    <t xml:space="preserve">ASSOCIATION JEANNE D ARC D EAUBONNE NATATION</t>
  </si>
  <si>
    <t xml:space="preserve">CLUB GYMNIQUE ARTISTIQUE D EAUBONNE</t>
  </si>
  <si>
    <t xml:space="preserve">CLUB SPORTIF MUNICIPAL D EAUBONNE ATHLETISME</t>
  </si>
  <si>
    <t xml:space="preserve">CLUB VERTICAL ERMONTOIS</t>
  </si>
  <si>
    <t xml:space="preserve">CSME RETRAITE SPORTIVE</t>
  </si>
  <si>
    <t xml:space="preserve">LA JEANNE D ARC D EAUBONNE</t>
  </si>
  <si>
    <t xml:space="preserve">CLUB DE LA RETRAITE SPORTIVE D ENGHIEN LES BAINS</t>
  </si>
  <si>
    <t xml:space="preserve">ENGHIEN LES BAINS</t>
  </si>
  <si>
    <t xml:space="preserve">COMITE DEPARTEMENTAL DU SPORT ADAPTE DU VAL D OISE</t>
  </si>
  <si>
    <t xml:space="preserve">ENGHIEN SPORTS</t>
  </si>
  <si>
    <t xml:space="preserve">L ECHIQUIER DU LAC</t>
  </si>
  <si>
    <t xml:space="preserve">LES CYCLOS DU LAC D ENGHIEN</t>
  </si>
  <si>
    <t xml:space="preserve">SOCIETE NAUTIQUE D ENGHIEN</t>
  </si>
  <si>
    <t xml:space="preserve">SPORT DETENTE</t>
  </si>
  <si>
    <t xml:space="preserve">SPORTS ET LOISIRS POUR HANDICAPES MENTAUX DU VAL D OISE</t>
  </si>
  <si>
    <t xml:space="preserve">UNION SPORTIVE D ENNERY TENNIS DE TABLE</t>
  </si>
  <si>
    <t xml:space="preserve">ENNERY</t>
  </si>
  <si>
    <t xml:space="preserve">US ENNERY BASKET BALL</t>
  </si>
  <si>
    <t xml:space="preserve">US ENNERY JUDO</t>
  </si>
  <si>
    <t xml:space="preserve">US ENNERY TENNIS</t>
  </si>
  <si>
    <t xml:space="preserve">AMIS DE LA PLONGEE SOUS MARINE</t>
  </si>
  <si>
    <t xml:space="preserve">ERMONT</t>
  </si>
  <si>
    <t xml:space="preserve">ASCA ERMONT JUDO</t>
  </si>
  <si>
    <t xml:space="preserve">ASS DES CLUBS DE TENNIS D ERMONT A C T E</t>
  </si>
  <si>
    <t xml:space="preserve">ASS SPORTIVE COLLEGE ATHLETES D ERMONT</t>
  </si>
  <si>
    <t xml:space="preserve">BASKET CLUB ERMONT</t>
  </si>
  <si>
    <t xml:space="preserve">CLUB ATHLETIC ERMONTOIS</t>
  </si>
  <si>
    <t xml:space="preserve">CLUB BOULISTES DU VILLAGE D ERMONT</t>
  </si>
  <si>
    <t xml:space="preserve">CLUB D ECHECS ERMONTOIS</t>
  </si>
  <si>
    <t xml:space="preserve">CLUB GYMNIQUE D ERMONT</t>
  </si>
  <si>
    <t xml:space="preserve">COMPAGNIE D ARC D ERMONT</t>
  </si>
  <si>
    <t xml:space="preserve">CSM EAUBONNE TENNIS DE TABLE</t>
  </si>
  <si>
    <t xml:space="preserve">ERMONT BADMINTON CLUB</t>
  </si>
  <si>
    <t xml:space="preserve">ERMONT NATATION ARTISTIQUE</t>
  </si>
  <si>
    <t xml:space="preserve">GYMNASTIQUE VOLONTAIRE D ERMONT</t>
  </si>
  <si>
    <t xml:space="preserve">VOLLEY BALL CLUB D ERMONT</t>
  </si>
  <si>
    <t xml:space="preserve">FONTENAY FITNESS</t>
  </si>
  <si>
    <t xml:space="preserve">FONTENAY EN PARISIS</t>
  </si>
  <si>
    <t xml:space="preserve">FONTENAY FOOTBALL CLUB</t>
  </si>
  <si>
    <t xml:space="preserve">ALLIANCE GYM FOSSES MARLY LA VILLE</t>
  </si>
  <si>
    <t xml:space="preserve">FOSSES</t>
  </si>
  <si>
    <t xml:space="preserve">ASS DES MARCHEURS DE FOSSES</t>
  </si>
  <si>
    <t xml:space="preserve">ASS SPORTIVE ASPTT DE SARCELLES</t>
  </si>
  <si>
    <t xml:space="preserve">ENTENTE FOSSES MARLY BASKET CLUB</t>
  </si>
  <si>
    <t xml:space="preserve">FOSSES CEDEX</t>
  </si>
  <si>
    <t xml:space="preserve">FOSSES ESCRIME</t>
  </si>
  <si>
    <t xml:space="preserve">FOSSES MARLY TENNIS DE TABLE</t>
  </si>
  <si>
    <t xml:space="preserve">JUDO CLUB DE FOSSES</t>
  </si>
  <si>
    <t xml:space="preserve">PLONGEE DANS FOSSES</t>
  </si>
  <si>
    <t xml:space="preserve">UFCM UNION CYCLISTE FOSSES MARLY</t>
  </si>
  <si>
    <t xml:space="preserve">AMICALE DE FRANCONVILLE DE GYMNASTIQUE VOLONTAIRE</t>
  </si>
  <si>
    <t xml:space="preserve">FRANCONVILLE</t>
  </si>
  <si>
    <t xml:space="preserve">ASSO DE LA RETRAITE SPORTIVE DE FRANCONVILLE</t>
  </si>
  <si>
    <t xml:space="preserve">BASKET CLUB FRANCONVILLE PLESSIS BOUCHARD</t>
  </si>
  <si>
    <t xml:space="preserve">BILLARD CLUB DE FRANCONVILLE</t>
  </si>
  <si>
    <t xml:space="preserve">BMX CLUB DU VAL D OISE FRANCONVILLE</t>
  </si>
  <si>
    <t xml:space="preserve">FRANCONVILLE LA GARENNE</t>
  </si>
  <si>
    <t xml:space="preserve">CYCLO CLUB LA FONTAINE FRANCONVILLE</t>
  </si>
  <si>
    <t xml:space="preserve">ECHIQUIER DE FRANCONVILLE</t>
  </si>
  <si>
    <t xml:space="preserve">FOOTBALL CLUB DE FRANCONVILLE</t>
  </si>
  <si>
    <t xml:space="preserve">FRANCONVILLE HOCKEY CLUB</t>
  </si>
  <si>
    <t xml:space="preserve">FRANCONVILLE PETANQUE CLUB</t>
  </si>
  <si>
    <t xml:space="preserve">PARISIS RUGBY CLUB</t>
  </si>
  <si>
    <t xml:space="preserve">FRANCONVILLE CEDEX</t>
  </si>
  <si>
    <t xml:space="preserve">SPELEO CLUB DE LA MARE DES NOUES</t>
  </si>
  <si>
    <t xml:space="preserve">TENNIS CLUB FRANCONVILLE</t>
  </si>
  <si>
    <t xml:space="preserve">ASSOCIATION EDUCATION NATIONALE TENNIS DU VAL D OISE</t>
  </si>
  <si>
    <t xml:space="preserve">FREPILLON</t>
  </si>
  <si>
    <t xml:space="preserve">BASKET CLUB DE FREPILLON MERY MERIEL</t>
  </si>
  <si>
    <t xml:space="preserve">CLUB DE GYMNASTIQUE VOLONTAIRE</t>
  </si>
  <si>
    <t xml:space="preserve">CYCLOTOURISME SPORT DE FREPILLON</t>
  </si>
  <si>
    <t xml:space="preserve">DANSE ARTISTIQUE ET SPORTIVE DE FREPILLON</t>
  </si>
  <si>
    <t xml:space="preserve">OFFICE MUNICIPAL DES SPORTS</t>
  </si>
  <si>
    <t xml:space="preserve">UNION KARATE TSUKI FREPILLON</t>
  </si>
  <si>
    <t xml:space="preserve">ASSOCIATION ANIMATION DAME BLANCHE</t>
  </si>
  <si>
    <t xml:space="preserve">GARGES LES GONESSE</t>
  </si>
  <si>
    <t xml:space="preserve">CLUB DES SPORTS DE GLACE</t>
  </si>
  <si>
    <t xml:space="preserve">CMG CLUB MULTISPORTS DE GARGES LES GONESSE</t>
  </si>
  <si>
    <t xml:space="preserve">GARGES LES GONESSE CEDEX</t>
  </si>
  <si>
    <t xml:space="preserve">GARGES HOCKEY CLUB</t>
  </si>
  <si>
    <t xml:space="preserve">LES ECUREUILS DE GARGES SPORT ADAPTE</t>
  </si>
  <si>
    <t xml:space="preserve">MUSASHI KARATE CLUB MONTMAGNY</t>
  </si>
  <si>
    <t xml:space="preserve">ACPEP DES ECURIES DES PEUPLIERS</t>
  </si>
  <si>
    <t xml:space="preserve">GENAINVILLE</t>
  </si>
  <si>
    <t xml:space="preserve">AMICALE MOTOCYCLISTE VALDOISIENNE</t>
  </si>
  <si>
    <t xml:space="preserve">GONESSE</t>
  </si>
  <si>
    <t xml:space="preserve">ASS SPORTIVE DES INFIRMES MOTEURS CEREBRAUX A S I M C</t>
  </si>
  <si>
    <t xml:space="preserve">BOXING GYM DE GONESSE</t>
  </si>
  <si>
    <t xml:space="preserve">CERCLE D ESCRIME DE GONESSE</t>
  </si>
  <si>
    <t xml:space="preserve">GONESSE KARATE CLUB</t>
  </si>
  <si>
    <t xml:space="preserve">GYMNASTIQUE VOLONTAIRE DE GONESSE VILLERS LE BEL</t>
  </si>
  <si>
    <t xml:space="preserve">JUDO CLUB DE GONESSE</t>
  </si>
  <si>
    <t xml:space="preserve">TENNIS CLUB DE GONESSE</t>
  </si>
  <si>
    <t xml:space="preserve">ETOILE GOUSSAINVILLOISE</t>
  </si>
  <si>
    <t xml:space="preserve">GOUSSAINVILLE</t>
  </si>
  <si>
    <t xml:space="preserve">HAND BALL GOUSSAINVILLE</t>
  </si>
  <si>
    <t xml:space="preserve">KARATE CLUB DE GOUSSAINVILLE</t>
  </si>
  <si>
    <t xml:space="preserve">RANDONNEURS GOUSSAINVILLOIS</t>
  </si>
  <si>
    <t xml:space="preserve">TENNIS CLUB MUNICIPAL DE GOUSSAINVILLE</t>
  </si>
  <si>
    <t xml:space="preserve">TWIRLING BATON DE GOUSSAINVILLE</t>
  </si>
  <si>
    <t xml:space="preserve">TWIRLING CLUB DE GONESSE</t>
  </si>
  <si>
    <t xml:space="preserve">ASSOCIATION CYCLO CLUB DE GROSLAY</t>
  </si>
  <si>
    <t xml:space="preserve">GROSLAY</t>
  </si>
  <si>
    <t xml:space="preserve">ETOILE GROSLAY BASKET</t>
  </si>
  <si>
    <t xml:space="preserve">FOOTBALL CLUB DE GROSLAY</t>
  </si>
  <si>
    <t xml:space="preserve">CLUB ARCHERS DE GUIRY</t>
  </si>
  <si>
    <t xml:space="preserve">GUIRY EN VEXIN</t>
  </si>
  <si>
    <t xml:space="preserve">ASSOCIATION SPORTIVE ET CULTURELLE D HARAVILLIERS</t>
  </si>
  <si>
    <t xml:space="preserve">HARAVILLIERS</t>
  </si>
  <si>
    <t xml:space="preserve">AILES V VOUS</t>
  </si>
  <si>
    <t xml:space="preserve">HERBLAY SUR SEINE</t>
  </si>
  <si>
    <t xml:space="preserve">AMI BOXING</t>
  </si>
  <si>
    <t xml:space="preserve">ASH BATELIERES D HERBLAY GYMNASTIQUE AUX AGRES</t>
  </si>
  <si>
    <t xml:space="preserve">ASS SPORT HERBLAY D ESCRIME</t>
  </si>
  <si>
    <t xml:space="preserve">ASS SPORTIF HERBLAY PETANQUE</t>
  </si>
  <si>
    <t xml:space="preserve">ASS SPORTIVE D HERBLAY GYMNASTIQUE VOLONTAIRE</t>
  </si>
  <si>
    <t xml:space="preserve">ASS SPORTIVE HERBLAY NATATION PISCINE MUNICIPALE</t>
  </si>
  <si>
    <t xml:space="preserve">ASS SPORTIVE TENNIS D HERBLAY</t>
  </si>
  <si>
    <t xml:space="preserve">ASSOCIATION SPORTIVE DE TENNIS DE TABLE D HERBLAY</t>
  </si>
  <si>
    <t xml:space="preserve">HAND BALL CLUB DU PARISIS</t>
  </si>
  <si>
    <t xml:space="preserve">HERBLAY BASKETBALL CLUB</t>
  </si>
  <si>
    <t xml:space="preserve">L HERBLAISIENNE</t>
  </si>
  <si>
    <t xml:space="preserve">LES FELINS BASEBALL CLUB</t>
  </si>
  <si>
    <t xml:space="preserve">LES LEZARDS ESCALADE CLUBS</t>
  </si>
  <si>
    <t xml:space="preserve">SECTION PLONGEE LIBRE  SPLASH</t>
  </si>
  <si>
    <t xml:space="preserve">HERBLAY</t>
  </si>
  <si>
    <t xml:space="preserve">SAM D ESPRIT GLISSE</t>
  </si>
  <si>
    <t xml:space="preserve">SACY LE GRAND</t>
  </si>
  <si>
    <t xml:space="preserve">Hors Val d'Oise</t>
  </si>
  <si>
    <t xml:space="preserve">UNION SPORTIVE CONFLANS</t>
  </si>
  <si>
    <t xml:space="preserve">CONFLANS STE HONORINE</t>
  </si>
  <si>
    <t xml:space="preserve">ASS SPORTIVE DU GOLF D ECANCOURT</t>
  </si>
  <si>
    <t xml:space="preserve">JOUY LE MOUTIER</t>
  </si>
  <si>
    <t xml:space="preserve">FOOTBALL CLUB DE JOUY LE MOUTIER</t>
  </si>
  <si>
    <t xml:space="preserve">FOUS DE LA RAQUETTE DE JOUY LE MOUTIER</t>
  </si>
  <si>
    <t xml:space="preserve">GROUPE ESCALADE RANDONNEE DE CERGY PONTOISE</t>
  </si>
  <si>
    <t xml:space="preserve">JOUY LE MOUTIER ELITE KARATE</t>
  </si>
  <si>
    <t xml:space="preserve">JUDO JU JITSU JOUY LE MOUTIER</t>
  </si>
  <si>
    <t xml:space="preserve">KODIAK 95</t>
  </si>
  <si>
    <t xml:space="preserve">LA BOULE JOCASSIENNE CERGY</t>
  </si>
  <si>
    <t xml:space="preserve">LA GODASSE JOCASSIENNE</t>
  </si>
  <si>
    <t xml:space="preserve">MOTO TEAM 95</t>
  </si>
  <si>
    <t xml:space="preserve">OLYMPIC CLUB DE JOUY LE MOUTIER</t>
  </si>
  <si>
    <t xml:space="preserve">PALIERS 95 PLONGEE SOUS MARINE</t>
  </si>
  <si>
    <t xml:space="preserve">TENNIS CLUB JOCASSIEN</t>
  </si>
  <si>
    <t xml:space="preserve">AIKIDO ADAMOIS</t>
  </si>
  <si>
    <t xml:space="preserve">L ISLE ADAM</t>
  </si>
  <si>
    <t xml:space="preserve">ASS SPORTIVE DU VAL D OISE NATATION</t>
  </si>
  <si>
    <t xml:space="preserve">ASS VAL D OISIENNE DES GOLFEURS UNIVERSITAIRES ET EDUCATEURS</t>
  </si>
  <si>
    <t xml:space="preserve">CERCLE D ESCRIME ADAMOIS</t>
  </si>
  <si>
    <t xml:space="preserve">CERCLE DE YACHTING A VOILE DE L ISLE ADAM</t>
  </si>
  <si>
    <t xml:space="preserve">CREATIF</t>
  </si>
  <si>
    <t xml:space="preserve">CYCLO CLUB DE L ISLE ADAM</t>
  </si>
  <si>
    <t xml:space="preserve">EQUIPES GYMNIQUES ADAMOISES</t>
  </si>
  <si>
    <t xml:space="preserve">GROUPE PLONGEE L ISLE ADAM</t>
  </si>
  <si>
    <t xml:space="preserve">GYMNASTIQUE VOLONTAIRE DE L ISLE ADAM  PARMAIN</t>
  </si>
  <si>
    <t xml:space="preserve">ISLE ADAM FREPILLON VALLEE D OISE I A F V O</t>
  </si>
  <si>
    <t xml:space="preserve">JUDO CLUB DE L ISLE ADAM</t>
  </si>
  <si>
    <t xml:space="preserve">L ISLE ADAM ATHLETIQUE CLUB</t>
  </si>
  <si>
    <t xml:space="preserve">L ISLE ADAM ECHECS</t>
  </si>
  <si>
    <t xml:space="preserve">RANDONNEES NATURE DECOUVERTES ADAMOISES</t>
  </si>
  <si>
    <t xml:space="preserve">RUGBY CLUB DE L ISLE ADAM</t>
  </si>
  <si>
    <t xml:space="preserve">RUGBY CLUB MERY SUR OISE</t>
  </si>
  <si>
    <t xml:space="preserve">LA FRETTE SUR SEINE JUDO</t>
  </si>
  <si>
    <t xml:space="preserve">LA FRETTE SUR SEINE</t>
  </si>
  <si>
    <t xml:space="preserve">ROLLER DE RIEN</t>
  </si>
  <si>
    <t xml:space="preserve">SPORTS NAUTIQUES</t>
  </si>
  <si>
    <t xml:space="preserve">TENNIS CLUB DE LA FRETTE</t>
  </si>
  <si>
    <t xml:space="preserve">GV MESNILOISE</t>
  </si>
  <si>
    <t xml:space="preserve">LE MESNIL AUBRY</t>
  </si>
  <si>
    <t xml:space="preserve">ERMONT PLESSIS BOUCHARD TENNIS DE TABLE</t>
  </si>
  <si>
    <t xml:space="preserve">LE PLESSIS BOUCHARD</t>
  </si>
  <si>
    <t xml:space="preserve">K DANSE GYM</t>
  </si>
  <si>
    <t xml:space="preserve">LES ARCHERS DU PLESSIS BOUCHARD</t>
  </si>
  <si>
    <t xml:space="preserve">RETRAITE SPORTIVE DU PARISIS</t>
  </si>
  <si>
    <t xml:space="preserve">SAINT LEU BOXING CLUB</t>
  </si>
  <si>
    <t xml:space="preserve">TENNIS CLUB PLESSIS BOUCHARD</t>
  </si>
  <si>
    <t xml:space="preserve">ASS SPORTIVE DU GOLF DE PLESSIS BELLEFONTAINE</t>
  </si>
  <si>
    <t xml:space="preserve">LE PLESSIS LUZARCHES</t>
  </si>
  <si>
    <t xml:space="preserve">CERCLE DES MEDAILLES JEUNESSE ET SPORTS DE LA VIEILLE FRANCE SUD</t>
  </si>
  <si>
    <t xml:space="preserve">LE THILLAY</t>
  </si>
  <si>
    <t xml:space="preserve">THILLAY RUNNING ATHLETIC CLUB</t>
  </si>
  <si>
    <t xml:space="preserve">CMOL ATHLETISME ET TRIATHLON</t>
  </si>
  <si>
    <t xml:space="preserve">LOUVRES</t>
  </si>
  <si>
    <t xml:space="preserve">COMPAGNIE D ARC DE LOUVRES</t>
  </si>
  <si>
    <t xml:space="preserve">LES ETOILES DE LOUVRES GYMNASTIQUE</t>
  </si>
  <si>
    <t xml:space="preserve">ASS SPORTIVE DES GOLFS DE MONT GRIFFON</t>
  </si>
  <si>
    <t xml:space="preserve">LUZARCHES</t>
  </si>
  <si>
    <t xml:space="preserve">ASSOC LES SENTIERS DE L AMITIE</t>
  </si>
  <si>
    <t xml:space="preserve">FRIZTOI ULTIMAT</t>
  </si>
  <si>
    <t xml:space="preserve">AMICALE LAIQUE DE MAFFLIERS</t>
  </si>
  <si>
    <t xml:space="preserve">MAFFLIERS</t>
  </si>
  <si>
    <t xml:space="preserve">AUX TOURS DE MAGNY</t>
  </si>
  <si>
    <t xml:space="preserve">MAGNY EN VEXIN</t>
  </si>
  <si>
    <t xml:space="preserve">LES CLES DU BIEN ETRE</t>
  </si>
  <si>
    <t xml:space="preserve">MARGENCY PETANQUE</t>
  </si>
  <si>
    <t xml:space="preserve">MARGENCY</t>
  </si>
  <si>
    <t xml:space="preserve">TENNIS CLUB DE MARGENCY</t>
  </si>
  <si>
    <t xml:space="preserve">AMICALE SPORTIVE DU VEXIN JUDO CLUB MARINES</t>
  </si>
  <si>
    <t xml:space="preserve">MARINES</t>
  </si>
  <si>
    <t xml:space="preserve">ASSOCIATION CYCLISTE DE MARINES</t>
  </si>
  <si>
    <t xml:space="preserve">ASSOCIATION SPORTIVE DU VEXIN KARATE CLUB DE MARINES</t>
  </si>
  <si>
    <t xml:space="preserve">LE DOJO DE L AUBETTE</t>
  </si>
  <si>
    <t xml:space="preserve">MARINOISE DE HAND BALL</t>
  </si>
  <si>
    <t xml:space="preserve">PONTOISE PLONGEE</t>
  </si>
  <si>
    <t xml:space="preserve">TENNIS CLUB DE MARINES</t>
  </si>
  <si>
    <t xml:space="preserve">TENNIS DE TABLE MARINOIS</t>
  </si>
  <si>
    <t xml:space="preserve">BON PIED MARLYSIEN</t>
  </si>
  <si>
    <t xml:space="preserve">MARLY LA VILLE</t>
  </si>
  <si>
    <t xml:space="preserve">CLUB DE PLONGEE SUBAQUATIQUE</t>
  </si>
  <si>
    <t xml:space="preserve">CLUB MARLYSIEN DE VOLLEY BALL</t>
  </si>
  <si>
    <t xml:space="preserve">COMPAGNIE D ARC DE MARLY LA VILLE</t>
  </si>
  <si>
    <t xml:space="preserve">ETOILE SPORTIVE FOOTBALL DE MARLY LA VILLE</t>
  </si>
  <si>
    <t xml:space="preserve">LES RAQUETTES DE MAGNY</t>
  </si>
  <si>
    <t xml:space="preserve">MAUDETOUR EN VEXIN</t>
  </si>
  <si>
    <t xml:space="preserve">ASS SPORTIVE DE MENUCOURT SECTION FOOTBALL</t>
  </si>
  <si>
    <t xml:space="preserve">MENUCOURT</t>
  </si>
  <si>
    <t xml:space="preserve">ASSOCIATION SPORTIVE DE TENNIS DE TABLE DE MENUCOURT</t>
  </si>
  <si>
    <t xml:space="preserve">ESCRIME CLUB DE MENUCOURT</t>
  </si>
  <si>
    <t xml:space="preserve">MENUCOURT SECTION CYCLOTOURISME</t>
  </si>
  <si>
    <t xml:space="preserve">JUDO CLUB MONTIGNY</t>
  </si>
  <si>
    <t xml:space="preserve">MONTIGNY LES CORMEILLES</t>
  </si>
  <si>
    <t xml:space="preserve">LA GYMMONTOISE</t>
  </si>
  <si>
    <t xml:space="preserve">LA RIPOSTE IGNYMONTAINE</t>
  </si>
  <si>
    <t xml:space="preserve">LES ARCHERS DE MONTIGNY LES CORMEILLES</t>
  </si>
  <si>
    <t xml:space="preserve">LES PLUMES IGNYMONTAINES</t>
  </si>
  <si>
    <t xml:space="preserve">MONTIGNY VOLLEY 95</t>
  </si>
  <si>
    <t xml:space="preserve">TENNIS CLUB MUNICIPAL MONTIGNY LES CORMEILLES</t>
  </si>
  <si>
    <t xml:space="preserve">1ERE COMPAGNIE D ARC DE MONTMAGNY DEUIL</t>
  </si>
  <si>
    <t xml:space="preserve">MONTMAGNY</t>
  </si>
  <si>
    <t xml:space="preserve">TENNIS CLUB CHARLES GRIMAUD</t>
  </si>
  <si>
    <t xml:space="preserve">ASSOCIATION DE DANSE SPORTIVE DE MONTMORENCY</t>
  </si>
  <si>
    <t xml:space="preserve">MONTMORENCY</t>
  </si>
  <si>
    <t xml:space="preserve">CIPSM</t>
  </si>
  <si>
    <t xml:space="preserve">COMPAGNIE D ARC DE MONTMORENCY</t>
  </si>
  <si>
    <t xml:space="preserve">JUDO CLUB MONTMORENCY VAL D OISE</t>
  </si>
  <si>
    <t xml:space="preserve">MONTMORENCY RANDONNEES DECOUVERTES</t>
  </si>
  <si>
    <t xml:space="preserve">MONTMORENCY TENNIS CLUB</t>
  </si>
  <si>
    <t xml:space="preserve">RUGBY CLUB  VALLEE DE MONTMORENCY</t>
  </si>
  <si>
    <t xml:space="preserve">UNION SPORTIVE MONTSOULT BAILLET MAFFLIERS</t>
  </si>
  <si>
    <t xml:space="preserve">MONTSOULT</t>
  </si>
  <si>
    <t xml:space="preserve">ASSOCIATION TENNIS DE MERIEL</t>
  </si>
  <si>
    <t xml:space="preserve">MERIEL</t>
  </si>
  <si>
    <t xml:space="preserve">CLUB CYCLOTOURISME MERIELLOIS</t>
  </si>
  <si>
    <t xml:space="preserve">FB2M HANDBALL</t>
  </si>
  <si>
    <t xml:space="preserve">GYMN VOLONTAIRE MERIEL</t>
  </si>
  <si>
    <t xml:space="preserve">FOOTBALL CLUB MERY MERIEL</t>
  </si>
  <si>
    <t xml:space="preserve">MERY SUR OISE</t>
  </si>
  <si>
    <t xml:space="preserve">LES ARCHERS DU CHATEAU</t>
  </si>
  <si>
    <t xml:space="preserve">OFFICE MUNICIPAL DES SPORTS DE MERY SUR OISE</t>
  </si>
  <si>
    <t xml:space="preserve">TENNIS CLUB DE MERY</t>
  </si>
  <si>
    <t xml:space="preserve">UNION DE VIET VO DAO DE MERY</t>
  </si>
  <si>
    <t xml:space="preserve">US MERY SUR OISE PETANQUE</t>
  </si>
  <si>
    <t xml:space="preserve">USM ROLLER ACCRO</t>
  </si>
  <si>
    <t xml:space="preserve">ASS NERVILLOISE DE GYMNASTIQUE VOLONTAIRE</t>
  </si>
  <si>
    <t xml:space="preserve">NERVILLE LA FORET</t>
  </si>
  <si>
    <t xml:space="preserve">KEN GAKU KAN</t>
  </si>
  <si>
    <t xml:space="preserve">NESLES LA VALLEE</t>
  </si>
  <si>
    <t xml:space="preserve">TENNIS CLUB NESLOIS</t>
  </si>
  <si>
    <t xml:space="preserve">ASS SPORTIVE NEUVILLE SUR OISE</t>
  </si>
  <si>
    <t xml:space="preserve">NEUVILLE SUR OISE</t>
  </si>
  <si>
    <t xml:space="preserve">TENNIS CLUB NEUVILLOIS</t>
  </si>
  <si>
    <t xml:space="preserve">JUDO CLUB OSNY</t>
  </si>
  <si>
    <t xml:space="preserve">OSNY</t>
  </si>
  <si>
    <t xml:space="preserve">LES ARCHERS DE GROUCHY</t>
  </si>
  <si>
    <t xml:space="preserve">OSNY BMX CLUB</t>
  </si>
  <si>
    <t xml:space="preserve">OSNY FOOTBALL CLUB</t>
  </si>
  <si>
    <t xml:space="preserve">RANDOSNY</t>
  </si>
  <si>
    <t xml:space="preserve">TENNIS LAWN D OSNY</t>
  </si>
  <si>
    <t xml:space="preserve">CPCLC</t>
  </si>
  <si>
    <t xml:space="preserve">PARMAIN</t>
  </si>
  <si>
    <t xml:space="preserve">PARMAIN ATHLETIQUE CLUB</t>
  </si>
  <si>
    <t xml:space="preserve">CLUB DE FUTSAL DE LA JEUNESSE PERSANAISE</t>
  </si>
  <si>
    <t xml:space="preserve">PERSAN</t>
  </si>
  <si>
    <t xml:space="preserve">ENTENTE SPORTIVE CHAMBLY PERSAN</t>
  </si>
  <si>
    <t xml:space="preserve">ENTENTE SPORTIVE PERSANAISE</t>
  </si>
  <si>
    <t xml:space="preserve">HVO HANDBALL L ISLE ADAM PERSAN</t>
  </si>
  <si>
    <t xml:space="preserve">JUDO CLUB DE PERSAN</t>
  </si>
  <si>
    <t xml:space="preserve">LA COPETTE</t>
  </si>
  <si>
    <t xml:space="preserve">TAICHI 95 ARBRE DE VIE</t>
  </si>
  <si>
    <t xml:space="preserve">BOXING CLUB DE PIERRELAYE</t>
  </si>
  <si>
    <t xml:space="preserve">PIERRELAYE</t>
  </si>
  <si>
    <t xml:space="preserve">CLUB SPORTIF DE PIERRELAYE</t>
  </si>
  <si>
    <t xml:space="preserve">ESCAPADE ASSO DES RANDONNEURS PEDESTRES DE PIERRELAYE</t>
  </si>
  <si>
    <t xml:space="preserve">TAEKWONDO 95 HERBLAY</t>
  </si>
  <si>
    <t xml:space="preserve">ADAGIO</t>
  </si>
  <si>
    <t xml:space="preserve">PONTOISE</t>
  </si>
  <si>
    <t xml:space="preserve">ART MARTIAUX PONTOISE</t>
  </si>
  <si>
    <t xml:space="preserve">ASS DE PLONGEE SUBAQUATIQUE DU VAL D OISE PONTOISE</t>
  </si>
  <si>
    <t xml:space="preserve">ASS KIM YONG HO TAEKWONDO</t>
  </si>
  <si>
    <t xml:space="preserve">ASSOCIATION VOLLEY OSNY PONTOISE</t>
  </si>
  <si>
    <t xml:space="preserve">CEPPE FORME DYNAMISME ET BIEN ETRE</t>
  </si>
  <si>
    <t xml:space="preserve">CERGY PONTOISE BASKET BALL</t>
  </si>
  <si>
    <t xml:space="preserve">CERGY PONTOISE ECHECS</t>
  </si>
  <si>
    <t xml:space="preserve">CERGY PONTOISE FOOTBALL CLUB</t>
  </si>
  <si>
    <t xml:space="preserve">CERGY PONTOISE NATATION</t>
  </si>
  <si>
    <t xml:space="preserve">CIE D ARCHERS DE PONTOISE GOUZANGREZ</t>
  </si>
  <si>
    <t xml:space="preserve">CLUB HALTHEROPHILIE ET CULTURISTE DE PONTOISE</t>
  </si>
  <si>
    <t xml:space="preserve">RACING CLUB DE L AGLOMERATION DE CERGY PONTOISE</t>
  </si>
  <si>
    <t xml:space="preserve">SECTION ATHLE NOVO</t>
  </si>
  <si>
    <t xml:space="preserve">STE PONTOISIENNE GYMNASTIQUE</t>
  </si>
  <si>
    <t xml:space="preserve">TENNIS CLUB DE PONTOISE</t>
  </si>
  <si>
    <t xml:space="preserve">GYMNASTIQUE VOLONTAIRE DE PRESLES</t>
  </si>
  <si>
    <t xml:space="preserve">PRESLES</t>
  </si>
  <si>
    <t xml:space="preserve">JUDO JUJITSU PRESLES</t>
  </si>
  <si>
    <t xml:space="preserve">SECTION TENNIS DE TABLE DE PRESLES</t>
  </si>
  <si>
    <t xml:space="preserve">ALS JUDO PUISEUX EN FRANCE</t>
  </si>
  <si>
    <t xml:space="preserve">PUISEUX EN FRANCE</t>
  </si>
  <si>
    <t xml:space="preserve">PUISEUX EN FRANCE VOLLEY BALL</t>
  </si>
  <si>
    <t xml:space="preserve">TENNIS CLUB PUISEUX FRANCE</t>
  </si>
  <si>
    <t xml:space="preserve">HB AGGLOMERATIO ROISSY PAYS DE FRANCE 95</t>
  </si>
  <si>
    <t xml:space="preserve">ROISSY EN FRANCE</t>
  </si>
  <si>
    <t xml:space="preserve">ROISSY EN FRANCE HANDBALL</t>
  </si>
  <si>
    <t xml:space="preserve">CERCLE DES HOCKEYEURS SUBAQUATIQUES PONTOISE CERGY</t>
  </si>
  <si>
    <t xml:space="preserve">SAGY</t>
  </si>
  <si>
    <t xml:space="preserve">TENNIS CLUB DE SAGY</t>
  </si>
  <si>
    <t xml:space="preserve">MARCHE ET DETENTE A SAINT BRICE</t>
  </si>
  <si>
    <t xml:space="preserve">ST BRICE SOUS FORET</t>
  </si>
  <si>
    <t xml:space="preserve">SAINT BRICE FOOTBALL CLUB</t>
  </si>
  <si>
    <t xml:space="preserve">V O S B ASSOCIATION COSEC PIERRE CLOUET</t>
  </si>
  <si>
    <t xml:space="preserve">ASS SPORTIVE DE SAINT GRATIEN</t>
  </si>
  <si>
    <t xml:space="preserve">ST GRATIEN</t>
  </si>
  <si>
    <t xml:space="preserve">SECTION GYMNASTIQUE VOLONTAIRE ST GRATIEN</t>
  </si>
  <si>
    <t xml:space="preserve">A CORPS DANSE</t>
  </si>
  <si>
    <t xml:space="preserve">ST LEU LA FORET</t>
  </si>
  <si>
    <t xml:space="preserve">ASS OLYMPIQUE CYCLISME VAL D OISE</t>
  </si>
  <si>
    <t xml:space="preserve">CLUB SPORTIF MUNICIPALE EAUBONNE BADMINTON</t>
  </si>
  <si>
    <t xml:space="preserve">COMPAGNIE D ARC DE SAINT LEU LA FORET</t>
  </si>
  <si>
    <t xml:space="preserve">ESL GYM DETENTE</t>
  </si>
  <si>
    <t xml:space="preserve">ESL GYMNASTIQUE</t>
  </si>
  <si>
    <t xml:space="preserve">ETOILE DE SAINT LEU BASKET BALL</t>
  </si>
  <si>
    <t xml:space="preserve">ETOILE SAINT LEU NATATION</t>
  </si>
  <si>
    <t xml:space="preserve">KIKENTAI KARATE SAINT LEU</t>
  </si>
  <si>
    <t xml:space="preserve">LES ARCHERS DE SAINT PRIX</t>
  </si>
  <si>
    <t xml:space="preserve">TENNIS CLUB LA CHATAIGNERAIE</t>
  </si>
  <si>
    <t xml:space="preserve">VALLEE MONTMORENCY RANDON SAINT PRIX SAINT LEU</t>
  </si>
  <si>
    <t xml:space="preserve">LES ENFANTS DE ST MARTIN DU TERTRE GYMNASTIQUE</t>
  </si>
  <si>
    <t xml:space="preserve">ST MARTIN DU TERTRE</t>
  </si>
  <si>
    <t xml:space="preserve">AQUAGYM NATATION ST OUENNAISE</t>
  </si>
  <si>
    <t xml:space="preserve">SAINT OUEN L AUMONE</t>
  </si>
  <si>
    <t xml:space="preserve">ASS SPORTIVE SQUASH 95</t>
  </si>
  <si>
    <t xml:space="preserve">ASSOCIATION SPORTIVE DE SAINT OUEN L AUMONE</t>
  </si>
  <si>
    <t xml:space="preserve">CLUB SPORTIF PTT 95</t>
  </si>
  <si>
    <t xml:space="preserve">CYCLO CLUB DU VEXIN</t>
  </si>
  <si>
    <t xml:space="preserve">GOLF CLUB DE MAUBUISSON</t>
  </si>
  <si>
    <t xml:space="preserve">REMICOPHYS</t>
  </si>
  <si>
    <t xml:space="preserve">RETRAITE SPORTIVE SAINT OUEN L AUMONE</t>
  </si>
  <si>
    <t xml:space="preserve">SOCIETE NAUTIQUE DE L OISE</t>
  </si>
  <si>
    <t xml:space="preserve">THE DEVIL S MAJO TWIRL</t>
  </si>
  <si>
    <t xml:space="preserve">AKIDO ENERGIE ST PRIX</t>
  </si>
  <si>
    <t xml:space="preserve">ST PRIX</t>
  </si>
  <si>
    <t xml:space="preserve">ETOILE SPORTIVE DE SAINT PRIX</t>
  </si>
  <si>
    <t xml:space="preserve">JUDO SAINT PRIX</t>
  </si>
  <si>
    <t xml:space="preserve">LES RENARDS BLANCS KARATE</t>
  </si>
  <si>
    <t xml:space="preserve">SPORTS COCKTAIL</t>
  </si>
  <si>
    <t xml:space="preserve">TENNIS CLUB DE ST PRIX</t>
  </si>
  <si>
    <t xml:space="preserve">ULTIMATE PRIX ORITY ASSOCIATION</t>
  </si>
  <si>
    <t xml:space="preserve">JUDO CLUB WEZIEN</t>
  </si>
  <si>
    <t xml:space="preserve">ST WITZ</t>
  </si>
  <si>
    <t xml:space="preserve">KARATE CLUB DE SAINT WITZ</t>
  </si>
  <si>
    <t xml:space="preserve">SAINT WITZ GAMING</t>
  </si>
  <si>
    <t xml:space="preserve">ASS PARISIS ATHLETIC CLUB</t>
  </si>
  <si>
    <t xml:space="preserve">SANNOIS</t>
  </si>
  <si>
    <t xml:space="preserve">DOJO SANNOISIEN</t>
  </si>
  <si>
    <t xml:space="preserve">LA FLECHE SANNOISIENNE</t>
  </si>
  <si>
    <t xml:space="preserve">OSSANNOIS TENNIS DE TABLE</t>
  </si>
  <si>
    <t xml:space="preserve">SANNOIS CEDEX</t>
  </si>
  <si>
    <t xml:space="preserve">ROLLER SKATING PIRATES</t>
  </si>
  <si>
    <t xml:space="preserve">SAKURA CLUB</t>
  </si>
  <si>
    <t xml:space="preserve">SANNOIS GEMS CHEERLEADING</t>
  </si>
  <si>
    <t xml:space="preserve">SANNOIS RANDO PAS A PAS</t>
  </si>
  <si>
    <t xml:space="preserve">VIVA GYM</t>
  </si>
  <si>
    <t xml:space="preserve">A A S S GYMNASTIQUE</t>
  </si>
  <si>
    <t xml:space="preserve">SARCELLES</t>
  </si>
  <si>
    <t xml:space="preserve">A A S SARCELLES CLUB FEDERATEUR</t>
  </si>
  <si>
    <t xml:space="preserve">AAS SARCELLE SPORT BOULES</t>
  </si>
  <si>
    <t xml:space="preserve">AASS SARCELLES VILLIERS LE BEL HANDBALL</t>
  </si>
  <si>
    <t xml:space="preserve">AIKIKAI DE SARCELLES</t>
  </si>
  <si>
    <t xml:space="preserve">ALOUETTES DES CHAMPS</t>
  </si>
  <si>
    <t xml:space="preserve">AMICALE ET SPORTIVE SARCELLES FOOTBALL</t>
  </si>
  <si>
    <t xml:space="preserve">AMICALE SPORTIVE DE SARCELLES A A S S  SECTION BOXE FRANCAISE</t>
  </si>
  <si>
    <t xml:space="preserve">SARCELLES CEDEX</t>
  </si>
  <si>
    <t xml:space="preserve">AMICALE SPORTIVE DE SARCELLES A A S S ACTIVITES SUBAQUATIQUES</t>
  </si>
  <si>
    <t xml:space="preserve">AMICALE SPORTIVE DE SARCELLES A A S S SECTION BASKET BALL</t>
  </si>
  <si>
    <t xml:space="preserve">AMICALE SPORTIVE DE SARCELLES A A S S SECTION JUDO</t>
  </si>
  <si>
    <t xml:space="preserve">ASS AMICALE ET SPORTIVE DE SARCELLES ARC CLUB</t>
  </si>
  <si>
    <t xml:space="preserve">ASS TENNIS CLUB SARCELLOIS</t>
  </si>
  <si>
    <t xml:space="preserve">ASSOCIATION AMICALE ET SPORTIVE DE SARCELLES</t>
  </si>
  <si>
    <t xml:space="preserve">CENTRE DE DANSE DE SARCELLES</t>
  </si>
  <si>
    <t xml:space="preserve">CULTURES ET SPORT POUR TOUS</t>
  </si>
  <si>
    <t xml:space="preserve">FOOT ET DANCE SANS FRONTIERES</t>
  </si>
  <si>
    <t xml:space="preserve">L AVENIR DE SARCELLES</t>
  </si>
  <si>
    <t xml:space="preserve">MACCABI DE SARCELLES CLUB OMNISPORTS</t>
  </si>
  <si>
    <t xml:space="preserve">SARCELLES RETRAITE SPORTIVE</t>
  </si>
  <si>
    <t xml:space="preserve">SIAMUAY</t>
  </si>
  <si>
    <t xml:space="preserve">SMGVS LA JOIE DE VIVRE</t>
  </si>
  <si>
    <t xml:space="preserve">SPORT EN LIBERTE</t>
  </si>
  <si>
    <t xml:space="preserve">ASS SPORTIVE DE SERAINCOURT</t>
  </si>
  <si>
    <t xml:space="preserve">SERAINCOURT</t>
  </si>
  <si>
    <t xml:space="preserve">AKSAM</t>
  </si>
  <si>
    <t xml:space="preserve">SOISY SOUS MONTMORENCY</t>
  </si>
  <si>
    <t xml:space="preserve">ASS SPORTIVE DE SOISY ENGHIEN LA BARRE CYCLISME</t>
  </si>
  <si>
    <t xml:space="preserve">ASSOC BIEN HETRE</t>
  </si>
  <si>
    <t xml:space="preserve">ASSOCIATION LE TRAIT D UNION DE SOISY</t>
  </si>
  <si>
    <t xml:space="preserve">ATHLETISME CANTONAL SOISY ANDILLY MARGENCY</t>
  </si>
  <si>
    <t xml:space="preserve">CLUB DE NATATION VALLEE DE MONTMORENCY</t>
  </si>
  <si>
    <t xml:space="preserve">CLUB SPORTIF MUNICIPAL EAUBONNE HANDBALL</t>
  </si>
  <si>
    <t xml:space="preserve">CNCSAM</t>
  </si>
  <si>
    <t xml:space="preserve">FOOTBALL CLUB SOISY ANDILLY CHER DA CRUZ TONY</t>
  </si>
  <si>
    <t xml:space="preserve">TENNIS CLUB ANDILLY SOISY MARGENCY</t>
  </si>
  <si>
    <t xml:space="preserve">VALLEE DE MONTMORENCY TRIATHLON</t>
  </si>
  <si>
    <t xml:space="preserve">ASS CERCLE SPORTIF DE TAVERNY TENNIS DE TABLE</t>
  </si>
  <si>
    <t xml:space="preserve">TAVERNY</t>
  </si>
  <si>
    <t xml:space="preserve">ASSOCIATION VOLLEY BALL DE TAVERNY</t>
  </si>
  <si>
    <t xml:space="preserve">CLUB D ARCHEOLOGIE SUB AQUATIQUE DU VAL D OISE CASAVO</t>
  </si>
  <si>
    <t xml:space="preserve">COSMOPOLITAN CLUB DE TAVERNY ATHLETISME</t>
  </si>
  <si>
    <t xml:space="preserve">COSMOPOLITAN CLUB DE TAVERNY FOOTBALL</t>
  </si>
  <si>
    <t xml:space="preserve">COSMOPOLITAN CLUB DE TAVERNY GYMNASTIQUE VOLONTAIRE</t>
  </si>
  <si>
    <t xml:space="preserve">COSMOPOLITAN CLUB TENNIS DE TAVERNY</t>
  </si>
  <si>
    <t xml:space="preserve">GYMNASTIQUE RYTMIQUE ET SPORTIVE DE TAVERNY</t>
  </si>
  <si>
    <t xml:space="preserve">HANDBALL CLUB ST LEU TAVERNY</t>
  </si>
  <si>
    <t xml:space="preserve">KARATE CLUB TAVERNY</t>
  </si>
  <si>
    <t xml:space="preserve">LES AS DU VOLANT</t>
  </si>
  <si>
    <t xml:space="preserve">LES FONDUS DE LA MARCHE NORDIQUE</t>
  </si>
  <si>
    <t xml:space="preserve">TAVERNY SPORTS NAUTIQUES 95</t>
  </si>
  <si>
    <t xml:space="preserve">UNION VELOCIPEDIQUE TABERNACIENNE</t>
  </si>
  <si>
    <t xml:space="preserve">US TENNIS CLUB</t>
  </si>
  <si>
    <t xml:space="preserve">US</t>
  </si>
  <si>
    <t xml:space="preserve">A S V KARATE</t>
  </si>
  <si>
    <t xml:space="preserve">VAUREAL</t>
  </si>
  <si>
    <t xml:space="preserve">ASS SPORTIVE DE CERGY GOLF CLUB</t>
  </si>
  <si>
    <t xml:space="preserve">ASS SPORTIVE DE VAUREAL JUDO</t>
  </si>
  <si>
    <t xml:space="preserve">ASSOCIATION FOOT SALLE DE VAUREAL</t>
  </si>
  <si>
    <t xml:space="preserve">CERCLE D ESCRIME VAUREAL</t>
  </si>
  <si>
    <t xml:space="preserve">LE RUBAN VOLANT</t>
  </si>
  <si>
    <t xml:space="preserve">SQUALES DE VAUREAL BASEBALL</t>
  </si>
  <si>
    <t xml:space="preserve">TENNIS CLUB DE VAUREAL</t>
  </si>
  <si>
    <t xml:space="preserve">TENNIS DE TABLE JOUY LE MOUTIER-VAUREAL</t>
  </si>
  <si>
    <t xml:space="preserve">VAUREAL BASKET CLUB</t>
  </si>
  <si>
    <t xml:space="preserve">VAUREAL PETANQUE AGORA</t>
  </si>
  <si>
    <t xml:space="preserve">VITAGYM DE VAUREAL</t>
  </si>
  <si>
    <t xml:space="preserve">YOSEIKAN BUDO VAUREAL</t>
  </si>
  <si>
    <t xml:space="preserve">CLUB DE TENNIS VIARMES ASNIERES</t>
  </si>
  <si>
    <t xml:space="preserve">VIARMES</t>
  </si>
  <si>
    <t xml:space="preserve">COMPAGNIE D ARC DE VIARMES</t>
  </si>
  <si>
    <t xml:space="preserve">GYMNASTIQUE VOLONTAIRE VIARMES ASNIERE SUR OISE</t>
  </si>
  <si>
    <t xml:space="preserve">HOCKEY ROLLER CLUB</t>
  </si>
  <si>
    <t xml:space="preserve">OLYMPIQUE VIARMES ASNIERES SUR OISE FOOTBALL</t>
  </si>
  <si>
    <t xml:space="preserve">TENNIS CLUB DE VIGNY</t>
  </si>
  <si>
    <t xml:space="preserve">VIGNY</t>
  </si>
  <si>
    <t xml:space="preserve">INTER VALLEES JUDO 95</t>
  </si>
  <si>
    <t xml:space="preserve">VILLIERS ADAM</t>
  </si>
  <si>
    <t xml:space="preserve">ASSOCIATION SPORTIVE DU SERVICE D EDUCATION SPECIALE ET DE SOINS A</t>
  </si>
  <si>
    <t xml:space="preserve">VILLIERS LE BEL</t>
  </si>
  <si>
    <t xml:space="preserve">BOXING COOL ACADEMY</t>
  </si>
  <si>
    <t xml:space="preserve">CLUB OLYMPIQUE DE VILLIERS LE BEL PISCINE MUNICIPALE</t>
  </si>
  <si>
    <t xml:space="preserve">CONCEPTUEL ASSOCIATION</t>
  </si>
  <si>
    <t xml:space="preserve">FOOTBALL CLUB DE VILLIERS LE BEL</t>
  </si>
  <si>
    <t xml:space="preserve">FUTSAL CLUB VLB</t>
  </si>
  <si>
    <t xml:space="preserve">JUDO CLUB DE VILLIERS LE BEL</t>
  </si>
  <si>
    <t xml:space="preserve">TENNIS CLUB DE VILLIERS LE BEL</t>
  </si>
  <si>
    <t xml:space="preserve">VILLIERS LE BEL HOCKEY CLUB</t>
  </si>
  <si>
    <t xml:space="preserve">UNION SPORTIVE CULTURELLE VEMAROISE</t>
  </si>
  <si>
    <t xml:space="preserve">VEMARS</t>
  </si>
  <si>
    <t xml:space="preserve">TENNIS CLUB DE VETHEUIL</t>
  </si>
  <si>
    <t xml:space="preserve">VETHEUIL</t>
  </si>
  <si>
    <t xml:space="preserve">CLUB DES ARCHERS D ECOUEN</t>
  </si>
  <si>
    <t xml:space="preserve">ECOUEN</t>
  </si>
  <si>
    <t xml:space="preserve">ECOUEN RANDO</t>
  </si>
  <si>
    <t xml:space="preserve">ESPACE SPORTIF SOCIO CULTUREL ARTS LOISIRS ECOUEN</t>
  </si>
  <si>
    <t xml:space="preserve">FOOTBALL CLUB D ECOUEN</t>
  </si>
  <si>
    <t xml:space="preserve">AIKIDO CLUB D ERAGNY</t>
  </si>
  <si>
    <t xml:space="preserve">ERAGNY SUR OISE</t>
  </si>
  <si>
    <t xml:space="preserve">AMICALE DE PETANQUE D ERAGNY</t>
  </si>
  <si>
    <t xml:space="preserve">AMICALE SPORTIVE D ERAGNY</t>
  </si>
  <si>
    <t xml:space="preserve">ASS SPORTIVE DES ARCHERS D ERAGNY SUR OISE</t>
  </si>
  <si>
    <t xml:space="preserve">BADMINTON CLUB D ERAGNY</t>
  </si>
  <si>
    <t xml:space="preserve">CROSSMINTON CLUB</t>
  </si>
  <si>
    <t xml:space="preserve">DOJO CLUB ERAGNY</t>
  </si>
  <si>
    <t xml:space="preserve">DYNAMIQUE GYM ERAGNY</t>
  </si>
  <si>
    <t xml:space="preserve">ECOLE DU DRAGON</t>
  </si>
  <si>
    <t xml:space="preserve">ERAGNY AQUATIQUE CLUB</t>
  </si>
  <si>
    <t xml:space="preserve">GYMNASTIQUE SPORTIVE ET ARTISTIQUE SERVICE DES SPORTS</t>
  </si>
  <si>
    <t xml:space="preserve">TENNIS CLUB D ERAGNY</t>
  </si>
  <si>
    <t xml:space="preserve">CERCLE NAUTIQUE 95</t>
  </si>
  <si>
    <t xml:space="preserve">EZANVILLE</t>
  </si>
  <si>
    <t xml:space="preserve">UNION SPORTIVE EZANVILLE ECOUEN</t>
  </si>
  <si>
    <t xml:space="preserve">Évolution 2019-2025 des associations civiles aidées (Val d'Oise)</t>
  </si>
  <si>
    <t xml:space="preserve">Rupture de mesure en 2024 : licencié·es jusqu'en 2023, adhérent·es ensuite. Totaux par formule sur l'onglet Communes.</t>
  </si>
  <si>
    <t xml:space="preserve">Année</t>
  </si>
  <si>
    <t xml:space="preserve">Associations civiles</t>
  </si>
  <si>
    <t xml:space="preserve">Licencié·es / adhérent·es</t>
  </si>
  <si>
    <t xml:space="preserve">Mesure</t>
  </si>
  <si>
    <t xml:space="preserve">2019</t>
  </si>
  <si>
    <t xml:space="preserve">licencié·es</t>
  </si>
  <si>
    <t xml:space="preserve">n.d.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</si>
  <si>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</si>
  <si>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</si>
  <si>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</si>
  <si>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</si>
  <si>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</si>
  <si>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adhérent·es F+H</t>
  </si>
  <si>
    <t xml:space="preserve">2025</t>
  </si>
  <si>
    <t xml:space="preserve">n.d. : pas de ventilation F/H fiable avant 2024 dans ce fichier.</t>
  </si>
  <si>
    <t xml:space="preserve">Associations civiles aidées par territoire, 2019 à 2025</t>
  </si>
  <si>
    <t xml:space="preserve">Tous sexes confondus (pas de répartition F/H avant 2024). « Panel » = les 336 associations présentes les 7 années, pour suivre les effectifs sans l'effet des entrées et sorties de la liste. Volume = licencié·es jusqu'en 2023, adhérent·es ensuite.</t>
  </si>
  <si>
    <t xml:space="preserve">Par canton</t>
  </si>
  <si>
    <t xml:space="preserve">Asso. 2019</t>
  </si>
  <si>
    <t xml:space="preserve">Asso. 2020</t>
  </si>
  <si>
    <t xml:space="preserve">Asso. 2021</t>
  </si>
  <si>
    <t xml:space="preserve">Asso. 2022</t>
  </si>
  <si>
    <t xml:space="preserve">Asso. 2023</t>
  </si>
  <si>
    <t xml:space="preserve">Asso. 2024</t>
  </si>
  <si>
    <t xml:space="preserve">Asso. 2025</t>
  </si>
  <si>
    <t xml:space="preserve">Volume 2019</t>
  </si>
  <si>
    <t xml:space="preserve">Volume 2020</t>
  </si>
  <si>
    <t xml:space="preserve">Volume 2021</t>
  </si>
  <si>
    <t xml:space="preserve">Volume 2022</t>
  </si>
  <si>
    <t xml:space="preserve">Volume 2023</t>
  </si>
  <si>
    <t xml:space="preserve">Volume 2024</t>
  </si>
  <si>
    <t xml:space="preserve">Volume 2025</t>
  </si>
  <si>
    <t xml:space="preserve">Panel 2019</t>
  </si>
  <si>
    <t xml:space="preserve">Panel 2020</t>
  </si>
  <si>
    <t xml:space="preserve">Panel 2021</t>
  </si>
  <si>
    <t xml:space="preserve">Panel 2022</t>
  </si>
  <si>
    <t xml:space="preserve">Panel 2023</t>
  </si>
  <si>
    <t xml:space="preserve">Panel 2024</t>
  </si>
  <si>
    <t xml:space="preserve">Panel 2025</t>
  </si>
  <si>
    <t xml:space="preserve">Évol. asso. 2019→2025</t>
  </si>
  <si>
    <t xml:space="preserve">Évol. panel 2019→2022</t>
  </si>
  <si>
    <t xml:space="preserve">Évol. panel 2019→2025</t>
  </si>
  <si>
    <t xml:space="preserve">Par intercommunalité</t>
  </si>
  <si>
    <t xml:space="preserve">Intercommunalité</t>
  </si>
  <si>
    <t xml:space="preserve">Anomalie connue : en 2022-2023, le CMG Club multisports de Garges-lès-Gonesse déclare 370 puis 37 licencié·es (1 830 en 2021, 1 330 en 2024).</t>
  </si>
  <si>
    <t xml:space="preserve">Les associations sont rapprochées d'une année à l'autre par leur nom. Une association renommée compte comme une sortie puis une entrée.</t>
  </si>
  <si>
    <t xml:space="preserve">Comités départementaux : licencié·es et féminines par saison</t>
  </si>
  <si>
    <t xml:space="preserve">Source : « Comité départementaux.xlsx », onglet Bilan. Part F par formule ; vide si la féminisation n'est pas renseignée.</t>
  </si>
  <si>
    <t xml:space="preserve">Comité</t>
  </si>
  <si>
    <t xml:space="preserve">Licencié·es 2022/2023</t>
  </si>
  <si>
    <t xml:space="preserve">Féminines 2022/2023</t>
  </si>
  <si>
    <t xml:space="preserve">Part F 2022/2023</t>
  </si>
  <si>
    <t xml:space="preserve">Licencié·es 2023/2024</t>
  </si>
  <si>
    <t xml:space="preserve">Féminines 2023/2024</t>
  </si>
  <si>
    <t xml:space="preserve">Part F 2023/2024</t>
  </si>
  <si>
    <t xml:space="preserve">Licencié·es 2024/2025</t>
  </si>
  <si>
    <t xml:space="preserve">Féminines 2024/2025</t>
  </si>
  <si>
    <t xml:space="preserve">Part F 2024/2025</t>
  </si>
  <si>
    <t xml:space="preserve">Licencié·es 2025/2026</t>
  </si>
  <si>
    <t xml:space="preserve">Féminines 2025/2026</t>
  </si>
  <si>
    <t xml:space="preserve">Part F 2025/2026</t>
  </si>
  <si>
    <t xml:space="preserve">Actions pratique féminine (2025/26)</t>
  </si>
  <si>
    <t xml:space="preserve">AIKIDO ET BUDO</t>
  </si>
  <si>
    <t xml:space="preserve">ATHLETISME</t>
  </si>
  <si>
    <t xml:space="preserve">AVIRON</t>
  </si>
  <si>
    <t xml:space="preserve">BADMINTON</t>
  </si>
  <si>
    <t xml:space="preserve">BASKET BALL</t>
  </si>
  <si>
    <t xml:space="preserve">BILLARD</t>
  </si>
  <si>
    <t xml:space="preserve">BOXE ANGLAISE</t>
  </si>
  <si>
    <t xml:space="preserve">COMITE DE JUDO DU VAL D'OISE</t>
  </si>
  <si>
    <t xml:space="preserve">COURSE D'ORIENTATION</t>
  </si>
  <si>
    <t xml:space="preserve">CYCLISME</t>
  </si>
  <si>
    <t xml:space="preserve">CYCLOTOURISME</t>
  </si>
  <si>
    <t xml:space="preserve">ECHECS</t>
  </si>
  <si>
    <t xml:space="preserve">EPGV-GYMNASTIQUE VOLONTAIRE (EDUCATION PHYSIQUE et GYMNASTIQUE VOLONTAIRE)</t>
  </si>
  <si>
    <t xml:space="preserve">EQUITATION</t>
  </si>
  <si>
    <t xml:space="preserve">ESCRIME</t>
  </si>
  <si>
    <t xml:space="preserve">FFD CD 95 COMITE DEPARTEMENTAL DANSE 95</t>
  </si>
  <si>
    <t xml:space="preserve">FLYING DISC</t>
  </si>
  <si>
    <t xml:space="preserve">FOOTBALL</t>
  </si>
  <si>
    <t xml:space="preserve">FSCF (FEDERATION SPORTIVE ET CULTURELLE DE France)</t>
  </si>
  <si>
    <t xml:space="preserve">FSGT (FEDERATION SPORTIVE ET GYMNIQUE DU TRAVAIL)</t>
  </si>
  <si>
    <t xml:space="preserve">GOLF</t>
  </si>
  <si>
    <t xml:space="preserve">GYMNASTIQUE</t>
  </si>
  <si>
    <t xml:space="preserve">HALTEROPHILIE et MUSCULATION</t>
  </si>
  <si>
    <t xml:space="preserve">HANDBALL</t>
  </si>
  <si>
    <t xml:space="preserve">HANDISPORT</t>
  </si>
  <si>
    <t xml:space="preserve">HOCKEY SUR GLACE</t>
  </si>
  <si>
    <t xml:space="preserve">KARATE ET DISCIPLINES ASSOCIEES</t>
  </si>
  <si>
    <t xml:space="preserve">MEDAILLES JEUNESSE ET SPORTS et ENGAGEMENT ASSOCIATIF</t>
  </si>
  <si>
    <t xml:space="preserve">MONTAGNE ET ESCALADE</t>
  </si>
  <si>
    <t xml:space="preserve">NATATION</t>
  </si>
  <si>
    <t xml:space="preserve">PETANQUE ET JEU PROVENCAL</t>
  </si>
  <si>
    <t xml:space="preserve">PLONGEE SOUS-MARINE</t>
  </si>
  <si>
    <t xml:space="preserve">RETRAITE SPORTIVE</t>
  </si>
  <si>
    <t xml:space="preserve">ROLLER SKATEBOARD</t>
  </si>
  <si>
    <t xml:space="preserve">RUGBY</t>
  </si>
  <si>
    <t xml:space="preserve">SAVATE BOXE FRANCAISE</t>
  </si>
  <si>
    <t xml:space="preserve">SPELEOLOGIE</t>
  </si>
  <si>
    <t xml:space="preserve">SPORT ADAPTE</t>
  </si>
  <si>
    <t xml:space="preserve">SPORTS DE GLACE</t>
  </si>
  <si>
    <t xml:space="preserve">SQUASH</t>
  </si>
  <si>
    <t xml:space="preserve">TAEKWONDO</t>
  </si>
  <si>
    <t xml:space="preserve">TENNIS</t>
  </si>
  <si>
    <t xml:space="preserve">TENNIS DE TABLE</t>
  </si>
  <si>
    <t xml:space="preserve">TIR A L'ARC</t>
  </si>
  <si>
    <t xml:space="preserve">TRIATHLON</t>
  </si>
  <si>
    <t xml:space="preserve">UFOLEP</t>
  </si>
  <si>
    <t xml:space="preserve">UNSS</t>
  </si>
  <si>
    <t xml:space="preserve">USEP</t>
  </si>
  <si>
    <t xml:space="preserve">VOILE</t>
  </si>
  <si>
    <t xml:space="preserve">VOLLEY BALL</t>
  </si>
  <si>
    <t xml:space="preserve">Total des comités qui renseignent les féminines</t>
  </si>
  <si>
    <t xml:space="preserve">Actions « pratique féminine » : onglet « Détail 2024 2026 », rapproché par le nombre de licencié·es 2025/26 ; vide = non renseigné.</t>
  </si>
  <si>
    <t xml:space="preserve">Part des femmes par discipline, 2020/21 à 2025/26</t>
  </si>
  <si>
    <t xml:space="preserve">Sources : enquête « Le sport féminin en Val d'Oise » (2020/21) ; comités départementaux, onglet Bilan (2022/23 à 2025/26). La saison 2021/22 ne renseigne pas les féminines. 2020/21 est une saison perturbée par la crise sanitaire.</t>
  </si>
  <si>
    <t xml:space="preserve">Discipline</t>
  </si>
  <si>
    <t xml:space="preserve">Licencié·es 2020/2021</t>
  </si>
  <si>
    <t xml:space="preserve">Féminines 2020/2021</t>
  </si>
  <si>
    <t xml:space="preserve">Part F 2020/2021</t>
  </si>
  <si>
    <t xml:space="preserve">Écart 2020/21 → 2025/26 (points)</t>
  </si>
  <si>
    <t xml:space="preserve">Présente les 5 saisons</t>
  </si>
  <si>
    <t xml:space="preserve">Athlétisme</t>
  </si>
  <si>
    <t xml:space="preserve">oui</t>
  </si>
  <si>
    <t xml:space="preserve">Aviron</t>
  </si>
  <si>
    <t xml:space="preserve">Aïkido-budo</t>
  </si>
  <si>
    <t xml:space="preserve">Badminton</t>
  </si>
  <si>
    <t xml:space="preserve">Baseball-softball</t>
  </si>
  <si>
    <t xml:space="preserve">non</t>
  </si>
  <si>
    <t xml:space="preserve">Basket-ball</t>
  </si>
  <si>
    <t xml:space="preserve">Billard</t>
  </si>
  <si>
    <t xml:space="preserve">Boxe anglaise</t>
  </si>
  <si>
    <t xml:space="preserve">Course d'orientation</t>
  </si>
  <si>
    <t xml:space="preserve">Cyclisme</t>
  </si>
  <si>
    <t xml:space="preserve">Cyclotourisme</t>
  </si>
  <si>
    <t xml:space="preserve">Danse</t>
  </si>
  <si>
    <t xml:space="preserve">Escrime</t>
  </si>
  <si>
    <t xml:space="preserve">Flying disc</t>
  </si>
  <si>
    <t xml:space="preserve">Football</t>
  </si>
  <si>
    <t xml:space="preserve">Football américain</t>
  </si>
  <si>
    <t xml:space="preserve">FSCF</t>
  </si>
  <si>
    <t xml:space="preserve">FSGT</t>
  </si>
  <si>
    <t xml:space="preserve">Golf</t>
  </si>
  <si>
    <t xml:space="preserve">Gym. volontaire (EPGV)</t>
  </si>
  <si>
    <t xml:space="preserve">Gymnastique</t>
  </si>
  <si>
    <t xml:space="preserve">Haltérophilie</t>
  </si>
  <si>
    <t xml:space="preserve">Handball</t>
  </si>
  <si>
    <t xml:space="preserve">Handisport</t>
  </si>
  <si>
    <t xml:space="preserve">Hockey sur glace</t>
  </si>
  <si>
    <t xml:space="preserve">Judo</t>
  </si>
  <si>
    <t xml:space="preserve">Karaté</t>
  </si>
  <si>
    <t xml:space="preserve">Montagne-escalade</t>
  </si>
  <si>
    <t xml:space="preserve">Médailles jeunesse et sports</t>
  </si>
  <si>
    <t xml:space="preserve">Natation</t>
  </si>
  <si>
    <t xml:space="preserve">Plongée</t>
  </si>
  <si>
    <t xml:space="preserve">Pétanque</t>
  </si>
  <si>
    <t xml:space="preserve">Randonnée pédestre</t>
  </si>
  <si>
    <t xml:space="preserve">Retraite sportive</t>
  </si>
  <si>
    <t xml:space="preserve">Roller-skate</t>
  </si>
  <si>
    <t xml:space="preserve">Rugby</t>
  </si>
  <si>
    <t xml:space="preserve">Savate boxe française</t>
  </si>
  <si>
    <t xml:space="preserve">Sport adapté</t>
  </si>
  <si>
    <t xml:space="preserve">Sports de glace</t>
  </si>
  <si>
    <t xml:space="preserve">Spéléologie</t>
  </si>
  <si>
    <t xml:space="preserve">Squash</t>
  </si>
  <si>
    <t xml:space="preserve">Taekwondo</t>
  </si>
  <si>
    <t xml:space="preserve">Tennis</t>
  </si>
  <si>
    <t xml:space="preserve">Tennis de table</t>
  </si>
  <si>
    <t xml:space="preserve">Tir</t>
  </si>
  <si>
    <t xml:space="preserve">Tir à l'arc</t>
  </si>
  <si>
    <t xml:space="preserve">Triathlon</t>
  </si>
  <si>
    <t xml:space="preserve">Voile</t>
  </si>
  <si>
    <t xml:space="preserve">Vol En Planeur</t>
  </si>
  <si>
    <t xml:space="preserve">Volley-ball</t>
  </si>
  <si>
    <t xml:space="preserve">Échecs</t>
  </si>
  <si>
    <t xml:space="preserve">Équitation</t>
  </si>
  <si>
    <t xml:space="preserve">Total des disciplines présentes les 5 saisons</t>
  </si>
  <si>
    <t xml:space="preserve">31 disciplines renseignent licencié·es et féminines aux 5 saisons. Taekwondo 2020/21 est exclu : féminines (543) supérieures au total (218).</t>
  </si>
  <si>
    <t xml:space="preserve">Place des femmes dans l'encadrement et la gouvernance</t>
  </si>
  <si>
    <t xml:space="preserve">Sources : enquête « Le sport féminin en Val d'Oise 2021 » ; fichier « Répartition homme et femme élu et dirigeant ».</t>
  </si>
  <si>
    <t xml:space="preserve">Fonction</t>
  </si>
  <si>
    <t xml:space="preserve">Total</t>
  </si>
  <si>
    <t xml:space="preserve">Femmes</t>
  </si>
  <si>
    <t xml:space="preserve">Pratiquant·es (enquête 2021)</t>
  </si>
  <si>
    <t xml:space="preserve">39 comités ayant renseigné les deux valeurs</t>
  </si>
  <si>
    <t xml:space="preserve">Bénévoles (enquête 2021)</t>
  </si>
  <si>
    <t xml:space="preserve">30 comités ayant renseigné les deux valeurs</t>
  </si>
  <si>
    <t xml:space="preserve">Éducateur·rices (enquête 2021)</t>
  </si>
  <si>
    <t xml:space="preserve">35 comités ayant renseigné les deux valeurs</t>
  </si>
  <si>
    <t xml:space="preserve">Arbitres (enquête 2021)</t>
  </si>
  <si>
    <t xml:space="preserve">28 comités ayant renseigné les deux valeurs</t>
  </si>
  <si>
    <t xml:space="preserve">Présidences de club (enquête 2021)</t>
  </si>
  <si>
    <t xml:space="preserve">718 clubs dont le sexe de la présidence est connu</t>
  </si>
  <si>
    <t xml:space="preserve">  dont zone Centre</t>
  </si>
  <si>
    <t xml:space="preserve">Découpage « Partie du VO » de l'enquête</t>
  </si>
  <si>
    <t xml:space="preserve">  dont zone Est</t>
  </si>
  <si>
    <t xml:space="preserve">  dont zone Vexin</t>
  </si>
  <si>
    <t xml:space="preserve">Élu·es aux sports des communes</t>
  </si>
  <si>
    <t xml:space="preserve">Fichier Répartition H/F</t>
  </si>
  <si>
    <t xml:space="preserve">Directeur·rices des sports des communes (postes pourvus)</t>
  </si>
  <si>
    <t xml:space="preserve">50 postes dont 3 vacants</t>
  </si>
  <si>
    <t xml:space="preserve">Présentation 2021 (rappel) : 20 % de présidentes de comités départementaux ; 17 % de présidentes de fédérations françaises.</t>
  </si>
  <si>
    <t xml:space="preserve">Sections sportives scolaires 2026-2027, Val d'Oise</t>
  </si>
  <si>
    <t xml:space="preserve">Source : « Liste SSS 26 27.pdf » (Rectorat de Versailles), lignes du département 95.</t>
  </si>
  <si>
    <t xml:space="preserve">UAI</t>
  </si>
  <si>
    <t xml:space="preserve">Type</t>
  </si>
  <si>
    <t xml:space="preserve">Établissement</t>
  </si>
  <si>
    <t xml:space="preserve">Section</t>
  </si>
  <si>
    <t xml:space="preserve">Section féminine</t>
  </si>
  <si>
    <t xml:space="preserve">0950022H</t>
  </si>
  <si>
    <t xml:space="preserve">CLG</t>
  </si>
  <si>
    <t xml:space="preserve">BEL AIR</t>
  </si>
  <si>
    <t xml:space="preserve">VTT</t>
  </si>
  <si>
    <t xml:space="preserve">0950025L</t>
  </si>
  <si>
    <t xml:space="preserve">PHILIPPE AUGUSTE</t>
  </si>
  <si>
    <t xml:space="preserve">BASKET-BALL</t>
  </si>
  <si>
    <t xml:space="preserve">0950026M</t>
  </si>
  <si>
    <t xml:space="preserve">MAXIMILIEN DE ROBESPIERRE</t>
  </si>
  <si>
    <t xml:space="preserve">0950037Z</t>
  </si>
  <si>
    <t xml:space="preserve">JEAN ZAY</t>
  </si>
  <si>
    <t xml:space="preserve">SAINT-GRATIEN</t>
  </si>
  <si>
    <t xml:space="preserve">0950039B</t>
  </si>
  <si>
    <t xml:space="preserve">LE PARC</t>
  </si>
  <si>
    <t xml:space="preserve">SAINT-OUEN-L'AUMONE</t>
  </si>
  <si>
    <t xml:space="preserve">0950045H</t>
  </si>
  <si>
    <t xml:space="preserve">EVARISTE GALOIS</t>
  </si>
  <si>
    <t xml:space="preserve">SAVOIR NAGER</t>
  </si>
  <si>
    <t xml:space="preserve">0950650R</t>
  </si>
  <si>
    <t xml:space="preserve">LYC</t>
  </si>
  <si>
    <t xml:space="preserve">JEAN-JACQUES ROUSSEAU</t>
  </si>
  <si>
    <t xml:space="preserve">HIP HOP</t>
  </si>
  <si>
    <t xml:space="preserve">0950739M</t>
  </si>
  <si>
    <t xml:space="preserve">ANTOINE DE SAINT-EXUPERY</t>
  </si>
  <si>
    <t xml:space="preserve">VOLLEY-BALL</t>
  </si>
  <si>
    <t xml:space="preserve">0950749Y</t>
  </si>
  <si>
    <t xml:space="preserve">SAINT-EXUPERY</t>
  </si>
  <si>
    <t xml:space="preserve">VILLIERS-LE-BEL</t>
  </si>
  <si>
    <t xml:space="preserve">0950886X</t>
  </si>
  <si>
    <t xml:space="preserve">CLAUDE MONET</t>
  </si>
  <si>
    <t xml:space="preserve">0950887Y</t>
  </si>
  <si>
    <t xml:space="preserve">GABRIEL PERI</t>
  </si>
  <si>
    <t xml:space="preserve">0950895G</t>
  </si>
  <si>
    <t xml:space="preserve">SIMONE VEIL</t>
  </si>
  <si>
    <t xml:space="preserve">FUTSAL</t>
  </si>
  <si>
    <t xml:space="preserve">0950900M</t>
  </si>
  <si>
    <t xml:space="preserve">ANATOLE France</t>
  </si>
  <si>
    <t xml:space="preserve">0950908W</t>
  </si>
  <si>
    <t xml:space="preserve">FranCois MAURIAC</t>
  </si>
  <si>
    <t xml:space="preserve">0950930V</t>
  </si>
  <si>
    <t xml:space="preserve">GEORGES POMPIDOU</t>
  </si>
  <si>
    <t xml:space="preserve">ENGHIEN-LES-BAINS</t>
  </si>
  <si>
    <t xml:space="preserve">0950931W</t>
  </si>
  <si>
    <t xml:space="preserve">L'ARDILLIERE DE NEZANT</t>
  </si>
  <si>
    <t xml:space="preserve">SAINT-BRICE-SOUS-FORET</t>
  </si>
  <si>
    <t xml:space="preserve">0950934Z</t>
  </si>
  <si>
    <t xml:space="preserve">GEORGES BRASSENS</t>
  </si>
  <si>
    <t xml:space="preserve">0950937C</t>
  </si>
  <si>
    <t xml:space="preserve">LES TOULEUSES</t>
  </si>
  <si>
    <t xml:space="preserve">CANOE-KAYAK</t>
  </si>
  <si>
    <t xml:space="preserve">0950941G</t>
  </si>
  <si>
    <t xml:space="preserve">JEAN BULLANT</t>
  </si>
  <si>
    <t xml:space="preserve">0950943J</t>
  </si>
  <si>
    <t xml:space="preserve">CHANTEREINE</t>
  </si>
  <si>
    <t xml:space="preserve">0951050A</t>
  </si>
  <si>
    <t xml:space="preserve">PIERRE CURIE</t>
  </si>
  <si>
    <t xml:space="preserve">0951051B</t>
  </si>
  <si>
    <t xml:space="preserve">MARCEL PAGNOL</t>
  </si>
  <si>
    <t xml:space="preserve">ULTIMATE</t>
  </si>
  <si>
    <t xml:space="preserve">0951098C</t>
  </si>
  <si>
    <t xml:space="preserve">PABLO PICASSO</t>
  </si>
  <si>
    <t xml:space="preserve">GARGES-LES-GONESSE</t>
  </si>
  <si>
    <t xml:space="preserve">0951100E</t>
  </si>
  <si>
    <t xml:space="preserve">EPINE GUYON</t>
  </si>
  <si>
    <t xml:space="preserve">0951138W</t>
  </si>
  <si>
    <t xml:space="preserve">0951190C</t>
  </si>
  <si>
    <t xml:space="preserve">LANGEVIN-WALLON</t>
  </si>
  <si>
    <t xml:space="preserve">SAINT GRATIEN</t>
  </si>
  <si>
    <t xml:space="preserve">0951195H</t>
  </si>
  <si>
    <t xml:space="preserve">0951230W</t>
  </si>
  <si>
    <t xml:space="preserve">EUGENIE COTTON</t>
  </si>
  <si>
    <t xml:space="preserve">ESCALADE</t>
  </si>
  <si>
    <t xml:space="preserve">0951357J</t>
  </si>
  <si>
    <t xml:space="preserve">ANNA DE NOAILLES</t>
  </si>
  <si>
    <t xml:space="preserve">0951401G</t>
  </si>
  <si>
    <t xml:space="preserve">LA JUSTICE</t>
  </si>
  <si>
    <t xml:space="preserve">0951403J</t>
  </si>
  <si>
    <t xml:space="preserve">LA BRUYERE</t>
  </si>
  <si>
    <t xml:space="preserve">0951527U</t>
  </si>
  <si>
    <t xml:space="preserve">HENRI GUILLAUMET</t>
  </si>
  <si>
    <t xml:space="preserve">JOUY-LE-MOUTIER</t>
  </si>
  <si>
    <t xml:space="preserve">0951636M</t>
  </si>
  <si>
    <t xml:space="preserve">LES TOUPETS</t>
  </si>
  <si>
    <t xml:space="preserve">0951672B</t>
  </si>
  <si>
    <t xml:space="preserve">LEONARD DE VINCI</t>
  </si>
  <si>
    <t xml:space="preserve">ERAGNY</t>
  </si>
  <si>
    <t xml:space="preserve">0951705M</t>
  </si>
  <si>
    <t xml:space="preserve">LA BUSSIE</t>
  </si>
  <si>
    <t xml:space="preserve">0951763A</t>
  </si>
  <si>
    <t xml:space="preserve">LOUIS JOUVET</t>
  </si>
  <si>
    <t xml:space="preserve">0951823R</t>
  </si>
  <si>
    <t xml:space="preserve">CHARLES FRANCOIS DAUBIGNY</t>
  </si>
  <si>
    <t xml:space="preserve">AUVERS-SUR-OISE</t>
  </si>
  <si>
    <t xml:space="preserve">0951920W</t>
  </si>
  <si>
    <t xml:space="preserve">FRANCOIS TRUFFAUT</t>
  </si>
  <si>
    <t xml:space="preserve">0951921X</t>
  </si>
  <si>
    <t xml:space="preserve">MICHEL DE MONTAIGNE</t>
  </si>
  <si>
    <t xml:space="preserve">DANSE</t>
  </si>
  <si>
    <t xml:space="preserve">0951945Y</t>
  </si>
  <si>
    <t xml:space="preserve">VICTOR HUGO</t>
  </si>
  <si>
    <t xml:space="preserve">RAID MULTISPORTS</t>
  </si>
  <si>
    <t xml:space="preserve">0952088D</t>
  </si>
  <si>
    <t xml:space="preserve">JEAN-FRANCOIS CLERVOY</t>
  </si>
  <si>
    <t xml:space="preserve">BASKET-BALL SECTION FEMININE</t>
  </si>
  <si>
    <t xml:space="preserve">0952114G</t>
  </si>
  <si>
    <t xml:space="preserve">ARIANE</t>
  </si>
  <si>
    <t xml:space="preserve">JUDO</t>
  </si>
  <si>
    <t xml:space="preserve">0952205F</t>
  </si>
  <si>
    <t xml:space="preserve">ISABELLE AUTISSIER</t>
  </si>
  <si>
    <t xml:space="preserve">HERBLAY-SUR-SEINE</t>
  </si>
  <si>
    <t xml:space="preserve">0952236P</t>
  </si>
  <si>
    <t xml:space="preserve">LOUISE WEISS</t>
  </si>
  <si>
    <t xml:space="preserve">CORMEILLES-EN-PARISIS</t>
  </si>
  <si>
    <t xml:space="preserve">0952325L</t>
  </si>
  <si>
    <t xml:space="preserve">SUZANNE LENGLEN</t>
  </si>
  <si>
    <t xml:space="preserve">Lieux de pratique sportive du Val d'Oise</t>
  </si>
  <si>
    <t xml:space="preserve">Source : « Installations sportives présentes sur Département du Val d'Oise.xlsx ».</t>
  </si>
  <si>
    <t xml:space="preserve">Nom</t>
  </si>
  <si>
    <t xml:space="preserve">Adresse</t>
  </si>
  <si>
    <t xml:space="preserve">Type particulier</t>
  </si>
  <si>
    <t xml:space="preserve">installation Nombre (source, non documenté)</t>
  </si>
  <si>
    <t xml:space="preserve">Grille de densité</t>
  </si>
  <si>
    <t xml:space="preserve">BASIC FIT</t>
  </si>
  <si>
    <t xml:space="preserve">27 Rue d'Epluches</t>
  </si>
  <si>
    <t xml:space="preserve">LYCEE DU CHATEAU D'EPLUCHES</t>
  </si>
  <si>
    <t xml:space="preserve">45 AVENUE DU CHATEAU</t>
  </si>
  <si>
    <t xml:space="preserve">Etablissement scolaire</t>
  </si>
  <si>
    <t xml:space="preserve">STADE ESCUTARY</t>
  </si>
  <si>
    <t xml:space="preserve">13 RUE LEO LAGRANGE QUARTIER DES CHENNEVIERES</t>
  </si>
  <si>
    <t xml:space="preserve">GYMNASE CLAMART</t>
  </si>
  <si>
    <t xml:space="preserve">RUE GIACOMO PUCCINI</t>
  </si>
  <si>
    <t xml:space="preserve">SOCIETE NAUTIQUE DE L'OISE</t>
  </si>
  <si>
    <t xml:space="preserve">23 QUAI D'ECLUSES</t>
  </si>
  <si>
    <t xml:space="preserve">AIRE DE JEUX</t>
  </si>
  <si>
    <t xml:space="preserve">RUE DES FRERES CAPUCINS</t>
  </si>
  <si>
    <t xml:space="preserve">GYMNASE ALAIN COLAS</t>
  </si>
  <si>
    <t xml:space="preserve">Rue de Coutures</t>
  </si>
  <si>
    <t xml:space="preserve">COMITE PARMINOIS DE COORDINATION DES LOISIRS ET DE LA CULTURE</t>
  </si>
  <si>
    <t xml:space="preserve">ECOLE ELEMENTAIRE MAURICE GENEVOIX</t>
  </si>
  <si>
    <t xml:space="preserve">Rue Paul Ferry</t>
  </si>
  <si>
    <t xml:space="preserve">CITY STADE</t>
  </si>
  <si>
    <t xml:space="preserve">GYMNASE JACQUES DUCLOS</t>
  </si>
  <si>
    <t xml:space="preserve">RUE JEAN CATELAS</t>
  </si>
  <si>
    <t xml:space="preserve">STADE GASTON DESCHAMPS</t>
  </si>
  <si>
    <t xml:space="preserve">RUE FRANSCISCO FERRER</t>
  </si>
  <si>
    <t xml:space="preserve">PARC ROBESPIERRE</t>
  </si>
  <si>
    <t xml:space="preserve">RUE GAMBETTA</t>
  </si>
  <si>
    <t xml:space="preserve">BOUCLES DE CYCLOTOURISME "DE PERSAN"</t>
  </si>
  <si>
    <t xml:space="preserve">AVENUE DE LA GARE</t>
  </si>
  <si>
    <t xml:space="preserve">PLATEAU SPORTIF DE PROXIMITE</t>
  </si>
  <si>
    <t xml:space="preserve">RUE DES THIBIVILLIERS</t>
  </si>
  <si>
    <t xml:space="preserve">ESPACE LUCIEN LE MANER</t>
  </si>
  <si>
    <t xml:space="preserve">RUE DE LA FONTAINE DU ROY</t>
  </si>
  <si>
    <t xml:space="preserve">BALL TRAP</t>
  </si>
  <si>
    <t xml:space="preserve">D411</t>
  </si>
  <si>
    <t xml:space="preserve">ESPACE SPORTIF DE PROXIMITE</t>
  </si>
  <si>
    <t xml:space="preserve">RUE DES TOURNESOLS</t>
  </si>
  <si>
    <t xml:space="preserve">LES NYMPHEAS DU PARISIS</t>
  </si>
  <si>
    <t xml:space="preserve">14 CHAUSSEE JULES CESAR</t>
  </si>
  <si>
    <t xml:space="preserve">Piscine</t>
  </si>
  <si>
    <t xml:space="preserve">ECOLE MATERNELLE MARIE CURIE</t>
  </si>
  <si>
    <t xml:space="preserve">44 Rue Victor Hugo</t>
  </si>
  <si>
    <t xml:space="preserve">Ecole Primaire Louise Michel</t>
  </si>
  <si>
    <t xml:space="preserve">1 Rue Jean Ferrat</t>
  </si>
  <si>
    <t xml:space="preserve">PLAINE DE BOISSY</t>
  </si>
  <si>
    <t xml:space="preserve">CHEMIN DE LA PLAINE</t>
  </si>
  <si>
    <t xml:space="preserve">MAGIC FORM</t>
  </si>
  <si>
    <t xml:space="preserve">26 RUE PASTEUR</t>
  </si>
  <si>
    <t xml:space="preserve">COLLEGE MARIE SKLODOWSKA CURIE</t>
  </si>
  <si>
    <t xml:space="preserve">2 Rue de la Clé des Champs</t>
  </si>
  <si>
    <t xml:space="preserve">ECOLE MATERNELLE LES HAUTS DE SAINT-NICOLAS</t>
  </si>
  <si>
    <t xml:space="preserve">Rue Pasteur</t>
  </si>
  <si>
    <t xml:space="preserve">ECOLE ELEMENTAIRE SAINT-EXUPERY</t>
  </si>
  <si>
    <t xml:space="preserve">10 Rue Alexopoulos</t>
  </si>
  <si>
    <t xml:space="preserve">GYMNASE DES MARADAS</t>
  </si>
  <si>
    <t xml:space="preserve">PASSAGE DU LYCEE</t>
  </si>
  <si>
    <t xml:space="preserve">STAND DE TIR DE PONTOISE</t>
  </si>
  <si>
    <t xml:space="preserve">RUE DE L'HERMITAGE</t>
  </si>
  <si>
    <t xml:space="preserve">LYCEE CAMILLE PISSARRO</t>
  </si>
  <si>
    <t xml:space="preserve">1 RUE HENRI MATISSE</t>
  </si>
  <si>
    <t xml:space="preserve">HALL OMNISPORTS PHILIPPE HEMET</t>
  </si>
  <si>
    <t xml:space="preserve">1 RUE PIERRE DE COUBERTIN</t>
  </si>
  <si>
    <t xml:space="preserve">SALLE DE DANSE DU CENTRE VILLE</t>
  </si>
  <si>
    <t xml:space="preserve">PLACE DU PARC AUX CHARETTES</t>
  </si>
  <si>
    <t xml:space="preserve">STADE JEAN LOUSTEAU</t>
  </si>
  <si>
    <t xml:space="preserve">RUE LAVOISIER</t>
  </si>
  <si>
    <t xml:space="preserve">STADE MUNICIPAL</t>
  </si>
  <si>
    <t xml:space="preserve">rue du 1er Dragon</t>
  </si>
  <si>
    <t xml:space="preserve">GROUPE SCOLAIRE DE DUCHER 1 ET 2</t>
  </si>
  <si>
    <t xml:space="preserve">16 Boulevard de l'Europe</t>
  </si>
  <si>
    <t xml:space="preserve">PARC DES LARRIS</t>
  </si>
  <si>
    <t xml:space="preserve">LES LARRIS POURPRES</t>
  </si>
  <si>
    <t xml:space="preserve">BOULODROME</t>
  </si>
  <si>
    <t xml:space="preserve">RUE AUGUSTE RODIN</t>
  </si>
  <si>
    <t xml:space="preserve">TERRAIN DE SPORTS</t>
  </si>
  <si>
    <t xml:space="preserve">RUE CLAUDE DEBUSSY</t>
  </si>
  <si>
    <t xml:space="preserve">PLATEAU D'EVOLUTION</t>
  </si>
  <si>
    <t xml:space="preserve">SENTE ROBINET</t>
  </si>
  <si>
    <t xml:space="preserve">MAISON DES ASSOCIATIONS</t>
  </si>
  <si>
    <t xml:space="preserve">7 PLACE DU PETIT MARTROY</t>
  </si>
  <si>
    <t xml:space="preserve">CENTRE FAMILIAL DES CORDELIERS</t>
  </si>
  <si>
    <t xml:space="preserve">2 RUE RODIN</t>
  </si>
  <si>
    <t xml:space="preserve">MAISON DE QUARTIER DES LOUVRAIS</t>
  </si>
  <si>
    <t xml:space="preserve">2 PLACE DE LA FRATERNITE</t>
  </si>
  <si>
    <t xml:space="preserve">SARL AUX DEUX SETS</t>
  </si>
  <si>
    <t xml:space="preserve">77 RUE DE GISORS</t>
  </si>
  <si>
    <t xml:space="preserve">SALLE DE DANSE</t>
  </si>
  <si>
    <t xml:space="preserve">42-44 RUE DE HOCHE</t>
  </si>
  <si>
    <t xml:space="preserve">ENERGIE FORME</t>
  </si>
  <si>
    <t xml:space="preserve">64 CHAUSSEE JULES CESAR</t>
  </si>
  <si>
    <t xml:space="preserve">PISCINE D'AGGLOMERATION DES LOUVRAIS</t>
  </si>
  <si>
    <t xml:space="preserve">3  AVENUE D'ALSACE</t>
  </si>
  <si>
    <t xml:space="preserve">BOUCLE DE RANDONNEE "SUR LA TRACE DES PELERINS" (B04)</t>
  </si>
  <si>
    <t xml:space="preserve">place du général De Gaulle</t>
  </si>
  <si>
    <t xml:space="preserve">COLLEGE SIMONE VEIL</t>
  </si>
  <si>
    <t xml:space="preserve">3 RUE PIERRE DE COUBERTIN</t>
  </si>
  <si>
    <t xml:space="preserve">ECOLE PRIMAIRE DES LAVANDIERES</t>
  </si>
  <si>
    <t xml:space="preserve">34 rue de Rouen</t>
  </si>
  <si>
    <t xml:space="preserve">GROUPE SCOLAIRE LUDOVIC PIETTE</t>
  </si>
  <si>
    <t xml:space="preserve">Rue du Clos de Marcouville</t>
  </si>
  <si>
    <t xml:space="preserve">ECOLE PRIMAIRE GUSTAVE LOISEAU</t>
  </si>
  <si>
    <t xml:space="preserve">2 Rue du Premier Dragon</t>
  </si>
  <si>
    <t xml:space="preserve">STADE ANDRE THAVEAU</t>
  </si>
  <si>
    <t xml:space="preserve">RUE DE LA REPUBLIQUE</t>
  </si>
  <si>
    <t xml:space="preserve">BOUCLE DE RANDONNEE "LES 3 DOLMENS" (IA6)</t>
  </si>
  <si>
    <t xml:space="preserve">PLACE DU GENERAL LECLERC</t>
  </si>
  <si>
    <t xml:space="preserve">TERRAIN DE JEUX</t>
  </si>
  <si>
    <t xml:space="preserve">RUELLE VANNE</t>
  </si>
  <si>
    <t xml:space="preserve">ANCIEN DOJO</t>
  </si>
  <si>
    <t xml:space="preserve">RUE DE LA GRANGE</t>
  </si>
  <si>
    <t xml:space="preserve">MAISON DE L'ENFANT (IGESA)</t>
  </si>
  <si>
    <t xml:space="preserve">23 RUE DU GENERAL LECLERC</t>
  </si>
  <si>
    <t xml:space="preserve">BOUCLES DE CYCLOTOURISME "DE LA ROCHE-GUYON"</t>
  </si>
  <si>
    <t xml:space="preserve">rue de l’audience</t>
  </si>
  <si>
    <t xml:space="preserve">ECOLE PRIMAIRE LE GRAND SAULE</t>
  </si>
  <si>
    <t xml:space="preserve">1 Rue des Fraiches Femmes</t>
  </si>
  <si>
    <t xml:space="preserve">PARCOURS DE SANTE</t>
  </si>
  <si>
    <t xml:space="preserve">PARC PUBLIC DE LA MAIRIE</t>
  </si>
  <si>
    <t xml:space="preserve">TEAMS 5</t>
  </si>
  <si>
    <t xml:space="preserve">58 RUE DE LA BELLE ETOILE</t>
  </si>
  <si>
    <t xml:space="preserve">Rue de la Belle Etoile 22</t>
  </si>
  <si>
    <t xml:space="preserve">SALLE POLYVALENTE</t>
  </si>
  <si>
    <t xml:space="preserve">191 GRANDE RUE</t>
  </si>
  <si>
    <t xml:space="preserve">BOUCLES DE RANDONNÉE "DE RONQUEROLLES"</t>
  </si>
  <si>
    <t xml:space="preserve">GRANDE RUE</t>
  </si>
  <si>
    <t xml:space="preserve">ENSEMBLE SPORTIF</t>
  </si>
  <si>
    <t xml:space="preserve">CHEMIN DE L'ETANG</t>
  </si>
  <si>
    <t xml:space="preserve">Complexe sportif</t>
  </si>
  <si>
    <t xml:space="preserve">L'ETANG DES PETITES AUGES</t>
  </si>
  <si>
    <t xml:space="preserve">chemin étang des petites Auges</t>
  </si>
  <si>
    <t xml:space="preserve">ESPACE GEORGES BRASSENS</t>
  </si>
  <si>
    <t xml:space="preserve">RUE DES DEUX PEUPLIERS</t>
  </si>
  <si>
    <t xml:space="preserve">COSEC P. CLOUET</t>
  </si>
  <si>
    <t xml:space="preserve">RUE DES DEUX PILIERS</t>
  </si>
  <si>
    <t xml:space="preserve">RUE PIERRE SABRE</t>
  </si>
  <si>
    <t xml:space="preserve">EMBARCADERE CANOE</t>
  </si>
  <si>
    <t xml:space="preserve">RUE ROUGET DE LISLE</t>
  </si>
  <si>
    <t xml:space="preserve">GYMNASE DU FORUM</t>
  </si>
  <si>
    <t xml:space="preserve">PLACE FRANCOIS TRUFFAUT CENTRE COMMERCIAL</t>
  </si>
  <si>
    <t xml:space="preserve">COMPLEXE DE TENNIS</t>
  </si>
  <si>
    <t xml:space="preserve">18 TER RUE DES CRESSONNIERES</t>
  </si>
  <si>
    <t xml:space="preserve">GYMNASE JEAN ZAY</t>
  </si>
  <si>
    <t xml:space="preserve">RUE D'ORGEMONT</t>
  </si>
  <si>
    <t xml:space="preserve">SALLE DE TENNIS DE TABLE</t>
  </si>
  <si>
    <t xml:space="preserve">14 RUE DES CRESSONNIERES</t>
  </si>
  <si>
    <t xml:space="preserve">RUE JEAN MOULIN</t>
  </si>
  <si>
    <t xml:space="preserve">STADE AUGUSTE DELAUNE</t>
  </si>
  <si>
    <t xml:space="preserve">16 RUE DES CRESSONNIERES</t>
  </si>
  <si>
    <t xml:space="preserve">ESPACE DE JEUX DU BOIS RUAULT</t>
  </si>
  <si>
    <t xml:space="preserve">RUE DU GENERAL LECLERC</t>
  </si>
  <si>
    <t xml:space="preserve">COMPLEXE MICHEL HIDALGO</t>
  </si>
  <si>
    <t xml:space="preserve">116 RUE D'ERMONT</t>
  </si>
  <si>
    <t xml:space="preserve">ENGHIEN TENNIS CLUB COURTS COUVERTS</t>
  </si>
  <si>
    <t xml:space="preserve">55 AVENUE DANIELLE CASANOVA</t>
  </si>
  <si>
    <t xml:space="preserve">ECOLE ELEMENTAIRE JEAN SARRAILH</t>
  </si>
  <si>
    <t xml:space="preserve">33 Rue des Raguenets</t>
  </si>
  <si>
    <t xml:space="preserve">ECOLE MATERNELLE RAYMOND LOGEAIS</t>
  </si>
  <si>
    <t xml:space="preserve">96 Rue du Général Leclerc</t>
  </si>
  <si>
    <t xml:space="preserve">ECOLE MATERNELLE JULES FERRY</t>
  </si>
  <si>
    <t xml:space="preserve">5 Avenue Catinat</t>
  </si>
  <si>
    <t xml:space="preserve">CENTRE DE LOISIRS ET SPORTIF LES DOURDAINS</t>
  </si>
  <si>
    <t xml:space="preserve">PLACE FOCH</t>
  </si>
  <si>
    <t xml:space="preserve">ECOLE - COLLEGE LE ROSAIRE</t>
  </si>
  <si>
    <t xml:space="preserve">39 RUE DU GENERAL DE GAULLE</t>
  </si>
  <si>
    <t xml:space="preserve">CITY STADIUM LES DOURDAINS</t>
  </si>
  <si>
    <t xml:space="preserve">RUE DE CHAUVRY</t>
  </si>
  <si>
    <t xml:space="preserve">42 Rue de Verdun</t>
  </si>
  <si>
    <t xml:space="preserve">ECOLE MATERNELLE JACQUES PREVERT</t>
  </si>
  <si>
    <t xml:space="preserve">55 Rue Jacques Prévert</t>
  </si>
  <si>
    <t xml:space="preserve">ECOLE MATERNELLE LE VILLAGE</t>
  </si>
  <si>
    <t xml:space="preserve">Square Wendlingen Am Neckar</t>
  </si>
  <si>
    <t xml:space="preserve">ECOLE ELEMENTAIRE FOCH</t>
  </si>
  <si>
    <t xml:space="preserve">Place du Marechal Foch</t>
  </si>
  <si>
    <t xml:space="preserve">COMPLEXE SPORTIF</t>
  </si>
  <si>
    <t xml:space="preserve">RUE ROGER SALENGRO</t>
  </si>
  <si>
    <t xml:space="preserve">TERRAIN DE BOULES</t>
  </si>
  <si>
    <t xml:space="preserve">6 PLACE DE VERDUN</t>
  </si>
  <si>
    <t xml:space="preserve">COMPLEXE SPORTIF CHRISTIAN DUFRESNE</t>
  </si>
  <si>
    <t xml:space="preserve">29 RUE PASTEUR</t>
  </si>
  <si>
    <t xml:space="preserve">PLAINE DE JEUX DE LA VALLEE</t>
  </si>
  <si>
    <t xml:space="preserve">RUE ALBERT 1ER</t>
  </si>
  <si>
    <t xml:space="preserve">HARAS DU VAL</t>
  </si>
  <si>
    <t xml:space="preserve">ROUTE DES PARQUETS</t>
  </si>
  <si>
    <t xml:space="preserve">RANCH DE SAINT PRIX</t>
  </si>
  <si>
    <t xml:space="preserve">TENNIS ROBERT THUMLOUP</t>
  </si>
  <si>
    <t xml:space="preserve">RUE DE PARIS</t>
  </si>
  <si>
    <t xml:space="preserve">PLAINE DE JEUX CHARLES PEGUY</t>
  </si>
  <si>
    <t xml:space="preserve">RUE DE LA FOSSE AUX BOUCS</t>
  </si>
  <si>
    <t xml:space="preserve">LYCEE LEONARD DE VINCI</t>
  </si>
  <si>
    <t xml:space="preserve">2 RUE ROBQUIN</t>
  </si>
  <si>
    <t xml:space="preserve">GYMNASE PIERRE SALVI</t>
  </si>
  <si>
    <t xml:space="preserve">BOUCLE DE RANDONNEE "ITINERAIRE DE SANNOIS"</t>
  </si>
  <si>
    <t xml:space="preserve">place du Général Leclerc</t>
  </si>
  <si>
    <t xml:space="preserve">52 RUE DU LIEUTENANT KEISER</t>
  </si>
  <si>
    <t xml:space="preserve">GYMNASE PASTEUR</t>
  </si>
  <si>
    <t xml:space="preserve">25 RUE ALPHONSE DUCHESNE</t>
  </si>
  <si>
    <t xml:space="preserve">PLATEAU MULTISPORTS ALPHONSE DAUDET</t>
  </si>
  <si>
    <t xml:space="preserve">RUE ALBERT CAMUS</t>
  </si>
  <si>
    <t xml:space="preserve">PLAINE DE JEUX DE L'EGLISE</t>
  </si>
  <si>
    <t xml:space="preserve">RUE FELIX ET ROGER POZZI</t>
  </si>
  <si>
    <t xml:space="preserve">CENTRE EQUESTRE LE GALOP</t>
  </si>
  <si>
    <t xml:space="preserve">PETIT CHEMIN DES AUBINES</t>
  </si>
  <si>
    <t xml:space="preserve">ECOLE PRIMAIRE LEON GAMBETTA</t>
  </si>
  <si>
    <t xml:space="preserve">Rue de la Sabernaude</t>
  </si>
  <si>
    <t xml:space="preserve">STADE FERNAND COUTIF</t>
  </si>
  <si>
    <t xml:space="preserve">77 BOULEVARD GAMBETTA</t>
  </si>
  <si>
    <t xml:space="preserve">EREA TOUR DU MAIL/ LEA</t>
  </si>
  <si>
    <t xml:space="preserve">70 Chemin de la Tour du Mail</t>
  </si>
  <si>
    <t xml:space="preserve">MAISON DE QUARTIER PASTEUR</t>
  </si>
  <si>
    <t xml:space="preserve">RUE ALPHONSE DUCHESNE</t>
  </si>
  <si>
    <t xml:space="preserve">ECOLE MATERNELLE GASTON RAMON</t>
  </si>
  <si>
    <t xml:space="preserve">4 Rue des Freres Kegels</t>
  </si>
  <si>
    <t xml:space="preserve">ECOLE MATERNELLE PASTEUR</t>
  </si>
  <si>
    <t xml:space="preserve">43 Rue Alphonse Duchesne</t>
  </si>
  <si>
    <t xml:space="preserve">ECOLE MATERNELLE EMILE ROUX</t>
  </si>
  <si>
    <t xml:space="preserve">Rue Albert Camus</t>
  </si>
  <si>
    <t xml:space="preserve">ECOLE MATERNELLE PRAT</t>
  </si>
  <si>
    <t xml:space="preserve">76 Rue du Marechal Joffre</t>
  </si>
  <si>
    <t xml:space="preserve">ECOLE ELEMENTAIRE HENRI DUNANT</t>
  </si>
  <si>
    <t xml:space="preserve">Rue Francois Prat</t>
  </si>
  <si>
    <t xml:space="preserve">COLLEGE JEAN MOULIN</t>
  </si>
  <si>
    <t xml:space="preserve">84 Rue du Poirier Baron</t>
  </si>
  <si>
    <t xml:space="preserve">L'ORANGE BLEUE</t>
  </si>
  <si>
    <t xml:space="preserve">2 RUE DU PERE HEUDE</t>
  </si>
  <si>
    <t xml:space="preserve">BOULODROME CHEMIN DE CHANTEREINE</t>
  </si>
  <si>
    <t xml:space="preserve">CHEMIN DE CHANTEREINE</t>
  </si>
  <si>
    <t xml:space="preserve">GYMNASE CAMUS</t>
  </si>
  <si>
    <t xml:space="preserve">ALLEE RADIGUET</t>
  </si>
  <si>
    <t xml:space="preserve">GYMNASE KERGOMARD</t>
  </si>
  <si>
    <t xml:space="preserve">AVENUE AUGUSTE PERRET</t>
  </si>
  <si>
    <t xml:space="preserve">PARC DES PRES SOUS LA VILLE</t>
  </si>
  <si>
    <t xml:space="preserve">Route des Refuznicks</t>
  </si>
  <si>
    <t xml:space="preserve">LYCEE MARYSE CONDE</t>
  </si>
  <si>
    <t xml:space="preserve">8 RUE FERNAND LEGER</t>
  </si>
  <si>
    <t xml:space="preserve">3 AVENUE DE LA DIVISION LECLERC</t>
  </si>
  <si>
    <t xml:space="preserve">Rue du 8 mai 1945  8</t>
  </si>
  <si>
    <t xml:space="preserve">GOLF DE SERAINCOURT</t>
  </si>
  <si>
    <t xml:space="preserve">CHEMIN DE DALIBRAY LE GAILLONNET</t>
  </si>
  <si>
    <t xml:space="preserve">PLATEAU DE SPORTS</t>
  </si>
  <si>
    <t xml:space="preserve">CHEMIN DE BERTINVAL</t>
  </si>
  <si>
    <t xml:space="preserve">COMPLEXE SPORTIF SCHWEITZER</t>
  </si>
  <si>
    <t xml:space="preserve">40 RUE D'ANDILLY</t>
  </si>
  <si>
    <t xml:space="preserve">TERRAIN MULTISPORTS</t>
  </si>
  <si>
    <t xml:space="preserve">RUELLE CREUSE</t>
  </si>
  <si>
    <t xml:space="preserve">ESPACE NAUTIQUE LA VAGUE</t>
  </si>
  <si>
    <t xml:space="preserve">9 rue bleury</t>
  </si>
  <si>
    <t xml:space="preserve">COLLEGE ALBERT SCHWEITZER</t>
  </si>
  <si>
    <t xml:space="preserve">47 Rue d’Andilly</t>
  </si>
  <si>
    <t xml:space="preserve">ECOLE MATERNELLE RENE DESCARTES</t>
  </si>
  <si>
    <t xml:space="preserve">5 Chemin des Ecoliers</t>
  </si>
  <si>
    <t xml:space="preserve">ECOLE MATERNELLE JEAN MONNET</t>
  </si>
  <si>
    <t xml:space="preserve">3 Allée de l’Europe</t>
  </si>
  <si>
    <t xml:space="preserve">ECOLE MATERNELLE SAINT-EXUPERY</t>
  </si>
  <si>
    <t xml:space="preserve">Avenue des Noyers</t>
  </si>
  <si>
    <t xml:space="preserve">PISCINE INTERCOMMUNALE DE SURVILLIERS</t>
  </si>
  <si>
    <t xml:space="preserve">ROUTE PLAILLY</t>
  </si>
  <si>
    <t xml:space="preserve">PISCINE MUNICIPALE</t>
  </si>
  <si>
    <t xml:space="preserve">SQUARE GEORGES VALLEREY</t>
  </si>
  <si>
    <t xml:space="preserve">COSOM ANDRE MESSAGER</t>
  </si>
  <si>
    <t xml:space="preserve">VOIE DES SPORTS</t>
  </si>
  <si>
    <t xml:space="preserve">GYMNASE JULES LADOUMEGUE</t>
  </si>
  <si>
    <t xml:space="preserve">rue des ecoles</t>
  </si>
  <si>
    <t xml:space="preserve">TERRAIN DE FOOTBALL</t>
  </si>
  <si>
    <t xml:space="preserve">RUE DE PIERRELAYE</t>
  </si>
  <si>
    <t xml:space="preserve">MAISON DU PARC REGIONAL</t>
  </si>
  <si>
    <t xml:space="preserve">NATUREL DU VEXIN</t>
  </si>
  <si>
    <t xml:space="preserve">BOUCLES DE RANDONNÉE DE THEMERICOURT</t>
  </si>
  <si>
    <t xml:space="preserve">2 rue Achim Abos</t>
  </si>
  <si>
    <t xml:space="preserve">ECOLE PRIMAIRE LES TILLEULS</t>
  </si>
  <si>
    <t xml:space="preserve">27 Rue de Dampont</t>
  </si>
  <si>
    <t xml:space="preserve">PLATEAU SPORTIF</t>
  </si>
  <si>
    <t xml:space="preserve">PLACE DE LA LIBERATION</t>
  </si>
  <si>
    <t xml:space="preserve">CENTRE EQUESTRE DE LA CHEVEE</t>
  </si>
  <si>
    <t xml:space="preserve">69 ROUTE DE MARINES</t>
  </si>
  <si>
    <t xml:space="preserve">HARAS DE LA CHAPELLE</t>
  </si>
  <si>
    <t xml:space="preserve">5 ROUTE DE MERU</t>
  </si>
  <si>
    <t xml:space="preserve">BOUCLES DE RANDONNEE "DE VALMONDOIS"</t>
  </si>
  <si>
    <t xml:space="preserve">PLACE DE LA GARE</t>
  </si>
  <si>
    <t xml:space="preserve">TERRAINS DE SPORT DES TOUPETS</t>
  </si>
  <si>
    <t xml:space="preserve">CHEMIN DE LA PIERRE LEVEE</t>
  </si>
  <si>
    <t xml:space="preserve">TERRAIN DE SPORT DU VILLAGE</t>
  </si>
  <si>
    <t xml:space="preserve">RUE AMEDEE DE CAIX DE SAINT AYMOUR</t>
  </si>
  <si>
    <t xml:space="preserve">TERRAINS DE PETANQUE</t>
  </si>
  <si>
    <t xml:space="preserve">AVENUE GAVROCHE</t>
  </si>
  <si>
    <t xml:space="preserve">GYMNASE MARCEL PAUL</t>
  </si>
  <si>
    <t xml:space="preserve">GYMNASE DES TOUPETS</t>
  </si>
  <si>
    <t xml:space="preserve">AVENUE LOUISE MICHEL</t>
  </si>
  <si>
    <t xml:space="preserve">CERGY GOLF CLUB</t>
  </si>
  <si>
    <t xml:space="preserve">2 ALLEE DE L'OBSTACLE D'EAU</t>
  </si>
  <si>
    <t xml:space="preserve">STADE DE FOOTBALL</t>
  </si>
  <si>
    <t xml:space="preserve">RUE DU VERT BUISSON ROUTE DE VILLERON</t>
  </si>
  <si>
    <t xml:space="preserve">TERRAIN D'AEROMODELISME</t>
  </si>
  <si>
    <t xml:space="preserve">RUE FRANCOIS MAURIAC ROUTE DE PLAILLY</t>
  </si>
  <si>
    <t xml:space="preserve">Rue de la Croix Boissée</t>
  </si>
  <si>
    <t xml:space="preserve">STADE DE LA VALLEE</t>
  </si>
  <si>
    <t xml:space="preserve">RUE DU MOULIN NEUF</t>
  </si>
  <si>
    <t xml:space="preserve">FOYER RURAL</t>
  </si>
  <si>
    <t xml:space="preserve">PLACE JEAN MOULIN</t>
  </si>
  <si>
    <t xml:space="preserve">COMPLEXE SPORTIF MASPOLI</t>
  </si>
  <si>
    <t xml:space="preserve">RUE HONORE DE BALZAC</t>
  </si>
  <si>
    <t xml:space="preserve">SALLE SAINT LOUIS</t>
  </si>
  <si>
    <t xml:space="preserve">ALLEE DE SULLY</t>
  </si>
  <si>
    <t xml:space="preserve">SALLE POLYVALENTE LE THEATRE</t>
  </si>
  <si>
    <t xml:space="preserve">RUE NOIRE</t>
  </si>
  <si>
    <t xml:space="preserve">PLATEAU DE SPORT</t>
  </si>
  <si>
    <t xml:space="preserve">RUE BLAISE PASCAL</t>
  </si>
  <si>
    <t xml:space="preserve">SHERWOOD PARC</t>
  </si>
  <si>
    <t xml:space="preserve">CHEMIN DES ROULIERS</t>
  </si>
  <si>
    <t xml:space="preserve">ECOLE MATERNELLE MARIE-NOËL</t>
  </si>
  <si>
    <t xml:space="preserve">1 Rue Eugene Lair</t>
  </si>
  <si>
    <t xml:space="preserve">COLLEGE ROLAND VASSEUR</t>
  </si>
  <si>
    <t xml:space="preserve">11 RUE ROLAND VASSEUR</t>
  </si>
  <si>
    <t xml:space="preserve">TERRAIN DE PETANQUE</t>
  </si>
  <si>
    <t xml:space="preserve">CHEMIN DE LA HALTE DE VILLAINES</t>
  </si>
  <si>
    <t xml:space="preserve">TERRAIN DE BASKET-BALL</t>
  </si>
  <si>
    <t xml:space="preserve">ESPLANADE DU JARDIN CARRE</t>
  </si>
  <si>
    <t xml:space="preserve">19 RUE SAINT-GERMAIN</t>
  </si>
  <si>
    <t xml:space="preserve">8 RUE SAINT-GERMAIN</t>
  </si>
  <si>
    <t xml:space="preserve">BOUCLE DE RANDONNEE "CIRCUIT AUTOUR DE VILLIERS-ADAM" (IA5)</t>
  </si>
  <si>
    <t xml:space="preserve">place Victor Hugo</t>
  </si>
  <si>
    <t xml:space="preserve">ECOLE MATERNELLE PAUL CEZANNE</t>
  </si>
  <si>
    <t xml:space="preserve">1 Rue Aristide Briand</t>
  </si>
  <si>
    <t xml:space="preserve">PISCINE CAMILLE MUFFAT</t>
  </si>
  <si>
    <t xml:space="preserve">26  AVENUE CHAMP BACON</t>
  </si>
  <si>
    <t xml:space="preserve">GYMNASE PIERRE DE COUBERTIN</t>
  </si>
  <si>
    <t xml:space="preserve">RUE LEON BLUM</t>
  </si>
  <si>
    <t xml:space="preserve">MAISON DE QUARTIER SALVADOR ALLENDE</t>
  </si>
  <si>
    <t xml:space="preserve">10 BOULEVARD SALVADOR ALLENDE</t>
  </si>
  <si>
    <t xml:space="preserve">TERRAIN DE FOOTBALL GEOTHERMIE</t>
  </si>
  <si>
    <t xml:space="preserve">RUE DE GOUSSAINVILLE</t>
  </si>
  <si>
    <t xml:space="preserve">ECOLE MATERNELLE PAULINE KERGOMARD</t>
  </si>
  <si>
    <t xml:space="preserve">6 Rue du Pressoir</t>
  </si>
  <si>
    <t xml:space="preserve">ECOLE MATERNELLE PAPE CARPENTIER</t>
  </si>
  <si>
    <t xml:space="preserve">8 Boulevard Salvador Allende</t>
  </si>
  <si>
    <t xml:space="preserve">ECOLE MATERNELLE LOUIS JOUVET</t>
  </si>
  <si>
    <t xml:space="preserve">Place du Général Leclerc</t>
  </si>
  <si>
    <t xml:space="preserve">ECOLE MATERNELLE JEAN JAURES</t>
  </si>
  <si>
    <t xml:space="preserve">Rue Hampate Ba</t>
  </si>
  <si>
    <t xml:space="preserve">ECOLE PRIMAIRE FRANCOIS VAUDIN</t>
  </si>
  <si>
    <t xml:space="preserve">RUE FRANCOIS VAUDIN</t>
  </si>
  <si>
    <t xml:space="preserve">56 GRANDE RUE</t>
  </si>
  <si>
    <t xml:space="preserve">SITE D'AÉROMODÉLISME</t>
  </si>
  <si>
    <t xml:space="preserve">BOUCLE DE RANDONNEE "LES GRANDS ESPACES" (JC2)</t>
  </si>
  <si>
    <t xml:space="preserve">place de l'église</t>
  </si>
  <si>
    <t xml:space="preserve">MAISON POUR TOUS</t>
  </si>
  <si>
    <t xml:space="preserve">CHEMIN DU CIMETIERE</t>
  </si>
  <si>
    <t xml:space="preserve">MAISON DU VILLAGE</t>
  </si>
  <si>
    <t xml:space="preserve">19 RUE DE LA JEUNESSE</t>
  </si>
  <si>
    <t xml:space="preserve">RUE DES ECOLES</t>
  </si>
  <si>
    <t xml:space="preserve">BOUCLES DE CYCLOTOURISME "DE CHARS"</t>
  </si>
  <si>
    <t xml:space="preserve">RUE DE LA GARE</t>
  </si>
  <si>
    <t xml:space="preserve">SALLE MUNICIPALE</t>
  </si>
  <si>
    <t xml:space="preserve">CHEMIN DE GOULINE</t>
  </si>
  <si>
    <t xml:space="preserve">CITY STADE PAUL ELUARD</t>
  </si>
  <si>
    <t xml:space="preserve">ALLEE PAUL ELUARD</t>
  </si>
  <si>
    <t xml:space="preserve">ECOLE ELEMENTAIRE HENRI WALLON</t>
  </si>
  <si>
    <t xml:space="preserve">4 ALLEE HENRI WALLON</t>
  </si>
  <si>
    <t xml:space="preserve">152 AVENUE JEAN JAURES</t>
  </si>
  <si>
    <t xml:space="preserve">FITNESS PARK</t>
  </si>
  <si>
    <t xml:space="preserve">14 BIS AVENUE DU GENERAL DE GAULLE</t>
  </si>
  <si>
    <t xml:space="preserve">STADE DES COURLIS</t>
  </si>
  <si>
    <t xml:space="preserve">25 RUE DES ALOUETTES</t>
  </si>
  <si>
    <t xml:space="preserve">STADE DU MARAIS</t>
  </si>
  <si>
    <t xml:space="preserve">AVENUE DU PARC</t>
  </si>
  <si>
    <t xml:space="preserve">ARGENTEUIL TENNIS CLUB (HENRI BURG)</t>
  </si>
  <si>
    <t xml:space="preserve">51 avenue du parc</t>
  </si>
  <si>
    <t xml:space="preserve">PLATEAU GEORGES LAPIERRE</t>
  </si>
  <si>
    <t xml:space="preserve">73 RUE DE CHAMPAGNE</t>
  </si>
  <si>
    <t xml:space="preserve">PLATEAU JULES FERRY</t>
  </si>
  <si>
    <t xml:space="preserve">2-6 BOULEVARD JULES FERRY</t>
  </si>
  <si>
    <t xml:space="preserve">2 PLACE DES VOSGES</t>
  </si>
  <si>
    <t xml:space="preserve">GYMNASE PAUL VAILLANT COUTURIER 1</t>
  </si>
  <si>
    <t xml:space="preserve">IMPASSE GREGOIRE COLLAS</t>
  </si>
  <si>
    <t xml:space="preserve">PLATEAU PAUL LANGEVIN</t>
  </si>
  <si>
    <t xml:space="preserve">SQUARE DE LOCARNO</t>
  </si>
  <si>
    <t xml:space="preserve">TERRAIN DE PETANQUE RETHONDES</t>
  </si>
  <si>
    <t xml:space="preserve">2 RUE DE RETHONDES</t>
  </si>
  <si>
    <t xml:space="preserve">PARC MAURICE AUDIN</t>
  </si>
  <si>
    <t xml:space="preserve">2 ALLEE ROMAIN ROLLAND</t>
  </si>
  <si>
    <t xml:space="preserve">COMPLEXE SPORTIF PIERRE DE COUBERTIN</t>
  </si>
  <si>
    <t xml:space="preserve">2 RUE DES CEVENNES</t>
  </si>
  <si>
    <t xml:space="preserve">AEROKART</t>
  </si>
  <si>
    <t xml:space="preserve">199-203 ROUTE DE PONTOISE</t>
  </si>
  <si>
    <t xml:space="preserve">MAISON DE LA JEUNE FILLE</t>
  </si>
  <si>
    <t xml:space="preserve">23 RUE DE DIANE</t>
  </si>
  <si>
    <t xml:space="preserve">LYCEE JEAN JAURES</t>
  </si>
  <si>
    <t xml:space="preserve">25 Rue Charles Lecoq</t>
  </si>
  <si>
    <t xml:space="preserve">BASE D'AVIRON</t>
  </si>
  <si>
    <t xml:space="preserve">RN 311 - PONT D'ARGENTEUIL</t>
  </si>
  <si>
    <t xml:space="preserve">ETABLISSEMENT D'ENSEIGNEMENT GARAC</t>
  </si>
  <si>
    <t xml:space="preserve">3 BOULEVARD GALLIENI</t>
  </si>
  <si>
    <t xml:space="preserve">LYCEE FERNAND ET NADIA LEGER</t>
  </si>
  <si>
    <t xml:space="preserve">7 Allee Fernand Leger</t>
  </si>
  <si>
    <t xml:space="preserve">STADE LEO LAGRANGE</t>
  </si>
  <si>
    <t xml:space="preserve">1 RUE ROBERT SCHUMAN</t>
  </si>
  <si>
    <t xml:space="preserve">ESPRIT FORME ET BIEN ETRE</t>
  </si>
  <si>
    <t xml:space="preserve">11 rue Jean Jaurès</t>
  </si>
  <si>
    <t xml:space="preserve">ECOLE PRIMAIRE VICTOR HUGO</t>
  </si>
  <si>
    <t xml:space="preserve">118 Avenue Charles Vaillant</t>
  </si>
  <si>
    <t xml:space="preserve">ECOLE ELEMENTAIRE JEAN JAURES</t>
  </si>
  <si>
    <t xml:space="preserve">175 Rue Jean Jaurès</t>
  </si>
  <si>
    <t xml:space="preserve">ECOLE PRIMAIRE MIXTE</t>
  </si>
  <si>
    <t xml:space="preserve">7 Rue de Dugny</t>
  </si>
  <si>
    <t xml:space="preserve">CIT'YBLON</t>
  </si>
  <si>
    <t xml:space="preserve">1 Rue Sainte Cécile</t>
  </si>
  <si>
    <t xml:space="preserve">GROUPE SCOLAIRE RAOUL RIET</t>
  </si>
  <si>
    <t xml:space="preserve">18 rue auguste schenck</t>
  </si>
  <si>
    <t xml:space="preserve">ECOLE FOCH</t>
  </si>
  <si>
    <t xml:space="preserve">12 avenue du maréchal foch</t>
  </si>
  <si>
    <t xml:space="preserve">CENTRE SIMONE SIGNORET</t>
  </si>
  <si>
    <t xml:space="preserve">14 AVENUE DU MARECHAL FOCH</t>
  </si>
  <si>
    <t xml:space="preserve">COMPLEXE JEAN BULLANT</t>
  </si>
  <si>
    <t xml:space="preserve">18 AVENUE DU MARECHAL FOCH</t>
  </si>
  <si>
    <t xml:space="preserve">BOUCLE DE RANDONNEE "PR D'ECOUEN" (PF2 PR39)</t>
  </si>
  <si>
    <t xml:space="preserve">BILLARD CLUB LE GRAND CERF</t>
  </si>
  <si>
    <t xml:space="preserve">18 RUE MONTESSON</t>
  </si>
  <si>
    <t xml:space="preserve">GYMNASE PAUL VAILLANT COUTURIER</t>
  </si>
  <si>
    <t xml:space="preserve">RUE DES MARRONNIERS</t>
  </si>
  <si>
    <t xml:space="preserve">MAISON DE QUARTIER</t>
  </si>
  <si>
    <t xml:space="preserve">RUE DES BARINTINS</t>
  </si>
  <si>
    <t xml:space="preserve">ECOLE PAUL LANGEVIN</t>
  </si>
  <si>
    <t xml:space="preserve">RUE DE SARTROUVILLE</t>
  </si>
  <si>
    <t xml:space="preserve">CENTRE EQUESTRE DE L'EPINETTE</t>
  </si>
  <si>
    <t xml:space="preserve">32  RUE VAUREAL</t>
  </si>
  <si>
    <t xml:space="preserve">BOUCLES DE RANDONNEE "DE CERGY"</t>
  </si>
  <si>
    <t xml:space="preserve">rue des pas perdus</t>
  </si>
  <si>
    <t xml:space="preserve">BOUCLES DE RANDONNEE VTT ET PEDESTRE "DE CERGY"</t>
  </si>
  <si>
    <t xml:space="preserve">rue des étangs</t>
  </si>
  <si>
    <t xml:space="preserve">PISCINE D'AGGLOMERATION DE L'AXE MAJEUR</t>
  </si>
  <si>
    <t xml:space="preserve">13 AVENUE DU JOUR</t>
  </si>
  <si>
    <t xml:space="preserve">MOVING CERGY PONTOISE</t>
  </si>
  <si>
    <t xml:space="preserve">2 RUE DES CHENES POURPRES</t>
  </si>
  <si>
    <t xml:space="preserve">Groupe scolaire LES LINANDES</t>
  </si>
  <si>
    <t xml:space="preserve">AVENUE DU NORD Les Linandes</t>
  </si>
  <si>
    <t xml:space="preserve">Groupe scolaire LES CHÊNES</t>
  </si>
  <si>
    <t xml:space="preserve">RUE DES CHENES VERTS</t>
  </si>
  <si>
    <t xml:space="preserve">Groupe scolaire L'ESCAPADE</t>
  </si>
  <si>
    <t xml:space="preserve">RUE DES GEMEAUX</t>
  </si>
  <si>
    <t xml:space="preserve">Groupe scolaire LES GENOTTES</t>
  </si>
  <si>
    <t xml:space="preserve">RUE DES PETITS PAIRS</t>
  </si>
  <si>
    <t xml:space="preserve">GYMNASE DES CHENES</t>
  </si>
  <si>
    <t xml:space="preserve">4 RUE DES CHENES</t>
  </si>
  <si>
    <t xml:space="preserve">COMPLEXE DE L'AXE MAJEUR</t>
  </si>
  <si>
    <t xml:space="preserve">3 AVENUE DU JOUR</t>
  </si>
  <si>
    <t xml:space="preserve">COMPLEXE SPORTIF DE GENCY</t>
  </si>
  <si>
    <t xml:space="preserve">1 BIS RUE DU PAMPE D'OR</t>
  </si>
  <si>
    <t xml:space="preserve">COMPLEXE SPORTIF DES TOULEUSES</t>
  </si>
  <si>
    <t xml:space="preserve">CHEMIN DE LA CHASSE MAREE</t>
  </si>
  <si>
    <t xml:space="preserve">RUE DU BRULOIR</t>
  </si>
  <si>
    <t xml:space="preserve">23 RUE DU PETIT ALBI</t>
  </si>
  <si>
    <t xml:space="preserve">AREN'ICE</t>
  </si>
  <si>
    <t xml:space="preserve">33 Avenue de la Plaine des Sports</t>
  </si>
  <si>
    <t xml:space="preserve">Complexe sportif,Patinoire</t>
  </si>
  <si>
    <t xml:space="preserve">PORT DE CERGY</t>
  </si>
  <si>
    <t xml:space="preserve">6 QUAI DE LA TOURELLE</t>
  </si>
  <si>
    <t xml:space="preserve">COLLEGE LES TOULEUSES</t>
  </si>
  <si>
    <t xml:space="preserve">1 Avenue du Bois</t>
  </si>
  <si>
    <t xml:space="preserve">TERRAINS DE SPORTS</t>
  </si>
  <si>
    <t xml:space="preserve">GROUPE SCOLAIRE DE LA LOUVIERE</t>
  </si>
  <si>
    <t xml:space="preserve">Boulevard des Chasseurs</t>
  </si>
  <si>
    <t xml:space="preserve">ETANGS DES THIBAULTS</t>
  </si>
  <si>
    <t xml:space="preserve">RD 983</t>
  </si>
  <si>
    <t xml:space="preserve">RUE DE L'ECOLE</t>
  </si>
  <si>
    <t xml:space="preserve">CIRCUIT DE RANDONNÉE "COTEAUX ET ABORD DE L'EPTE" (V3)</t>
  </si>
  <si>
    <t xml:space="preserve">PARKING DE L'ANCIENNE GARE</t>
  </si>
  <si>
    <t xml:space="preserve">RUE PAUL HARANGER</t>
  </si>
  <si>
    <t xml:space="preserve">PLATEAU D'ÉVOLUTION</t>
  </si>
  <si>
    <t xml:space="preserve">ROUTE DE VILLERS</t>
  </si>
  <si>
    <t xml:space="preserve">STADE COMMUNAL</t>
  </si>
  <si>
    <t xml:space="preserve">ROUTE de  BRAY LU</t>
  </si>
  <si>
    <t xml:space="preserve">FERME EQUESTRE</t>
  </si>
  <si>
    <t xml:space="preserve">4 ROUTE DE BRAY LU</t>
  </si>
  <si>
    <t xml:space="preserve">CENTRE EQUESTRE DES CRETES</t>
  </si>
  <si>
    <t xml:space="preserve">9 RUE DE L'EGLISE</t>
  </si>
  <si>
    <t xml:space="preserve">PARC DES HUIT ARPENTS</t>
  </si>
  <si>
    <t xml:space="preserve">RUE GAETAN PIROU</t>
  </si>
  <si>
    <t xml:space="preserve">ECOLE D'EQUITATION DE LA FORET</t>
  </si>
  <si>
    <t xml:space="preserve">123 ROUTE DE LA CROIX BLANCHE</t>
  </si>
  <si>
    <t xml:space="preserve">COMPLEXE POLYVALENT</t>
  </si>
  <si>
    <t xml:space="preserve">73 ROUTE DE LA CROIX BLANCHE</t>
  </si>
  <si>
    <t xml:space="preserve">ROUTE DE LA CROIX BLANCHE PELOUSE DES CHATAIGNIERS</t>
  </si>
  <si>
    <t xml:space="preserve">ECOLE MATERNELLE CHARLES PERRAULT</t>
  </si>
  <si>
    <t xml:space="preserve">30bis Rue Gaëtan Pirou</t>
  </si>
  <si>
    <t xml:space="preserve">COURTS DE TENNIS</t>
  </si>
  <si>
    <t xml:space="preserve">CHEMIN DU MESNIL AUBRY</t>
  </si>
  <si>
    <t xml:space="preserve">TERRAIN DE PROXIMITE RUE JULES FERRY</t>
  </si>
  <si>
    <t xml:space="preserve">RUE JULES FERRY</t>
  </si>
  <si>
    <t xml:space="preserve">BOULODROME PLACE VAUBAN</t>
  </si>
  <si>
    <t xml:space="preserve">PLACE VAUBAN</t>
  </si>
  <si>
    <t xml:space="preserve">BOUCLE DE RANDONNEE "PR DE BOUFFEMONT" (IA4)</t>
  </si>
  <si>
    <t xml:space="preserve">45 RUE DE LA REPUBLIQUE</t>
  </si>
  <si>
    <t xml:space="preserve">BOUCLES DE RANDONNEE VTT ET PEDESTRE "DE BOUFFEMONT"</t>
  </si>
  <si>
    <t xml:space="preserve">ALLEE DE LA GARE</t>
  </si>
  <si>
    <t xml:space="preserve">COURTS DE TENNIS COUVERTS</t>
  </si>
  <si>
    <t xml:space="preserve">RUE JEAN BOUIN</t>
  </si>
  <si>
    <t xml:space="preserve">GYMNASE DES MORTEFONTAINES</t>
  </si>
  <si>
    <t xml:space="preserve">RUE EUGENE LAMARRE</t>
  </si>
  <si>
    <t xml:space="preserve">SALLE SPORTS ET LOISIRS</t>
  </si>
  <si>
    <t xml:space="preserve">15 RUE DU CHÂTEAU</t>
  </si>
  <si>
    <t xml:space="preserve">49 rue des martinets</t>
  </si>
  <si>
    <t xml:space="preserve">ECOLE MATERNELLE GALLIENI</t>
  </si>
  <si>
    <t xml:space="preserve">2 Rue du Camp</t>
  </si>
  <si>
    <t xml:space="preserve">ECOLE ELEMENTAIRE PASTEUR 1</t>
  </si>
  <si>
    <t xml:space="preserve">16 Rue Georges Dessailly</t>
  </si>
  <si>
    <t xml:space="preserve">GYMNASE DU LYCEE GEORGES SAND</t>
  </si>
  <si>
    <t xml:space="preserve">Avenue de l’Europe</t>
  </si>
  <si>
    <t xml:space="preserve">STADE DES FAUVETTES</t>
  </si>
  <si>
    <t xml:space="preserve">SALLE VICTOR BASCH</t>
  </si>
  <si>
    <t xml:space="preserve">11 RUE DE LA MAIRIE</t>
  </si>
  <si>
    <t xml:space="preserve">COLLEGE SAINT PIE X</t>
  </si>
  <si>
    <t xml:space="preserve">Route Stratégique</t>
  </si>
  <si>
    <t xml:space="preserve">SOINS SPORTS ESPACE YANN BARRIERE</t>
  </si>
  <si>
    <t xml:space="preserve">89  RUE DU GENERAL DE GAULLE</t>
  </si>
  <si>
    <t xml:space="preserve">SOCIETE D'ATHLETIQUE D'ENGHIEN</t>
  </si>
  <si>
    <t xml:space="preserve">1 RUE LE VEILLARD</t>
  </si>
  <si>
    <t xml:space="preserve">CENTRE CULTUREL FRANCOIS VILLON (Talma)</t>
  </si>
  <si>
    <t xml:space="preserve">4 RUE TALMA</t>
  </si>
  <si>
    <t xml:space="preserve">CENTRE CULTUREL FRANCOIS VILLON (gnl de Gaulle)</t>
  </si>
  <si>
    <t xml:space="preserve">93 AVENUE DU GENERAL DE GAULLE</t>
  </si>
  <si>
    <t xml:space="preserve">Place du Cardinal Mercier 1</t>
  </si>
  <si>
    <t xml:space="preserve">ECOLE ELEMENTAIRE ORMESSON 1</t>
  </si>
  <si>
    <t xml:space="preserve">11 Boulevard d’Ormesson</t>
  </si>
  <si>
    <t xml:space="preserve">GYMNASE COMMUNAL</t>
  </si>
  <si>
    <t xml:space="preserve">RUE DES PONCEAUX</t>
  </si>
  <si>
    <t xml:space="preserve">ECOLE VAVASSEUR</t>
  </si>
  <si>
    <t xml:space="preserve">RUE DU GENERAL DE GAULLE</t>
  </si>
  <si>
    <t xml:space="preserve">BOUCLES DE RANDONNEE "D'AUVERS-SUR-OISE 2" (A8-A9-A10-A1)</t>
  </si>
  <si>
    <t xml:space="preserve">TERRAINS DE SPORTS DIT DE LA PRAIRIE</t>
  </si>
  <si>
    <t xml:space="preserve">CHEMIN DES ILES</t>
  </si>
  <si>
    <t xml:space="preserve">COLLEGE PIERRE-GILLES DE GENNES</t>
  </si>
  <si>
    <t xml:space="preserve">51 rue massenet</t>
  </si>
  <si>
    <t xml:space="preserve">PLACE D'OBERRIEXIGEN</t>
  </si>
  <si>
    <t xml:space="preserve">SENTE DU CHALET</t>
  </si>
  <si>
    <t xml:space="preserve">PARIS INTERNATIONAL GOLF CLUB</t>
  </si>
  <si>
    <t xml:space="preserve">18 ROUTE DU GOLF</t>
  </si>
  <si>
    <t xml:space="preserve">1 RUE DES SABLONS</t>
  </si>
  <si>
    <t xml:space="preserve">16 RUE FAUBERT</t>
  </si>
  <si>
    <t xml:space="preserve">SALLE EUGEUNE COUDRE</t>
  </si>
  <si>
    <t xml:space="preserve">RUE D'ORADOUR SUR GLANE</t>
  </si>
  <si>
    <t xml:space="preserve">SALLE CATHY FLEURY</t>
  </si>
  <si>
    <t xml:space="preserve">AVENUE DE L'EGALITE</t>
  </si>
  <si>
    <t xml:space="preserve">PONTALIS</t>
  </si>
  <si>
    <t xml:space="preserve">CHAUSSEE JULES CESAR</t>
  </si>
  <si>
    <t xml:space="preserve">ECOLE MATERNELLE LES MARRONNIERS</t>
  </si>
  <si>
    <t xml:space="preserve">41 Avenue des Marronniers</t>
  </si>
  <si>
    <t xml:space="preserve">GYMNASE SAINT EXUPERY</t>
  </si>
  <si>
    <t xml:space="preserve">CHEMIN DE LA STATION</t>
  </si>
  <si>
    <t xml:space="preserve">COSEC</t>
  </si>
  <si>
    <t xml:space="preserve">RUE DU STADE</t>
  </si>
  <si>
    <t xml:space="preserve">STUDIO 240</t>
  </si>
  <si>
    <t xml:space="preserve">94 rue de St germain</t>
  </si>
  <si>
    <t xml:space="preserve">BOUCLE DE RANDONNEE "ITINERAIRE DE CORMEILLES-EN-PARISIS" (BS1)</t>
  </si>
  <si>
    <t xml:space="preserve">rue Gallieni</t>
  </si>
  <si>
    <t xml:space="preserve">CENTRE AQUATIQUE LES OCEANIDES DU PARISIS</t>
  </si>
  <si>
    <t xml:space="preserve">28 RUE JEAN-BAPTISTE CARPEAUX</t>
  </si>
  <si>
    <t xml:space="preserve">COLLEGE LOUIS HAYET</t>
  </si>
  <si>
    <t xml:space="preserve">4 AVENUE LOUIS HAYET</t>
  </si>
  <si>
    <t xml:space="preserve">SALLE DE BOXE/ESCRIME</t>
  </si>
  <si>
    <t xml:space="preserve">9 Rue Couzinet</t>
  </si>
  <si>
    <t xml:space="preserve">CENTRE SPORTIF GILLES BOUTANTIN</t>
  </si>
  <si>
    <t xml:space="preserve">100 Rue de Saint Germain</t>
  </si>
  <si>
    <t xml:space="preserve">GROUPE SCOLAIRE ALSACE LORRAINE</t>
  </si>
  <si>
    <t xml:space="preserve">Impasse de Reims</t>
  </si>
  <si>
    <t xml:space="preserve">LYCEE PHILIPPE KIEFFER</t>
  </si>
  <si>
    <t xml:space="preserve">Rue Riera et Christy</t>
  </si>
  <si>
    <t xml:space="preserve">PISCINE INTERCOMMUNALE DES BUSSYS</t>
  </si>
  <si>
    <t xml:space="preserve">98 RUE DES BUSSYS</t>
  </si>
  <si>
    <t xml:space="preserve">CENTRE DEPARTEMENTAL DE FORMATION ET D'ANIMATION SPORTIVE DU 95</t>
  </si>
  <si>
    <t xml:space="preserve">61bis rue des bouquinvilles</t>
  </si>
  <si>
    <t xml:space="preserve">COMPLEXE SPORTIF SUZANNE LENGLEN</t>
  </si>
  <si>
    <t xml:space="preserve">RUE DU DOCTEUR ROUX</t>
  </si>
  <si>
    <t xml:space="preserve">COMPLEXE SPORTIF PAUL NICOLAS</t>
  </si>
  <si>
    <t xml:space="preserve">ROUTE DE MARGENCY</t>
  </si>
  <si>
    <t xml:space="preserve">GYMNASE ROBERT HENRY</t>
  </si>
  <si>
    <t xml:space="preserve">12 AVENUE MARGUERITE</t>
  </si>
  <si>
    <t xml:space="preserve">GYMNASE DU BOIS JACQUES</t>
  </si>
  <si>
    <t xml:space="preserve">RUE DU BOIS JACQUES</t>
  </si>
  <si>
    <t xml:space="preserve">STADE EMILE WILDERMUTH</t>
  </si>
  <si>
    <t xml:space="preserve">6 RUE ANDRE CHENIER</t>
  </si>
  <si>
    <t xml:space="preserve">GYMNASE NELSON PAILLON</t>
  </si>
  <si>
    <t xml:space="preserve">Rue André Chenier Eaubonne</t>
  </si>
  <si>
    <t xml:space="preserve">27 RUE ALPHONSE ET LOUIS ROUSSEL</t>
  </si>
  <si>
    <t xml:space="preserve">ECOLE JEAN ZAY</t>
  </si>
  <si>
    <t xml:space="preserve">20 rue jean zay</t>
  </si>
  <si>
    <t xml:space="preserve">LYCEE EVARISTE GALOIS</t>
  </si>
  <si>
    <t xml:space="preserve">14 Boulevard Léon Blum</t>
  </si>
  <si>
    <t xml:space="preserve">ECOLE LA FONTAINE BLEUE</t>
  </si>
  <si>
    <t xml:space="preserve">9 Rue du Murget</t>
  </si>
  <si>
    <t xml:space="preserve">STADE GILLES DEGENEVE</t>
  </si>
  <si>
    <t xml:space="preserve">AVENUE DU PRESIDENT WILSON</t>
  </si>
  <si>
    <t xml:space="preserve">TERRAINS SPORTIFS</t>
  </si>
  <si>
    <t xml:space="preserve">RUE DE BOYENVAL</t>
  </si>
  <si>
    <t xml:space="preserve">TENNIS CLUB</t>
  </si>
  <si>
    <t xml:space="preserve">RUE SAINT ROCH</t>
  </si>
  <si>
    <t xml:space="preserve">CEBO (CERCLE D'ESCRIME DE BEAUMONT-SUR-OISE)</t>
  </si>
  <si>
    <t xml:space="preserve">61 rue voltaire</t>
  </si>
  <si>
    <t xml:space="preserve">ECOLE ELEMENTAIRE LOUIS ROUSSEL</t>
  </si>
  <si>
    <t xml:space="preserve">9 Place Guy Moquet</t>
  </si>
  <si>
    <t xml:space="preserve">COLLEGE SAINTE JEANNE D'ARC</t>
  </si>
  <si>
    <t xml:space="preserve">14 Rue d’Alsace Lorraine</t>
  </si>
  <si>
    <t xml:space="preserve">RUE VERTE</t>
  </si>
  <si>
    <t xml:space="preserve">AERODROME DE PERSAN-BEAUMONT</t>
  </si>
  <si>
    <t xml:space="preserve">Aérodrome/aéroport</t>
  </si>
  <si>
    <t xml:space="preserve">COLLEGE PIERRE PERRET</t>
  </si>
  <si>
    <t xml:space="preserve">202 GRANDE RUE</t>
  </si>
  <si>
    <t xml:space="preserve">TERRAIN DE BASKET BALL</t>
  </si>
  <si>
    <t xml:space="preserve">RUE DE BERNES</t>
  </si>
  <si>
    <t xml:space="preserve">ESPACE LINO VENTURA</t>
  </si>
  <si>
    <t xml:space="preserve">7 GRANDE RUE</t>
  </si>
  <si>
    <t xml:space="preserve">L'ETANG DU PARADIS</t>
  </si>
  <si>
    <t xml:space="preserve">RN 1 -  ZA DE CHAMPAGNE</t>
  </si>
  <si>
    <t xml:space="preserve">COMPLEXE CULTUREL ET SPORTIF</t>
  </si>
  <si>
    <t xml:space="preserve">PARC MUNICIPAL</t>
  </si>
  <si>
    <t xml:space="preserve">RUE DE L'HOTEL DIEU</t>
  </si>
  <si>
    <t xml:space="preserve">ECOLE ELEMENTAIRE DU STADE</t>
  </si>
  <si>
    <t xml:space="preserve">Rue de Chambly</t>
  </si>
  <si>
    <t xml:space="preserve">RUE DE MONTUBOIS</t>
  </si>
  <si>
    <t xml:space="preserve">BOUCLE DE RANDONNEE "LES QUATRES VILLAGES" (CH6)</t>
  </si>
  <si>
    <t xml:space="preserve">grande rue</t>
  </si>
  <si>
    <t xml:space="preserve">RUE DES FORTES TERRES</t>
  </si>
  <si>
    <t xml:space="preserve">RUE DE LA CROISETTE</t>
  </si>
  <si>
    <t xml:space="preserve">CENTRE EQUESTRE DE LIVILIIERS</t>
  </si>
  <si>
    <t xml:space="preserve">19 RUE ROMESNIL</t>
  </si>
  <si>
    <t xml:space="preserve">COURT DE TENNIS</t>
  </si>
  <si>
    <t xml:space="preserve">RUE DU PRESSOIRE</t>
  </si>
  <si>
    <t xml:space="preserve">8 RUE DU MANOIR</t>
  </si>
  <si>
    <t xml:space="preserve">HARAS DU PARISIS</t>
  </si>
  <si>
    <t xml:space="preserve">CHEMIN DU HARAS</t>
  </si>
  <si>
    <t xml:space="preserve">ECURIES DU DOMAINE DE LA COUTURE</t>
  </si>
  <si>
    <t xml:space="preserve">1 Avenue de Gonesse</t>
  </si>
  <si>
    <t xml:space="preserve">BOUCLE DE RANDONNEE EN PAYS DE FRANCE (L3 PR18)</t>
  </si>
  <si>
    <t xml:space="preserve">2 AVENUE HAUTE GREVE</t>
  </si>
  <si>
    <t xml:space="preserve">AVENUE DE DE LA HAUTE GREVE</t>
  </si>
  <si>
    <t xml:space="preserve">GYMNASE NELSON MANDELA</t>
  </si>
  <si>
    <t xml:space="preserve">1 RUE FERNAND PICQUETTE</t>
  </si>
  <si>
    <t xml:space="preserve">COLLEGE STENDHAL</t>
  </si>
  <si>
    <t xml:space="preserve">Avenue de Beaumont</t>
  </si>
  <si>
    <t xml:space="preserve">GYMNASE COLETTE BESSON</t>
  </si>
  <si>
    <t xml:space="preserve">Avenue du 8 mai 1945</t>
  </si>
  <si>
    <t xml:space="preserve">GROUPE SCOLAIRE ROBESPIERRE</t>
  </si>
  <si>
    <t xml:space="preserve">13 rue charles garnier</t>
  </si>
  <si>
    <t xml:space="preserve">TERRAIN DE FOOTBALL DE PROXIMITE</t>
  </si>
  <si>
    <t xml:space="preserve">Rue Paul Langevin</t>
  </si>
  <si>
    <t xml:space="preserve">COMPLEXE SPORTIF JEAN JAURES</t>
  </si>
  <si>
    <t xml:space="preserve">RUE RENE BLOUET</t>
  </si>
  <si>
    <t xml:space="preserve">GYMNASE ROBI ANGELONI</t>
  </si>
  <si>
    <t xml:space="preserve">RUE DU TIERS POT</t>
  </si>
  <si>
    <t xml:space="preserve">SALLE DANIEL THIEBAUD</t>
  </si>
  <si>
    <t xml:space="preserve">2 RUE VAN GOGH</t>
  </si>
  <si>
    <t xml:space="preserve">TERRAIN DE BOULES (EDOUARD MANET)</t>
  </si>
  <si>
    <t xml:space="preserve">RUE EDOUARD MANET</t>
  </si>
  <si>
    <t xml:space="preserve">COLLEGE PABLO PICASSO</t>
  </si>
  <si>
    <t xml:space="preserve">202 AVENUE DE STALINGRAD</t>
  </si>
  <si>
    <t xml:space="preserve">GROUPE SCOLAIRE JEAN JAURES</t>
  </si>
  <si>
    <t xml:space="preserve">200 AVENUE DE STALINGRAD</t>
  </si>
  <si>
    <t xml:space="preserve">COLLEGE HENRI MATISSE</t>
  </si>
  <si>
    <t xml:space="preserve">7 Avenue de la Division Leclerc</t>
  </si>
  <si>
    <t xml:space="preserve">GROUPE SCOLAIRE HENRI BARBUSSE</t>
  </si>
  <si>
    <t xml:space="preserve">1 allée des Muriers</t>
  </si>
  <si>
    <t xml:space="preserve">GROUPE SCOLAIRE JACQUES PREVERT</t>
  </si>
  <si>
    <t xml:space="preserve">Rue des Doucettes</t>
  </si>
  <si>
    <t xml:space="preserve">COMPLEXE SPORTIF RAOUL VAUX</t>
  </si>
  <si>
    <t xml:space="preserve">Square des Sports</t>
  </si>
  <si>
    <t xml:space="preserve">BOUCLE DE RANDONNEE "PR DE GONESSE" (PF3 PR37)</t>
  </si>
  <si>
    <t xml:space="preserve">SITE D'AEROMODELISME SUR GONESSE</t>
  </si>
  <si>
    <t xml:space="preserve">COMPLEXE SPORTIF COLETTE BESSON</t>
  </si>
  <si>
    <t xml:space="preserve">11 rue jean moulin</t>
  </si>
  <si>
    <t xml:space="preserve">CENTRE SPORTIF ACROSPORT</t>
  </si>
  <si>
    <t xml:space="preserve">8 RUE DE L'HOTEL DE VILLE</t>
  </si>
  <si>
    <t xml:space="preserve">HARAS LA FONTAINE CYPIERRE</t>
  </si>
  <si>
    <t xml:space="preserve">CHEMIN DES CRESSONNIERES</t>
  </si>
  <si>
    <t xml:space="preserve">MANUTAN INTERNATIONAL</t>
  </si>
  <si>
    <t xml:space="preserve">AVENUE DU 21EME SIECLE</t>
  </si>
  <si>
    <t xml:space="preserve">COLLEGE FRANCOIS TRUFFAUT</t>
  </si>
  <si>
    <t xml:space="preserve">2 AVENUE LEON BLUM</t>
  </si>
  <si>
    <t xml:space="preserve">COLLEGE ROBERT DOISNEAU</t>
  </si>
  <si>
    <t xml:space="preserve">2 PLACE JEAN RENOIR</t>
  </si>
  <si>
    <t xml:space="preserve">LYCEE RENE CASSIN</t>
  </si>
  <si>
    <t xml:space="preserve">7 AVENUE FRANCOIS MITTERRAND</t>
  </si>
  <si>
    <t xml:space="preserve">Square du Nord</t>
  </si>
  <si>
    <t xml:space="preserve">ECOLE MATERNELLE JEAN DE LA FONTAINE</t>
  </si>
  <si>
    <t xml:space="preserve">ECOLE MATERNELLE MARIE PAPE-CARPANTIER</t>
  </si>
  <si>
    <t xml:space="preserve">9 Rue Alfred de Vigny</t>
  </si>
  <si>
    <t xml:space="preserve">AVENUE DE MONTMORENCY</t>
  </si>
  <si>
    <t xml:space="preserve">FLASH FITNESS</t>
  </si>
  <si>
    <t xml:space="preserve">1 AVENUE JACQUES ANQUETIL</t>
  </si>
  <si>
    <t xml:space="preserve">PISCINE INTERCOMMUNALE DE GOUSSAINVILLE</t>
  </si>
  <si>
    <t xml:space="preserve">TERRAIN DE PROXIMITE PAUL LANGEVIN</t>
  </si>
  <si>
    <t xml:space="preserve">AVENUE PELTIER</t>
  </si>
  <si>
    <t xml:space="preserve">BOULEVARD ROGER SALENGRO</t>
  </si>
  <si>
    <t xml:space="preserve">CENTRE EQUESTRE DE GOUSSAINVILLE</t>
  </si>
  <si>
    <t xml:space="preserve">Rue de la Suef</t>
  </si>
  <si>
    <t xml:space="preserve">COLLEGE GEORGES CHARPAK</t>
  </si>
  <si>
    <t xml:space="preserve">ECOLE MATERNELLE PAUL ELUARD</t>
  </si>
  <si>
    <t xml:space="preserve">1 Rue Montaigne</t>
  </si>
  <si>
    <t xml:space="preserve">GROUPE SCOLAIRE SEVIGNE</t>
  </si>
  <si>
    <t xml:space="preserve">37 Rue Brulée</t>
  </si>
  <si>
    <t xml:space="preserve">22 Rue Helene Boucher</t>
  </si>
  <si>
    <t xml:space="preserve">GROUPE SCOLAIRE ANATOLE FRANCE</t>
  </si>
  <si>
    <t xml:space="preserve">19 Rue Anatole France</t>
  </si>
  <si>
    <t xml:space="preserve">GROUPE SCOLAIRE YVONNE DE GAULLE</t>
  </si>
  <si>
    <t xml:space="preserve">Place Sidney Bechet</t>
  </si>
  <si>
    <t xml:space="preserve">RUE FRANCOIS COUPERIN</t>
  </si>
  <si>
    <t xml:space="preserve">PISCINE INTERCOMMUNALE DE LOUVRES</t>
  </si>
  <si>
    <t xml:space="preserve">1 RUE ANDRE MALRAUX</t>
  </si>
  <si>
    <t xml:space="preserve">LE CITY STADE</t>
  </si>
  <si>
    <t xml:space="preserve">TERRAIN DE PROXIMITE MULTISPORTS</t>
  </si>
  <si>
    <t xml:space="preserve">RUE ANDRE MALRAUX</t>
  </si>
  <si>
    <t xml:space="preserve">GOLF COMPACT URBAIN</t>
  </si>
  <si>
    <t xml:space="preserve">ALLEE DE L'ABBAYE</t>
  </si>
  <si>
    <t xml:space="preserve">STADE MARTIAL DURONSOY</t>
  </si>
  <si>
    <t xml:space="preserve">CHEMIN DE LA SABLONNIERE</t>
  </si>
  <si>
    <t xml:space="preserve">SALLE DES SPORTS</t>
  </si>
  <si>
    <t xml:space="preserve">RUE MARCEL PETIT</t>
  </si>
  <si>
    <t xml:space="preserve">ECOLE MATERNELLE DU BOIS MAILLARD</t>
  </si>
  <si>
    <t xml:space="preserve">Allée des Tilleuls</t>
  </si>
  <si>
    <t xml:space="preserve">TERRAIN DE TENNIS</t>
  </si>
  <si>
    <t xml:space="preserve">ECOLE LA CLE DES CHAMPS</t>
  </si>
  <si>
    <t xml:space="preserve">Chemin des Ecoliers</t>
  </si>
  <si>
    <t xml:space="preserve">BOUCLE DE RANDONNEE "AUX MARCHES DE LUZARCHES" (L4 PR19)</t>
  </si>
  <si>
    <t xml:space="preserve">BOUCLES DE RANDONNEE VTT ET PEDESTRE "DE LUZARCHES"</t>
  </si>
  <si>
    <t xml:space="preserve">RUE FRANCOIS DE GANAY</t>
  </si>
  <si>
    <t xml:space="preserve">LE GYMNASE</t>
  </si>
  <si>
    <t xml:space="preserve">RUE DES SELLIERS</t>
  </si>
  <si>
    <t xml:space="preserve">SALLE MUNICIPALE BLANCHE MONTEL</t>
  </si>
  <si>
    <t xml:space="preserve">1 PLACE DE L'EUROPE</t>
  </si>
  <si>
    <t xml:space="preserve">RUE DE ROCQUEMONT</t>
  </si>
  <si>
    <t xml:space="preserve">PONEY CLUB DE LA SENTE</t>
  </si>
  <si>
    <t xml:space="preserve">20 HAMEAU DE THIMECOURT</t>
  </si>
  <si>
    <t xml:space="preserve">MAISON VILLAGE</t>
  </si>
  <si>
    <t xml:space="preserve">RUE EMILE COMBES</t>
  </si>
  <si>
    <t xml:space="preserve">GROUPE SCOLAIRE ALPHONSE DAUDET</t>
  </si>
  <si>
    <t xml:space="preserve">27 Rue Alphonse Daudet</t>
  </si>
  <si>
    <t xml:space="preserve">PISCINE D'AGGLOMERATION DE LA CAVEE</t>
  </si>
  <si>
    <t xml:space="preserve">RUE DE L'ORMETTEAU</t>
  </si>
  <si>
    <t xml:space="preserve">Éragny</t>
  </si>
  <si>
    <t xml:space="preserve">PISTE DE BICROSS CEDRIC HIBON</t>
  </si>
  <si>
    <t xml:space="preserve">CHEMIN DES TILLEULS</t>
  </si>
  <si>
    <t xml:space="preserve">GROUPE SCOLAIRE DES LONGUES RAYES</t>
  </si>
  <si>
    <t xml:space="preserve">RUE DES COURTES RAYES</t>
  </si>
  <si>
    <t xml:space="preserve">GROUPE SCOLAIRE DES 10 ARPENTS</t>
  </si>
  <si>
    <t xml:space="preserve">89 Rue de la Marne</t>
  </si>
  <si>
    <t xml:space="preserve">GROUPE SCOLAIRE PABLO NERUDA</t>
  </si>
  <si>
    <t xml:space="preserve">221 BOULEVARD DES AVIATEURS ALLIES</t>
  </si>
  <si>
    <t xml:space="preserve">GROUPE SCOLAIRE HENRI FILLETTE (BAS)</t>
  </si>
  <si>
    <t xml:space="preserve">Sente de la Roncière</t>
  </si>
  <si>
    <t xml:space="preserve">PLATEAU D'EPS DES GRILLONS</t>
  </si>
  <si>
    <t xml:space="preserve">ALLEE DU STADE</t>
  </si>
  <si>
    <t xml:space="preserve">TERRAIN DE RUGBY DU GRILLON</t>
  </si>
  <si>
    <t xml:space="preserve">13 ALLEE DU STADE</t>
  </si>
  <si>
    <t xml:space="preserve">CROSSFIT RED LEGION</t>
  </si>
  <si>
    <t xml:space="preserve">9 RUE DENIS PAPIN</t>
  </si>
  <si>
    <t xml:space="preserve">LA BOULE JOCA SIENNE</t>
  </si>
  <si>
    <t xml:space="preserve">RUE ROSSINI</t>
  </si>
  <si>
    <t xml:space="preserve">TERRAIN DE FOOTBALL DU PRE AU MOINE</t>
  </si>
  <si>
    <t xml:space="preserve">RUE DU PRE AU MOINE</t>
  </si>
  <si>
    <t xml:space="preserve">TERRAIN DE SPORTS D'ECANCOURT</t>
  </si>
  <si>
    <t xml:space="preserve">BOULEVARD D'ECANCOURT</t>
  </si>
  <si>
    <t xml:space="preserve">GROUPE SCOLAIRE "LES NOYERS"</t>
  </si>
  <si>
    <t xml:space="preserve">RUE DES NOISETIERS</t>
  </si>
  <si>
    <t xml:space="preserve">PLATEAU D'EPS DES EGUERETS</t>
  </si>
  <si>
    <t xml:space="preserve">RUE DE L'EGLISE</t>
  </si>
  <si>
    <t xml:space="preserve">MAISON DES QUARTIERS DES EGUERETS</t>
  </si>
  <si>
    <t xml:space="preserve">17 ALLEE DES EGUERETS</t>
  </si>
  <si>
    <t xml:space="preserve">3 Place Eglise</t>
  </si>
  <si>
    <t xml:space="preserve">TENNIS CLUB DE MENUCOURT</t>
  </si>
  <si>
    <t xml:space="preserve">RUE DU MARECHAL LECLERC</t>
  </si>
  <si>
    <t xml:space="preserve">GYMNASE / DOJO</t>
  </si>
  <si>
    <t xml:space="preserve">RUE BERNARD ASTRUC</t>
  </si>
  <si>
    <t xml:space="preserve">TERRAIN DE PÉTANQUE</t>
  </si>
  <si>
    <t xml:space="preserve">CHEMIN DES DAGNAUDES</t>
  </si>
  <si>
    <t xml:space="preserve">COMPLEXE SPORTIF GASTON REBUFFAT</t>
  </si>
  <si>
    <t xml:space="preserve">1 allee jean de florette</t>
  </si>
  <si>
    <t xml:space="preserve">GYMNASE VINCENT VAN GOGH</t>
  </si>
  <si>
    <t xml:space="preserve">83 rue des violettes</t>
  </si>
  <si>
    <t xml:space="preserve">LYCEE PROFESSIONNEL FERDINAND BUISSON</t>
  </si>
  <si>
    <t xml:space="preserve">245 RUE FERDINAND BUISSON</t>
  </si>
  <si>
    <t xml:space="preserve">COMPLEXE SPORTIF AUGUSTE RENOIR</t>
  </si>
  <si>
    <t xml:space="preserve">20 RUE DU SYNDICAT</t>
  </si>
  <si>
    <t xml:space="preserve">2 RUE HICHE</t>
  </si>
  <si>
    <t xml:space="preserve">COMPLEXE SPORTIF SAINT EXUPERY</t>
  </si>
  <si>
    <t xml:space="preserve">RUE KVOTT ET LEYDEKKERS</t>
  </si>
  <si>
    <t xml:space="preserve">GYMNASE DU BEL AIR</t>
  </si>
  <si>
    <t xml:space="preserve">RUE DU MOULIN</t>
  </si>
  <si>
    <t xml:space="preserve">BOULEVARD RHIN ET DANUBE</t>
  </si>
  <si>
    <t xml:space="preserve">COLLEGE EPINE GUYON</t>
  </si>
  <si>
    <t xml:space="preserve">RUE DES ONZE ARPENTS</t>
  </si>
  <si>
    <t xml:space="preserve">CSL – Centre de Sports et de Loisirs</t>
  </si>
  <si>
    <t xml:space="preserve">25 Avenue des Marais</t>
  </si>
  <si>
    <t xml:space="preserve">Complexe sportif,Piscine,Patinoire</t>
  </si>
  <si>
    <t xml:space="preserve">TENNIS CLUB DE FRANCONVILLE</t>
  </si>
  <si>
    <t xml:space="preserve">78 AVENUE DES MARAIS</t>
  </si>
  <si>
    <t xml:space="preserve">PLATEAU SPORTIF YVES DEROFF</t>
  </si>
  <si>
    <t xml:space="preserve">RUE PARMENTIER</t>
  </si>
  <si>
    <t xml:space="preserve">WEISHAUPT ECURIE DE CONCOURS</t>
  </si>
  <si>
    <t xml:space="preserve">MOULIN DU GAILLONET</t>
  </si>
  <si>
    <t xml:space="preserve">ECOLE PRIMAIRE CALMETTE GUERIN</t>
  </si>
  <si>
    <t xml:space="preserve">28 Rue du Professeur Calmette</t>
  </si>
  <si>
    <t xml:space="preserve">COMPLEXE SPORTIF BEAUREGARDS</t>
  </si>
  <si>
    <t xml:space="preserve">1 CHEMIN DES BEAUREGARDS</t>
  </si>
  <si>
    <t xml:space="preserve">CENTRE AQUATIQUE LES GRANDS BAINS DU PARISIS</t>
  </si>
  <si>
    <t xml:space="preserve">1 RUE FRANCOIS TRUFFAUT</t>
  </si>
  <si>
    <t xml:space="preserve">2 TER AVENUE LOUIS ARMAND</t>
  </si>
  <si>
    <t xml:space="preserve">COMPLEXE SPORTIF DES FONTAINES</t>
  </si>
  <si>
    <t xml:space="preserve">1 sente des fontaines</t>
  </si>
  <si>
    <t xml:space="preserve">COMPLEXE SPORTIF DE L'ORME MACAIRE</t>
  </si>
  <si>
    <t xml:space="preserve">55 RUE DE L'ORME MACAIRE</t>
  </si>
  <si>
    <t xml:space="preserve">BASSIN DE SKI NAUTIQUE DE HERBLAY</t>
  </si>
  <si>
    <t xml:space="preserve">6 QUAI DU GENIE</t>
  </si>
  <si>
    <t xml:space="preserve">ECOLE PRIMAIRE JEAN-LOUIS ETIENNE</t>
  </si>
  <si>
    <t xml:space="preserve">1 Esplanade des Frères Lumière</t>
  </si>
  <si>
    <t xml:space="preserve">ECOLE MATERNELLE JEAN MOULIN</t>
  </si>
  <si>
    <t xml:space="preserve">60 Boulevard Joffre</t>
  </si>
  <si>
    <t xml:space="preserve">ECOLE MATERNELLE LA TOURNADE</t>
  </si>
  <si>
    <t xml:space="preserve">18 Rue des 3 Mousquetaires</t>
  </si>
  <si>
    <t xml:space="preserve">CITY STADE DES FRANCES</t>
  </si>
  <si>
    <t xml:space="preserve">2 Avenue des Frances</t>
  </si>
  <si>
    <t xml:space="preserve">STADE DU PRE CARRE</t>
  </si>
  <si>
    <t xml:space="preserve">93 AVENUE DU MARECHAL FOCH LE PRE CARRE</t>
  </si>
  <si>
    <t xml:space="preserve">SALLE POLYVALENTE ROGER DONNET</t>
  </si>
  <si>
    <t xml:space="preserve">2 RUE FERDINAND BERTHOUD</t>
  </si>
  <si>
    <t xml:space="preserve">ECOLE MARIE LAURENCIN</t>
  </si>
  <si>
    <t xml:space="preserve">9 Rue Albert Molinier</t>
  </si>
  <si>
    <t xml:space="preserve">PARC DE LA TUILERIE</t>
  </si>
  <si>
    <t xml:space="preserve">AVENUE GEORGES POMPIDOU</t>
  </si>
  <si>
    <t xml:space="preserve">SALLE POLYVALENTE ET TERRAINS DE SPORTS</t>
  </si>
  <si>
    <t xml:space="preserve">RUE DU MOUTIER</t>
  </si>
  <si>
    <t xml:space="preserve">TENNIS CLUB DE MONTLIGNON</t>
  </si>
  <si>
    <t xml:space="preserve">Allée Lucien Simonnet</t>
  </si>
  <si>
    <t xml:space="preserve">ECOLE D'EQUITATION DE MONTMAGNY</t>
  </si>
  <si>
    <t xml:space="preserve">2 RUE SUZANNE VALLADON</t>
  </si>
  <si>
    <t xml:space="preserve">CENTRE NAUTIQUE INTERCOMMUAL AQUADIUM</t>
  </si>
  <si>
    <t xml:space="preserve">5 RUE HENRI DUNANT</t>
  </si>
  <si>
    <t xml:space="preserve">TERRAIN DE PROXIMITE JEAN XXIII</t>
  </si>
  <si>
    <t xml:space="preserve">CHEMIN DES BOIS BRIFFAULTS</t>
  </si>
  <si>
    <t xml:space="preserve">PARCOURS DE SANTE DU BOIS DE SERVE</t>
  </si>
  <si>
    <t xml:space="preserve">AVENUE DE DOMONT</t>
  </si>
  <si>
    <t xml:space="preserve">MAIRIE</t>
  </si>
  <si>
    <t xml:space="preserve">10 RUE ROBERT MACHY</t>
  </si>
  <si>
    <t xml:space="preserve">SALLE COMMUNALE</t>
  </si>
  <si>
    <t xml:space="preserve">VEXIN TONIC</t>
  </si>
  <si>
    <t xml:space="preserve">18 RUE DE LA RICHARDERIE</t>
  </si>
  <si>
    <t xml:space="preserve">ECOLE PAUL CEZANNE</t>
  </si>
  <si>
    <t xml:space="preserve">RUE MALEBRANCHE</t>
  </si>
  <si>
    <t xml:space="preserve">BOUCLES DE RANDONNEE "DE MARINES"</t>
  </si>
  <si>
    <t xml:space="preserve">18 RUE DES HAUTIERS</t>
  </si>
  <si>
    <t xml:space="preserve">Ecuries des Acacias</t>
  </si>
  <si>
    <t xml:space="preserve">Parc du Chateau de Marine</t>
  </si>
  <si>
    <t xml:space="preserve">L'ETANG DES AULNES</t>
  </si>
  <si>
    <t xml:space="preserve">RUE DE LA VALLEE</t>
  </si>
  <si>
    <t xml:space="preserve">RUE DE LA BOUTEROLLE</t>
  </si>
  <si>
    <t xml:space="preserve">TERRAIN DE LA COULÉE VERTE</t>
  </si>
  <si>
    <t xml:space="preserve">CHEMIN DU VIEUX HETRE</t>
  </si>
  <si>
    <t xml:space="preserve">SALLES DES LOISIRS</t>
  </si>
  <si>
    <t xml:space="preserve">CHEMIN DE PREFONTAINE</t>
  </si>
  <si>
    <t xml:space="preserve">LES ECURIES DU PEUPLIER</t>
  </si>
  <si>
    <t xml:space="preserve">1 ROUTE MAGNY</t>
  </si>
  <si>
    <t xml:space="preserve">COURT DE TENNIS COUVERT</t>
  </si>
  <si>
    <t xml:space="preserve">RUE MOLIERE</t>
  </si>
  <si>
    <t xml:space="preserve">Ecole élémentaire Victor Schoelcher</t>
  </si>
  <si>
    <t xml:space="preserve">5 BOULEVARD URSULINES</t>
  </si>
  <si>
    <t xml:space="preserve">ECOLE JEAN MOULIN</t>
  </si>
  <si>
    <t xml:space="preserve">14 rue des tourelles</t>
  </si>
  <si>
    <t xml:space="preserve">BOUCLES DE RANDONNEE VTT ET PEDESTRE "DE MAGNY-EN-VEXIN"</t>
  </si>
  <si>
    <t xml:space="preserve">PLACE DE L'EUROPE</t>
  </si>
  <si>
    <t xml:space="preserve">ECOLE ELEMENTAIRE ANNE FRANK</t>
  </si>
  <si>
    <t xml:space="preserve">Boulevard de la République</t>
  </si>
  <si>
    <t xml:space="preserve">BOUCLES DE RANDONNEE VTT ET PEDESTRE "DE L'ISLE-ADAM"</t>
  </si>
  <si>
    <t xml:space="preserve">RUE DU CHEMIN VERT</t>
  </si>
  <si>
    <t xml:space="preserve">STADE PHILIPPE GRANT</t>
  </si>
  <si>
    <t xml:space="preserve">AVENUE PAUL THOUREAU</t>
  </si>
  <si>
    <t xml:space="preserve">PLATEAU DE BASKET BALL</t>
  </si>
  <si>
    <t xml:space="preserve">AVENUE DU CHEMIN VERT</t>
  </si>
  <si>
    <t xml:space="preserve">27 AVENUE DES CARRIERES DE CASSAN</t>
  </si>
  <si>
    <t xml:space="preserve">LES ETANGS DE LA PETITE PLAINE</t>
  </si>
  <si>
    <t xml:space="preserve">CENTRE EQUESTRE DE MERIEL</t>
  </si>
  <si>
    <t xml:space="preserve">89 CHEMIN DES GARENNES</t>
  </si>
  <si>
    <t xml:space="preserve">CENTRE CULTUREL ET SPORTIF ESPACE RIVE GAUCHE</t>
  </si>
  <si>
    <t xml:space="preserve">RUE DES PETITS PRES</t>
  </si>
  <si>
    <t xml:space="preserve">MAISON DES JEUNES ET DE LA CULTURE</t>
  </si>
  <si>
    <t xml:space="preserve">2 PARC DU CHATEAU BLANC</t>
  </si>
  <si>
    <t xml:space="preserve">PARC DU CHATEAU BLANC</t>
  </si>
  <si>
    <t xml:space="preserve">PLACE DU CHÂTEAU BLANC</t>
  </si>
  <si>
    <t xml:space="preserve">MUR DE TENNIS</t>
  </si>
  <si>
    <t xml:space="preserve">ECOLE MATERNELLE HENRI BERTIN</t>
  </si>
  <si>
    <t xml:space="preserve">Rue Docteur Albert Schweitzer</t>
  </si>
  <si>
    <t xml:space="preserve">ECOLE MATERNELLE DU CHATEAU BLANC</t>
  </si>
  <si>
    <t xml:space="preserve">2 Place du Chateau Blanc</t>
  </si>
  <si>
    <t xml:space="preserve">STADE JEAN BRESTEL</t>
  </si>
  <si>
    <t xml:space="preserve">RUE JEAN BRESTEL</t>
  </si>
  <si>
    <t xml:space="preserve">SALLE DES FETES LE LUCIOLE</t>
  </si>
  <si>
    <t xml:space="preserve">RUE DE PONTOISE</t>
  </si>
  <si>
    <t xml:space="preserve">PARC ANDRE PASCAL</t>
  </si>
  <si>
    <t xml:space="preserve">RUE SAINT CLAUDE</t>
  </si>
  <si>
    <t xml:space="preserve">SALLE DES FETES</t>
  </si>
  <si>
    <t xml:space="preserve">20 RUE SAINT CLAUDE</t>
  </si>
  <si>
    <t xml:space="preserve">AVENUE DES GRANDCHAMPS</t>
  </si>
  <si>
    <t xml:space="preserve">CLUB MOVING</t>
  </si>
  <si>
    <t xml:space="preserve">44 route de l’isle adam</t>
  </si>
  <si>
    <t xml:space="preserve">route de niemen</t>
  </si>
  <si>
    <t xml:space="preserve">GYMNASE ROGER MORITZ (L'OSERAIE)</t>
  </si>
  <si>
    <t xml:space="preserve">RUE PAUL EMILE VICTOR</t>
  </si>
  <si>
    <t xml:space="preserve">GYMNASE LA BRUYERE</t>
  </si>
  <si>
    <t xml:space="preserve">RUE DU MOULINARD</t>
  </si>
  <si>
    <t xml:space="preserve">FOND DE CHARS</t>
  </si>
  <si>
    <t xml:space="preserve">ALLEE FRANCOIS VILLON</t>
  </si>
  <si>
    <t xml:space="preserve">COMPLEXE CHRISTIAN LEON</t>
  </si>
  <si>
    <t xml:space="preserve">RUE DE CHARS</t>
  </si>
  <si>
    <t xml:space="preserve">PLATEAU D'EVOLUTION LAMETH</t>
  </si>
  <si>
    <t xml:space="preserve">RUE DE MARINES</t>
  </si>
  <si>
    <t xml:space="preserve">CENTRE DE LOISIRS DU BOIS JOLI</t>
  </si>
  <si>
    <t xml:space="preserve">RUE DE PUISEUX</t>
  </si>
  <si>
    <t xml:space="preserve">INSTITUTION SAINT STANISLAS</t>
  </si>
  <si>
    <t xml:space="preserve">2 RUE DES PATIS</t>
  </si>
  <si>
    <t xml:space="preserve">FITSPORTS</t>
  </si>
  <si>
    <t xml:space="preserve">9 CHAUSSE DE JULES CESAR</t>
  </si>
  <si>
    <t xml:space="preserve">Rue du Petit Albi 18</t>
  </si>
  <si>
    <t xml:space="preserve">9 Chemin du Poirier Charles Guerin - Centre Commercial de l'Oseraie CD 915</t>
  </si>
  <si>
    <t xml:space="preserve">ECOLE MATERNELLE ANTOINE DE SAINT-EXUPERY</t>
  </si>
  <si>
    <t xml:space="preserve">2 Parvis Antoine de Saint-Exupéry</t>
  </si>
  <si>
    <t xml:space="preserve">ECOLE PRIMAIRE IMMARMONT</t>
  </si>
  <si>
    <t xml:space="preserve">Rue Roger Alno</t>
  </si>
  <si>
    <t xml:space="preserve">PLATEAU MULTISPORTS NESLES LA VALLEE</t>
  </si>
  <si>
    <t xml:space="preserve">Allée René Florentin</t>
  </si>
  <si>
    <t xml:space="preserve">PLATEAU MULTISPORTS</t>
  </si>
  <si>
    <t xml:space="preserve">57 Route de Vallangoujard</t>
  </si>
  <si>
    <t xml:space="preserve">1 Chemin des Fortes Terres</t>
  </si>
  <si>
    <t xml:space="preserve">Equipements sportifs du village</t>
  </si>
  <si>
    <t xml:space="preserve">Rue Falande</t>
  </si>
  <si>
    <t xml:space="preserve">GYMNASE DU PARC</t>
  </si>
  <si>
    <t xml:space="preserve">7 RUE LE NOTRE</t>
  </si>
  <si>
    <t xml:space="preserve">TERRAIN DE SPORTS DES BOURSEAUX</t>
  </si>
  <si>
    <t xml:space="preserve">RUE DU HAMEAU</t>
  </si>
  <si>
    <t xml:space="preserve">STADE COUDERC</t>
  </si>
  <si>
    <t xml:space="preserve">33 RUE DU MAIL</t>
  </si>
  <si>
    <t xml:space="preserve">PLATEAU D'EVOLUTION D'EPLUCHES</t>
  </si>
  <si>
    <t xml:space="preserve">RUE GEORGE SAND</t>
  </si>
  <si>
    <t xml:space="preserve">PISCINE D'AGGLOMERATION DES BETHUNES</t>
  </si>
  <si>
    <t xml:space="preserve">AVENUE DES BETHUNES</t>
  </si>
  <si>
    <t xml:space="preserve">SPORT ADDICT</t>
  </si>
  <si>
    <t xml:space="preserve">2 RUE OZIERS - Z.I. DU VERT GALANT</t>
  </si>
  <si>
    <t xml:space="preserve">VIV'EDEN SAINT OUEN L'AUMONE</t>
  </si>
  <si>
    <t xml:space="preserve">28 RUE ANDRE AMPERE</t>
  </si>
  <si>
    <t xml:space="preserve">BOUCLE DE RANDONNEE "LE FOND DU VALMILLON" (CH4)</t>
  </si>
  <si>
    <t xml:space="preserve">AVENUE DU GENERAL DE GAULLE</t>
  </si>
  <si>
    <t xml:space="preserve">RUE DES COUTURES</t>
  </si>
  <si>
    <t xml:space="preserve">AIRE DE SAUT</t>
  </si>
  <si>
    <t xml:space="preserve">SALLE JEAN SARMENT</t>
  </si>
  <si>
    <t xml:space="preserve">ALLEE DES PEUPLIERS</t>
  </si>
  <si>
    <t xml:space="preserve">STADE JACQUES HUNAUD</t>
  </si>
  <si>
    <t xml:space="preserve">ECOLE MATERNELLE MAURICE GENEVOIX</t>
  </si>
  <si>
    <t xml:space="preserve">Allée des Peupliers</t>
  </si>
  <si>
    <t xml:space="preserve">CENTRE DE LOISIRS MAURICE GENEVOIX</t>
  </si>
  <si>
    <t xml:space="preserve">Société Hippique de La Tannière</t>
  </si>
  <si>
    <t xml:space="preserve">29 grande rue ferme de la tanniere</t>
  </si>
  <si>
    <t xml:space="preserve">STADE ODINOT</t>
  </si>
  <si>
    <t xml:space="preserve">RUE ETIENNE DOLLET</t>
  </si>
  <si>
    <t xml:space="preserve">ESPACE DES 2 ORMES</t>
  </si>
  <si>
    <t xml:space="preserve">RUE DE BESSANCOURT</t>
  </si>
  <si>
    <t xml:space="preserve">12 RUE DES JARDINS</t>
  </si>
  <si>
    <t xml:space="preserve">ECOLE ELEMENTAIRE PIERRE CURIE</t>
  </si>
  <si>
    <t xml:space="preserve">1 Rue Anatole France</t>
  </si>
  <si>
    <t xml:space="preserve">ECOLE ELEMENTAIRE MARIE CURIE</t>
  </si>
  <si>
    <t xml:space="preserve">50 Rue Victor Hugo</t>
  </si>
  <si>
    <t xml:space="preserve">PLACE DE LA MAIRIE</t>
  </si>
  <si>
    <t xml:space="preserve">PLANETE FORME</t>
  </si>
  <si>
    <t xml:space="preserve">ROUTE TETE RICHARD</t>
  </si>
  <si>
    <t xml:space="preserve">SALLE DES "BLÉS MURS"</t>
  </si>
  <si>
    <t xml:space="preserve">RUE DES PETITS POIRIERS</t>
  </si>
  <si>
    <t xml:space="preserve">CROSSFIT PLESSIS</t>
  </si>
  <si>
    <t xml:space="preserve">14 RUE LOUIS ARMAND</t>
  </si>
  <si>
    <t xml:space="preserve">STADE DES MARADAS</t>
  </si>
  <si>
    <t xml:space="preserve">6 passage du lycee</t>
  </si>
  <si>
    <t xml:space="preserve">TERRAINS LARUE</t>
  </si>
  <si>
    <t xml:space="preserve">RUE DE GELEEN</t>
  </si>
  <si>
    <t xml:space="preserve">PARC DES SPORTS DES LOUVRAIS</t>
  </si>
  <si>
    <t xml:space="preserve">BOULEVARD DE L'EUROPE</t>
  </si>
  <si>
    <t xml:space="preserve">COLLEGE - LYCEE NOTRE DAME DE LA COMPASSION</t>
  </si>
  <si>
    <t xml:space="preserve">8 Place Nicolas Flamel</t>
  </si>
  <si>
    <t xml:space="preserve">COMPLEXE SPORTIF DES MARADAS</t>
  </si>
  <si>
    <t xml:space="preserve">GYMNASE MARIE LAURENCIN</t>
  </si>
  <si>
    <t xml:space="preserve">RUE HENRI DUNANT</t>
  </si>
  <si>
    <t xml:space="preserve">GROUPE SCOLAIRE DES MARADAS</t>
  </si>
  <si>
    <t xml:space="preserve">1 Rue des Maradas Orange</t>
  </si>
  <si>
    <t xml:space="preserve">ECOLE MATERNELLE CORDELIERS</t>
  </si>
  <si>
    <t xml:space="preserve">BOULEVARD DES CORDELIERS</t>
  </si>
  <si>
    <t xml:space="preserve">GROUPE SCOLAIRE DE PARC AUX CHARRETTES</t>
  </si>
  <si>
    <t xml:space="preserve">85 Rue Pierre Butin</t>
  </si>
  <si>
    <t xml:space="preserve">GROUPE SCOLAIRE DE L'HERMITAGE</t>
  </si>
  <si>
    <t xml:space="preserve">10 Rue Petit de Coupray</t>
  </si>
  <si>
    <t xml:space="preserve">GROUPE SCOLAIRE JEAN MOULIN</t>
  </si>
  <si>
    <t xml:space="preserve">4 avenue kennedy</t>
  </si>
  <si>
    <t xml:space="preserve">TERRAIN DE SPORTS (Av ILE DE FRANCE)</t>
  </si>
  <si>
    <t xml:space="preserve">AVENUE DE L'ILE DE France</t>
  </si>
  <si>
    <t xml:space="preserve">RUE PIERRE DE COUBERTIN</t>
  </si>
  <si>
    <t xml:space="preserve">BOUCLES DE RANDONNEE VTT ET PEDESTRE "DE PONTOISE"</t>
  </si>
  <si>
    <t xml:space="preserve">BOUCLE DE RANDONNEE "CHEMIN DES PEINTRES 2" (A11)</t>
  </si>
  <si>
    <t xml:space="preserve">GO PARK</t>
  </si>
  <si>
    <t xml:space="preserve">25 ROUTE DE MENANDON</t>
  </si>
  <si>
    <t xml:space="preserve">ZAC Chaussee Jules Cesar</t>
  </si>
  <si>
    <t xml:space="preserve">PRESLES TENNIS CLUB</t>
  </si>
  <si>
    <t xml:space="preserve">ASSOCIATION DES CAVALIERS ET ATTELAGES DE PRESLES</t>
  </si>
  <si>
    <t xml:space="preserve">CHEMIN VIVINAL N°1 PLATEAU DES GARENNES</t>
  </si>
  <si>
    <t xml:space="preserve">ECOLE MATERNELLE DU GRAND CHEMIN</t>
  </si>
  <si>
    <t xml:space="preserve">27b Rue Pierre Brossolette</t>
  </si>
  <si>
    <t xml:space="preserve">COMPLEXE SPORTIF ANDRE MALRAUX</t>
  </si>
  <si>
    <t xml:space="preserve">ROUTE DE MARLY</t>
  </si>
  <si>
    <t xml:space="preserve">SALLE INTERCOMMUNALE DE TENNIS DE TABLE</t>
  </si>
  <si>
    <t xml:space="preserve">PLACE DU MARCHE</t>
  </si>
  <si>
    <t xml:space="preserve">2 RUE DE LA FONTAINE</t>
  </si>
  <si>
    <t xml:space="preserve">GO FITNESS</t>
  </si>
  <si>
    <t xml:space="preserve">1 CHEMIN DU CLOS</t>
  </si>
  <si>
    <t xml:space="preserve">3 RUE DES FRAICHES FEMMES</t>
  </si>
  <si>
    <t xml:space="preserve">BOUCLE DE RANDONNEE "LA ROCHE-GUYON" (B1)</t>
  </si>
  <si>
    <t xml:space="preserve">NOVOTEL CONVENTION ET WELLNESS ROISSY CDG</t>
  </si>
  <si>
    <t xml:space="preserve">10 ALLEE DES VERGERS</t>
  </si>
  <si>
    <t xml:space="preserve">PISCINE INTERCOMMUNALE DE ROISSY EN FRANCE</t>
  </si>
  <si>
    <t xml:space="preserve">CHEMIN DE MONTMORENCY</t>
  </si>
  <si>
    <t xml:space="preserve">PARCOURS D'ORIENTATION</t>
  </si>
  <si>
    <t xml:space="preserve">CHEMIN RURAL DE VAUD'HERLAND</t>
  </si>
  <si>
    <t xml:space="preserve">ASSOCIATION SPORTIVE DE TIR DE ROISSY</t>
  </si>
  <si>
    <t xml:space="preserve">RD 902 LES FONDS DE CHANGY</t>
  </si>
  <si>
    <t xml:space="preserve">PARC COMMUNAL</t>
  </si>
  <si>
    <t xml:space="preserve">ECOLE MATERNELLE</t>
  </si>
  <si>
    <t xml:space="preserve">Rue de l'Eglise</t>
  </si>
  <si>
    <t xml:space="preserve">CENTRE CULTUREL ET SPORTIF LIONEL TERRAY</t>
  </si>
  <si>
    <t xml:space="preserve">12 RUE PASTEUR</t>
  </si>
  <si>
    <t xml:space="preserve">TERRAIN DE PROXIMITE</t>
  </si>
  <si>
    <t xml:space="preserve">RUE DES ROSIERS</t>
  </si>
  <si>
    <t xml:space="preserve">ESPACE JACQUES BREL</t>
  </si>
  <si>
    <t xml:space="preserve">AVENUE MANET</t>
  </si>
  <si>
    <t xml:space="preserve">PONEY CLUB DE LA SAPINIERE</t>
  </si>
  <si>
    <t xml:space="preserve">1 BIS AVENUE DE LA SAPINIERE</t>
  </si>
  <si>
    <t xml:space="preserve">SENTE DE L'HERMITAGE</t>
  </si>
  <si>
    <t xml:space="preserve">CHEMIN DE L'HERMITAGE</t>
  </si>
  <si>
    <t xml:space="preserve">CIRCUIT DE RANDONNÉE "LES COTEAUX DE SAINT-CLAIR" (V4)</t>
  </si>
  <si>
    <t xml:space="preserve">RUE DE L'ERMITAGE</t>
  </si>
  <si>
    <t xml:space="preserve">38 RUE DU PARC</t>
  </si>
  <si>
    <t xml:space="preserve">DOJO GUY DUPUIS</t>
  </si>
  <si>
    <t xml:space="preserve">18 BIS RUE DES CRESSONNIERES</t>
  </si>
  <si>
    <t xml:space="preserve">STADE ROBERT LEMOINE</t>
  </si>
  <si>
    <t xml:space="preserve">27 RUE PIERRE CURIE</t>
  </si>
  <si>
    <t xml:space="preserve">PLATEAU MULTISPORTS LEON FONTAINE</t>
  </si>
  <si>
    <t xml:space="preserve">RUE SAINT EXUPERY</t>
  </si>
  <si>
    <t xml:space="preserve">PLATEAU MULTISPORTS DES MARAIS</t>
  </si>
  <si>
    <t xml:space="preserve">ECOLE ELEMENTAIRE RAYMOND LOGEAIS</t>
  </si>
  <si>
    <t xml:space="preserve">ECOLE MATERNELLE JEAN ZAY</t>
  </si>
  <si>
    <t xml:space="preserve">2 Rue Pierre Curie</t>
  </si>
  <si>
    <t xml:space="preserve">7 Rue Henri Barbusse</t>
  </si>
  <si>
    <t xml:space="preserve">ECOLE MATERNELLE JEAN SARRAILH</t>
  </si>
  <si>
    <t xml:space="preserve">RUE D'ERMONT</t>
  </si>
  <si>
    <t xml:space="preserve">COMPLEXE SPORTIF JEAN MOULIN</t>
  </si>
  <si>
    <t xml:space="preserve">AVENUE DES DIABLOTS</t>
  </si>
  <si>
    <t xml:space="preserve">TERRAIN DE TIR A L'ARC</t>
  </si>
  <si>
    <t xml:space="preserve">RUE DES GRANDES TANNIERES</t>
  </si>
  <si>
    <t xml:space="preserve">PISCINE COMMUNALE</t>
  </si>
  <si>
    <t xml:space="preserve">Avenue des Diablots</t>
  </si>
  <si>
    <t xml:space="preserve">CITY STADIUM MLC</t>
  </si>
  <si>
    <t xml:space="preserve">Rue Nungesser et Coli</t>
  </si>
  <si>
    <t xml:space="preserve">ECOLE MATERNELLE CADET ROUSSELLE</t>
  </si>
  <si>
    <t xml:space="preserve">BOUCLE DE RANDONNÉE "LA FORET DE CARNELLE" (L1)</t>
  </si>
  <si>
    <t xml:space="preserve">CARREFOUR DU PAS DE VACHE</t>
  </si>
  <si>
    <t xml:space="preserve">GYMNASE FRANCOIS FERON</t>
  </si>
  <si>
    <t xml:space="preserve">37 RUE ROGER SALENGRO</t>
  </si>
  <si>
    <t xml:space="preserve">LES ETANGS DE CARNELLE</t>
  </si>
  <si>
    <t xml:space="preserve">ROUTE DE LA PIERRE TURQUAISE</t>
  </si>
  <si>
    <t xml:space="preserve">CHEMIN DE MADAME / RUE DE LA CROIX SAINT JACQUES</t>
  </si>
  <si>
    <t xml:space="preserve">COLLEGE LOUIS AUGUSTIN BOSC</t>
  </si>
  <si>
    <t xml:space="preserve">PLACE LOUIS AUGUSTIN BOSC</t>
  </si>
  <si>
    <t xml:space="preserve">RUE ROBQUIN</t>
  </si>
  <si>
    <t xml:space="preserve">RUE DES MOULINS A VENT</t>
  </si>
  <si>
    <t xml:space="preserve">KYRIAD DESIGN ENZO</t>
  </si>
  <si>
    <t xml:space="preserve">GYMNASE AUGUSTE DELAUNE</t>
  </si>
  <si>
    <t xml:space="preserve">RUE DES GARONNES</t>
  </si>
  <si>
    <t xml:space="preserve">PLATEAU MULTISPORTS DES CARREAUX</t>
  </si>
  <si>
    <t xml:space="preserve">RUE DES CARREAUX</t>
  </si>
  <si>
    <t xml:space="preserve">GYMNASE DE LA TOUR DU MAIL</t>
  </si>
  <si>
    <t xml:space="preserve">ECOLE ELEMENTAIRE GASTON RAMON</t>
  </si>
  <si>
    <t xml:space="preserve">Rue des Freres Kegels</t>
  </si>
  <si>
    <t xml:space="preserve">STAND DE TIR A l'ARC</t>
  </si>
  <si>
    <t xml:space="preserve">RUE DU POIRIER BARON</t>
  </si>
  <si>
    <t xml:space="preserve">GYMNASE GAMBETTA</t>
  </si>
  <si>
    <t xml:space="preserve">RUE DES AULNAIES</t>
  </si>
  <si>
    <t xml:space="preserve">MAISON DES LOISIRS ET DES ARTS</t>
  </si>
  <si>
    <t xml:space="preserve">24 RUE VICTOR BASCH</t>
  </si>
  <si>
    <t xml:space="preserve">23 Boulevard Maurice Berteaux</t>
  </si>
  <si>
    <t xml:space="preserve">ECOLE MATERNELLE CARNOT</t>
  </si>
  <si>
    <t xml:space="preserve">25 Rue Carnot</t>
  </si>
  <si>
    <t xml:space="preserve">ECOLE MATERNELLE ANNE FRANK</t>
  </si>
  <si>
    <t xml:space="preserve">Rue du Docteur Alison</t>
  </si>
  <si>
    <t xml:space="preserve">ECOLE ELEMENTAIRE JULES FERRY</t>
  </si>
  <si>
    <t xml:space="preserve">11 Avenue Damiette</t>
  </si>
  <si>
    <t xml:space="preserve">L'ETANG DU MOULIN DE VALLIERES</t>
  </si>
  <si>
    <t xml:space="preserve">Chemin du Moulin de Vallières</t>
  </si>
  <si>
    <t xml:space="preserve">CENTRE AQUATIQUE INTERCOMMUNAL DE SARCELLES CHRISTIANE ET GUY CANZANO</t>
  </si>
  <si>
    <t xml:space="preserve">AVENUE PAUL LANGEVIN</t>
  </si>
  <si>
    <t xml:space="preserve">GYMNASE JEAN JAURES</t>
  </si>
  <si>
    <t xml:space="preserve">AVENUE PAUL KOENIG</t>
  </si>
  <si>
    <t xml:space="preserve">SALLE SAINT SAENS</t>
  </si>
  <si>
    <t xml:space="preserve">AVENUE CESAR FRANCK</t>
  </si>
  <si>
    <t xml:space="preserve">BOULODROME PLACE DE STALINGRAD</t>
  </si>
  <si>
    <t xml:space="preserve">7  PLACE DE STALINGRAD</t>
  </si>
  <si>
    <t xml:space="preserve">GYMNASE BRAIND</t>
  </si>
  <si>
    <t xml:space="preserve">RUE VOLTAIRE</t>
  </si>
  <si>
    <t xml:space="preserve">COLLEGE ANATOLE FRANCE</t>
  </si>
  <si>
    <t xml:space="preserve">34 BIS AVENUE DU MARECHAL PIERRE KOENIG</t>
  </si>
  <si>
    <t xml:space="preserve">COLLEGE EVARISTE GALOIS</t>
  </si>
  <si>
    <t xml:space="preserve">13 RUE JEAN GIRAUDOUX</t>
  </si>
  <si>
    <t xml:space="preserve">COLLEGE VICTOR HUGO</t>
  </si>
  <si>
    <t xml:space="preserve">68 RUE VICTOR HUGO</t>
  </si>
  <si>
    <t xml:space="preserve">ENSEMBLE SCOLAIRE LA SALLE - SAINT ROSAIRE</t>
  </si>
  <si>
    <t xml:space="preserve">53 RUE PIERRE BROSSOLETTE</t>
  </si>
  <si>
    <t xml:space="preserve">ECOLE PAUL ET AIMEE RIVIERE</t>
  </si>
  <si>
    <t xml:space="preserve">63 Rue Normande</t>
  </si>
  <si>
    <t xml:space="preserve">GYMNASE DESCARTES</t>
  </si>
  <si>
    <t xml:space="preserve">AVENUE DES COURSES</t>
  </si>
  <si>
    <t xml:space="preserve">13 Rue d’Andilly</t>
  </si>
  <si>
    <t xml:space="preserve">Allée Paul Gauguin</t>
  </si>
  <si>
    <t xml:space="preserve">RUE JEAN JAURES</t>
  </si>
  <si>
    <t xml:space="preserve">CLUB DE TENNIS DE SURVILLIERS</t>
  </si>
  <si>
    <t xml:space="preserve">RUE DE LA LIBERTE</t>
  </si>
  <si>
    <t xml:space="preserve">PARC DE PONTALIS</t>
  </si>
  <si>
    <t xml:space="preserve">COMPLEXE SPORTIF JEAN BOUIN</t>
  </si>
  <si>
    <t xml:space="preserve">111 RUE DE MONTMORENCY</t>
  </si>
  <si>
    <t xml:space="preserve">STADE DE BOISSY</t>
  </si>
  <si>
    <t xml:space="preserve">LES PORTES DE TAVERNY CENTRE COMMERCIAL "LES PORTES DE TAVERNY"</t>
  </si>
  <si>
    <t xml:space="preserve">GYMNASE RICHARD DACOURY</t>
  </si>
  <si>
    <t xml:space="preserve">19 RUE COLETTE</t>
  </si>
  <si>
    <t xml:space="preserve">TERRAIN DE PETANQUE DE VAUCELLES</t>
  </si>
  <si>
    <t xml:space="preserve">2 RUE BASSANO</t>
  </si>
  <si>
    <t xml:space="preserve">TERRAIN DE PROXIMITÉ DES BARBUS</t>
  </si>
  <si>
    <t xml:space="preserve">ESPLANADE DU GAI SAVOIR</t>
  </si>
  <si>
    <t xml:space="preserve">BASE AERIENNE 921</t>
  </si>
  <si>
    <t xml:space="preserve">CHEMIN DE LA CARRIERE</t>
  </si>
  <si>
    <t xml:space="preserve">Aquaval Centre aquatique Alice Miliat</t>
  </si>
  <si>
    <t xml:space="preserve">Rue Theroigne de Mericourt</t>
  </si>
  <si>
    <t xml:space="preserve">SKATE PARK</t>
  </si>
  <si>
    <t xml:space="preserve">Rue Jeanne Planche</t>
  </si>
  <si>
    <t xml:space="preserve">CITY STADE PARC LEYMA</t>
  </si>
  <si>
    <t xml:space="preserve">Rue Gabriel Péri</t>
  </si>
  <si>
    <t xml:space="preserve">AIRE DE FITNESS PARC AUX OISEAUX</t>
  </si>
  <si>
    <t xml:space="preserve">Rue Menotte</t>
  </si>
  <si>
    <t xml:space="preserve">LE STADE MUNCIPAL</t>
  </si>
  <si>
    <t xml:space="preserve">18 CHEMIN DE SAINT DENIS</t>
  </si>
  <si>
    <t xml:space="preserve">LE LAC DU THILLAY</t>
  </si>
  <si>
    <t xml:space="preserve">RUE DU MARECHAL BESSIERES</t>
  </si>
  <si>
    <t xml:space="preserve">RUELLE DES BOULES</t>
  </si>
  <si>
    <t xml:space="preserve">BOUCLE DE RANDONNEE "ENTRE CESAR ET BRUNEHAUT" (JC3)</t>
  </si>
  <si>
    <t xml:space="preserve">BOUCLES DE RANDONNÉE V.T.T. ET PÉDESTRE "DE VALLANGOUJARD"</t>
  </si>
  <si>
    <t xml:space="preserve">SQUARE PHILIPPE HANSE</t>
  </si>
  <si>
    <t xml:space="preserve">RUE SAINT OMER</t>
  </si>
  <si>
    <t xml:space="preserve">CHEMIN DES VALLEES</t>
  </si>
  <si>
    <t xml:space="preserve">PAINTBALL ATOMIK DE PARIS</t>
  </si>
  <si>
    <t xml:space="preserve">CHEMIN DE LA NAZE</t>
  </si>
  <si>
    <t xml:space="preserve">PLATEAU D'EPS DES MOISSONS</t>
  </si>
  <si>
    <t xml:space="preserve">AVENUE DE GANDHI</t>
  </si>
  <si>
    <t xml:space="preserve">PLATEAU D'EPS DU BOULINGRIN</t>
  </si>
  <si>
    <t xml:space="preserve">55 AVENUE SIMONE SIGNORET</t>
  </si>
  <si>
    <t xml:space="preserve">GROUPE SCOLAIRE LES GROUES</t>
  </si>
  <si>
    <t xml:space="preserve">2-4 SQUARE DE L'ECOLE BUISSONNIERE</t>
  </si>
  <si>
    <t xml:space="preserve">GYMNASE DE LA BUSSIE</t>
  </si>
  <si>
    <t xml:space="preserve">RUE DE LA GERBE D'OR</t>
  </si>
  <si>
    <t xml:space="preserve">TERRAIN DE BASEBALL</t>
  </si>
  <si>
    <t xml:space="preserve">RUE DES DOUCERONS DES GATS</t>
  </si>
  <si>
    <t xml:space="preserve">PARCOURS DE REMISE EN FORME</t>
  </si>
  <si>
    <t xml:space="preserve">BOIS DES LOCTAINES</t>
  </si>
  <si>
    <t xml:space="preserve">PARC DES SPORTS</t>
  </si>
  <si>
    <t xml:space="preserve">40 AVENUE AUGUSTE BLANQUI</t>
  </si>
  <si>
    <t xml:space="preserve">AVENUE DES DIX ARPENTS</t>
  </si>
  <si>
    <t xml:space="preserve">BOUCLES DE RANDONNEE VTT ET PEDESTRE "DE VIARMES"</t>
  </si>
  <si>
    <t xml:space="preserve">PLACE PIERRE SALVI</t>
  </si>
  <si>
    <t xml:space="preserve">BOUCLES DE RANDONNEE "DE VIARMES"</t>
  </si>
  <si>
    <t xml:space="preserve">CENTRE EQUESTRE DE VIARMES</t>
  </si>
  <si>
    <t xml:space="preserve">MOULIN DE GIEZ</t>
  </si>
  <si>
    <t xml:space="preserve">STAND DE TIR A L'ARC</t>
  </si>
  <si>
    <t xml:space="preserve">AVENUE GAMBETTA</t>
  </si>
  <si>
    <t xml:space="preserve">PISTE DE COURSE</t>
  </si>
  <si>
    <t xml:space="preserve">RUE DE L'ETANG</t>
  </si>
  <si>
    <t xml:space="preserve">ROUTE DE LA VALLEE DU ROI</t>
  </si>
  <si>
    <t xml:space="preserve">20 RUE DE LA COMTE</t>
  </si>
  <si>
    <t xml:space="preserve">2 RUE BEAUDOUIN</t>
  </si>
  <si>
    <t xml:space="preserve">ECURIES DU CENTAURE</t>
  </si>
  <si>
    <t xml:space="preserve">CHEMIN DES FONTAINES</t>
  </si>
  <si>
    <t xml:space="preserve">8 RUE DE LA GARE</t>
  </si>
  <si>
    <t xml:space="preserve">ECOLE PRIMAIRE LES CAMÉLIAS - YANN ARTHUS BERTRAND</t>
  </si>
  <si>
    <t xml:space="preserve">RUE D'ATTAINVILLE</t>
  </si>
  <si>
    <t xml:space="preserve">BOUCLE DE RANDONNÉE "CIRCUIT DE BELLOY-SAINT-MARTIN" (PF4)</t>
  </si>
  <si>
    <t xml:space="preserve">GARE DE VILLAINES-SOUS-BOIS</t>
  </si>
  <si>
    <t xml:space="preserve">ROUTE DE VETHEUIL</t>
  </si>
  <si>
    <t xml:space="preserve">RUE SCRIBE</t>
  </si>
  <si>
    <t xml:space="preserve">GYMNASE PAUL LANGEVIN</t>
  </si>
  <si>
    <t xml:space="preserve">RUE HENRI SELLIER</t>
  </si>
  <si>
    <t xml:space="preserve">GYMNASE JESSE OWENS</t>
  </si>
  <si>
    <t xml:space="preserve">RUE DU COUPE OREILLES</t>
  </si>
  <si>
    <t xml:space="preserve">MAISON JACQUES BREL</t>
  </si>
  <si>
    <t xml:space="preserve">44  AVENUE PIERRE SEMARD</t>
  </si>
  <si>
    <t xml:space="preserve">MAISON DE QUARTIER CAMILLE CLAUDEL</t>
  </si>
  <si>
    <t xml:space="preserve">32 bis AVENUE DU 8 MAI 1945 LE PUITS LA MARLIERE</t>
  </si>
  <si>
    <t xml:space="preserve">Collège Saint Exupéry</t>
  </si>
  <si>
    <t xml:space="preserve">42 Avenue Pierre Sémard</t>
  </si>
  <si>
    <t xml:space="preserve">LYCEE PROFESSIONNEL PIERRE MENDES FRANCE</t>
  </si>
  <si>
    <t xml:space="preserve">CENTRE DE SECOURS</t>
  </si>
  <si>
    <t xml:space="preserve">AVENUE DES ERABLES</t>
  </si>
  <si>
    <t xml:space="preserve">COLLEGE MARTIN LUTHER KING</t>
  </si>
  <si>
    <t xml:space="preserve">1 RUE DU DOCTEUR RAMPONT</t>
  </si>
  <si>
    <t xml:space="preserve">ECOLE MATERNELLE PAPE CARPENTIER - ANNEXE</t>
  </si>
  <si>
    <t xml:space="preserve">ECOLE MATERNELLE EMILE ZOLA</t>
  </si>
  <si>
    <t xml:space="preserve">Avenue des Erables</t>
  </si>
  <si>
    <t xml:space="preserve">ECOLE MATERNELLE JEAN-JACQUES ROUSSEAU</t>
  </si>
  <si>
    <t xml:space="preserve">Place Lalo</t>
  </si>
  <si>
    <t xml:space="preserve">ECOLE MATERNELLE ET ELEMENTAIRE GERARD PHILIPPE</t>
  </si>
  <si>
    <t xml:space="preserve">1 Rue Scribe</t>
  </si>
  <si>
    <t xml:space="preserve">ECOLE ELEMENTAIRE JEAN MOULIN</t>
  </si>
  <si>
    <t xml:space="preserve">5 Avenue Galliéni</t>
  </si>
  <si>
    <t xml:space="preserve">COLLEGE LEON BLUM</t>
  </si>
  <si>
    <t xml:space="preserve">2 Rue Léon Blum</t>
  </si>
  <si>
    <t xml:space="preserve">COLLEGE SAINT-EXUPERY</t>
  </si>
  <si>
    <t xml:space="preserve">RUE DU PUITS GAILLARD</t>
  </si>
  <si>
    <t xml:space="preserve">TERRAIN DE FOOTBALL &amp; TENNIS</t>
  </si>
  <si>
    <t xml:space="preserve">RUE SEBASTIEN LENOIR</t>
  </si>
  <si>
    <t xml:space="preserve">SALLE DES FÊTES</t>
  </si>
  <si>
    <t xml:space="preserve">RUE SAINT ROMAIN</t>
  </si>
  <si>
    <t xml:space="preserve">RUE FRANCOIS VAUDIN VILLENEUVE SAINT MARTIN</t>
  </si>
  <si>
    <t xml:space="preserve">TENNIS CLUB D'ABLEIGES</t>
  </si>
  <si>
    <t xml:space="preserve">CHOCS AVENTURE - ECOLE FRANCILIENNE DE PARA MOTEUR</t>
  </si>
  <si>
    <t xml:space="preserve">39 GRANDE RUE</t>
  </si>
  <si>
    <t xml:space="preserve">ECOLE DU BOURG</t>
  </si>
  <si>
    <t xml:space="preserve">39 Grande Rue</t>
  </si>
  <si>
    <t xml:space="preserve">GOLF DE GADANCOURT</t>
  </si>
  <si>
    <t xml:space="preserve">4 RUE OCTAVE DE BOURY</t>
  </si>
  <si>
    <t xml:space="preserve">22 RUE D'HEURCOURT</t>
  </si>
  <si>
    <t xml:space="preserve">BUXERIEN TENNIS CLUB</t>
  </si>
  <si>
    <t xml:space="preserve">BOUCLES DE RANDONNÉE "DE BOISSY L'AILLERIE" (JC5-R8)</t>
  </si>
  <si>
    <t xml:space="preserve">PLACE DE L'EGLISE</t>
  </si>
  <si>
    <t xml:space="preserve">BOUCLE DE RANDONNEE "LE TOIT DU VEXIN" (R3 PR9)</t>
  </si>
  <si>
    <t xml:space="preserve">rue de l'église</t>
  </si>
  <si>
    <t xml:space="preserve">BOUCLES DE RANDONNÉE "DE CHARS"</t>
  </si>
  <si>
    <t xml:space="preserve">EGLISE DE CHARS</t>
  </si>
  <si>
    <t xml:space="preserve">2 RUE DE GISORS</t>
  </si>
  <si>
    <t xml:space="preserve">BOUCLE DE RANDONNEE "L'EAU ET LE PAIN- SUR LES TRACES DES GALLOS ROMAINS" (JC4)</t>
  </si>
  <si>
    <t xml:space="preserve">ECOLE ELEMENTAIRE</t>
  </si>
  <si>
    <t xml:space="preserve">4 Rue des Ecoles</t>
  </si>
  <si>
    <t xml:space="preserve">CIRCUIT DE RANDONNE "CORMEILLES EN VEXIN SOURCES MARES ET FONTAINES" (R7)</t>
  </si>
  <si>
    <t xml:space="preserve">RUE CURIE</t>
  </si>
  <si>
    <t xml:space="preserve">CITY PARC</t>
  </si>
  <si>
    <t xml:space="preserve">49 Rue Pierre et Marie Curie</t>
  </si>
  <si>
    <t xml:space="preserve">SALLES DE LA MAIRIE</t>
  </si>
  <si>
    <t xml:space="preserve">14 RUE DE LA LIBERATION</t>
  </si>
  <si>
    <t xml:space="preserve">COLLEGE EUGENIE COTTON</t>
  </si>
  <si>
    <t xml:space="preserve">GROUPE SCOLAIRE MIXTE 1 ET 2 ROMAIN ROLLAND</t>
  </si>
  <si>
    <t xml:space="preserve">3 ALLEE MOZART</t>
  </si>
  <si>
    <t xml:space="preserve">L'APPART FITNESS</t>
  </si>
  <si>
    <t xml:space="preserve">55 RUE ANTONIN GEORGES BELIN</t>
  </si>
  <si>
    <t xml:space="preserve">FOOT MAX</t>
  </si>
  <si>
    <t xml:space="preserve">50 RUE DE LA FOSSE AUX LOUPS</t>
  </si>
  <si>
    <t xml:space="preserve">CITY STADE DU PARC DE LA COLOMBE</t>
  </si>
  <si>
    <t xml:space="preserve">RUE DE RETHONDES</t>
  </si>
  <si>
    <t xml:space="preserve">MURS DE FRAPPE DU PARC DES CERISIERS</t>
  </si>
  <si>
    <t xml:space="preserve">RUE DES ALLOBROGES</t>
  </si>
  <si>
    <t xml:space="preserve">SKATE PARK DU PARC DES BERGES</t>
  </si>
  <si>
    <t xml:space="preserve">BOULEVARD HELOISE</t>
  </si>
  <si>
    <t xml:space="preserve">TSP RUE ERNEST BRAY</t>
  </si>
  <si>
    <t xml:space="preserve">4 RUE ERNEST BRAY</t>
  </si>
  <si>
    <t xml:space="preserve">TSP JARDIN DE LA HAIE NORMANDE</t>
  </si>
  <si>
    <t xml:space="preserve">ALLEE GUY DE MAUPASSANT</t>
  </si>
  <si>
    <t xml:space="preserve">TSP JARDIN DE LA BERIONNE</t>
  </si>
  <si>
    <t xml:space="preserve">15  RUE DE LA BERIONNE</t>
  </si>
  <si>
    <t xml:space="preserve">TSP SQUARE CAMELINAT</t>
  </si>
  <si>
    <t xml:space="preserve">RUE DE LA JUSTICE</t>
  </si>
  <si>
    <t xml:space="preserve">CENTRE AQUATIQUE YOURI GAGARINE</t>
  </si>
  <si>
    <t xml:space="preserve">65 RUE DU NORD</t>
  </si>
  <si>
    <t xml:space="preserve">FRANCE FITNESS</t>
  </si>
  <si>
    <t xml:space="preserve">33 RUE ETIENNE CHEVALIER</t>
  </si>
  <si>
    <t xml:space="preserve">GYMNASE HENRI WALLON</t>
  </si>
  <si>
    <t xml:space="preserve">20 BOULEVARD DE LA RESISTANCE</t>
  </si>
  <si>
    <t xml:space="preserve">PLATEAU DES MUSICIENS</t>
  </si>
  <si>
    <t xml:space="preserve">ALLEE MOZART</t>
  </si>
  <si>
    <t xml:space="preserve">PLATEAU SPORTIF VEDRINES</t>
  </si>
  <si>
    <t xml:space="preserve">RUE VEDRINES</t>
  </si>
  <si>
    <t xml:space="preserve">GYMNASE PIERRE BROSSOLETTE</t>
  </si>
  <si>
    <t xml:space="preserve">RUE KRUGER</t>
  </si>
  <si>
    <t xml:space="preserve">COMPLEXE SPORTIF MARCEL CERDAN</t>
  </si>
  <si>
    <t xml:space="preserve">15 BOULEVARD HELOISE</t>
  </si>
  <si>
    <t xml:space="preserve">CONSERVATOIRE DE MUSIQUE ET DE DANSE</t>
  </si>
  <si>
    <t xml:space="preserve">50 BOULEVARD HELOÏSE</t>
  </si>
  <si>
    <t xml:space="preserve">7 RUE DES GOBELINS</t>
  </si>
  <si>
    <t xml:space="preserve">COLLEGE SADI CARNOT</t>
  </si>
  <si>
    <t xml:space="preserve">15 RUE VICTOR PUISEUX</t>
  </si>
  <si>
    <t xml:space="preserve">STUDIO DU VAL</t>
  </si>
  <si>
    <t xml:space="preserve">11 ALLEE SOULEZARD</t>
  </si>
  <si>
    <t xml:space="preserve">COLLEGE - LYCEE SAINT JOSEPH</t>
  </si>
  <si>
    <t xml:space="preserve">110 rue de Malcouture</t>
  </si>
  <si>
    <t xml:space="preserve">COURS CHARLEMAGNE</t>
  </si>
  <si>
    <t xml:space="preserve">14 rue des celtes</t>
  </si>
  <si>
    <t xml:space="preserve">LA NEF</t>
  </si>
  <si>
    <t xml:space="preserve">RUE DES QUINCONCES</t>
  </si>
  <si>
    <t xml:space="preserve">AVENUE DE LA REPUBLIQUE</t>
  </si>
  <si>
    <t xml:space="preserve">LYCEE VIRGINIA HENDERSON</t>
  </si>
  <si>
    <t xml:space="preserve">100 AVENUE CHARLES VAILLANT</t>
  </si>
  <si>
    <t xml:space="preserve">ECOLE MATERNELLE ANNA FABRE</t>
  </si>
  <si>
    <t xml:space="preserve">34 Rue Jean Jaurès</t>
  </si>
  <si>
    <t xml:space="preserve">1 Rue Paul Mazurier</t>
  </si>
  <si>
    <t xml:space="preserve">ECOLE ELEMENTAIRE DANIELLE CASANOVA</t>
  </si>
  <si>
    <t xml:space="preserve">Impasse des Ecoles</t>
  </si>
  <si>
    <t xml:space="preserve">Chemin de la Voirie</t>
  </si>
  <si>
    <t xml:space="preserve">RUE FALANDE</t>
  </si>
  <si>
    <t xml:space="preserve">GROUPE SCOLAIRE PAUL SERRE</t>
  </si>
  <si>
    <t xml:space="preserve">16 avenue du connetable</t>
  </si>
  <si>
    <t xml:space="preserve">PAS DE TIR</t>
  </si>
  <si>
    <t xml:space="preserve">CHEMIN DU MAUDOIR</t>
  </si>
  <si>
    <t xml:space="preserve">MAISON DES SOLIDARITES</t>
  </si>
  <si>
    <t xml:space="preserve">22 RUE PAUL LORILLON</t>
  </si>
  <si>
    <t xml:space="preserve">COURTS DE TENNIS INTERCOMMUNAL</t>
  </si>
  <si>
    <t xml:space="preserve">AVENUE DU MARECHAL FOCH</t>
  </si>
  <si>
    <t xml:space="preserve">RUE JEAN BULLANT</t>
  </si>
  <si>
    <t xml:space="preserve">RUE ARISTIDE MAILLOL</t>
  </si>
  <si>
    <t xml:space="preserve">60 rue Emile Zola</t>
  </si>
  <si>
    <t xml:space="preserve">SALLES ANDRE FRASSIN</t>
  </si>
  <si>
    <t xml:space="preserve">42 bis RUE FRANCIS DE PRESSENSE</t>
  </si>
  <si>
    <t xml:space="preserve">PARC ALBERT BETTENCOURT</t>
  </si>
  <si>
    <t xml:space="preserve">REU FRANCIS DE PRESSENCE</t>
  </si>
  <si>
    <t xml:space="preserve">GYMNASE MARCEL CACHIN</t>
  </si>
  <si>
    <t xml:space="preserve">RUE CLAUDE BERNARD</t>
  </si>
  <si>
    <t xml:space="preserve">GYMNASE GABRIEL PERI</t>
  </si>
  <si>
    <t xml:space="preserve">RUE CAMELINAT</t>
  </si>
  <si>
    <t xml:space="preserve">IMPASSE GEORGE MASSON</t>
  </si>
  <si>
    <t xml:space="preserve">Rage Boat Bateau</t>
  </si>
  <si>
    <t xml:space="preserve">2 bis rue de la pature</t>
  </si>
  <si>
    <t xml:space="preserve">PLACE DU GENERAL DE GAULLE</t>
  </si>
  <si>
    <t xml:space="preserve">BOULODROMES</t>
  </si>
  <si>
    <t xml:space="preserve">RUE DE LA MAIRIE</t>
  </si>
  <si>
    <t xml:space="preserve">ILE DE LOISIRS DE CERGY-PONTOISE</t>
  </si>
  <si>
    <t xml:space="preserve">RUE DES ETANGS CS 7001</t>
  </si>
  <si>
    <t xml:space="preserve">Base de plein air et/ou de loisirs</t>
  </si>
  <si>
    <t xml:space="preserve">Groupe scolaire LE PARC</t>
  </si>
  <si>
    <t xml:space="preserve">LES LINANDES ORANGES</t>
  </si>
  <si>
    <t xml:space="preserve">Groupe scolaire LE GROS CAILLOU</t>
  </si>
  <si>
    <t xml:space="preserve">AVENUE DU HAUT PAVE</t>
  </si>
  <si>
    <t xml:space="preserve">Groupe scolaire LE POINT DU JOUR</t>
  </si>
  <si>
    <t xml:space="preserve">PASSAGE DE L'EVEIL</t>
  </si>
  <si>
    <t xml:space="preserve">Groupe scolaire LE CHAT PERCHÉ</t>
  </si>
  <si>
    <t xml:space="preserve">2 allée de la Fantaisie</t>
  </si>
  <si>
    <t xml:space="preserve">Groupe scolaire LA SÉBILLE</t>
  </si>
  <si>
    <t xml:space="preserve">ALLEE DE LA COTE DES PAGNES</t>
  </si>
  <si>
    <t xml:space="preserve">COMPLEXE SPORTIF DU PONCEAU</t>
  </si>
  <si>
    <t xml:space="preserve">50 RUE DE PONTOISE</t>
  </si>
  <si>
    <t xml:space="preserve">STADE ROGER GAULT</t>
  </si>
  <si>
    <t xml:space="preserve">RUE PIERRE VAGLER</t>
  </si>
  <si>
    <t xml:space="preserve">COMPLEXE SPORTIF DU MOULIN A VENT</t>
  </si>
  <si>
    <t xml:space="preserve">AVENUE DU TERROIR</t>
  </si>
  <si>
    <t xml:space="preserve">COMPLEXE SPORTIF DE LA JUSTICE</t>
  </si>
  <si>
    <t xml:space="preserve">AVENUE DU NORD</t>
  </si>
  <si>
    <t xml:space="preserve">STADE DU CHAT PERCHE</t>
  </si>
  <si>
    <t xml:space="preserve">RUE DE LA PARABOLLE</t>
  </si>
  <si>
    <t xml:space="preserve">COMPLEXE SPORTIF DES GRÈS</t>
  </si>
  <si>
    <t xml:space="preserve">BOULEVARD DES EXPLORATEURS</t>
  </si>
  <si>
    <t xml:space="preserve">TERRAIN DE PÉTANQUE (Coté Stade Roger Gault)</t>
  </si>
  <si>
    <t xml:space="preserve">100% forme</t>
  </si>
  <si>
    <t xml:space="preserve">BOULEVARD DE L'HAUTIL</t>
  </si>
  <si>
    <t xml:space="preserve">COMPLEXE DES 3 M</t>
  </si>
  <si>
    <t xml:space="preserve">BOULEVARD DE L'OISE</t>
  </si>
  <si>
    <t xml:space="preserve">SALLE DE REMISE EN FORME PARC D'ACTIVITES SAINT CHRISTOPHE DE SODEXO</t>
  </si>
  <si>
    <t xml:space="preserve">10 AVENUE DE L'ENTREPRISE</t>
  </si>
  <si>
    <t xml:space="preserve">GYMNASE DES ROULANTS</t>
  </si>
  <si>
    <t xml:space="preserve">ALLEE DES PETITS PAINS</t>
  </si>
  <si>
    <t xml:space="preserve">STADE EQUESTRE</t>
  </si>
  <si>
    <t xml:space="preserve">BOIS DE CERGY</t>
  </si>
  <si>
    <t xml:space="preserve">COMPLEXE SPORTIF "ESSEC"</t>
  </si>
  <si>
    <t xml:space="preserve">1 Avenue Bernard Hirsch</t>
  </si>
  <si>
    <t xml:space="preserve">Université de CERGY PONTOISE</t>
  </si>
  <si>
    <t xml:space="preserve">33 Boulevard du Port</t>
  </si>
  <si>
    <t xml:space="preserve">BOWLING DU STADIUM</t>
  </si>
  <si>
    <t xml:space="preserve">CENTRE COMMERCIAL DES 3 FONTAINES</t>
  </si>
  <si>
    <t xml:space="preserve">ALEGESSEC SITE 1</t>
  </si>
  <si>
    <t xml:space="preserve">15 RUE LIMANDES ORANGESSUR LE BOULEVARD DE L'OISE</t>
  </si>
  <si>
    <t xml:space="preserve">ALEGESSEC SITE 2</t>
  </si>
  <si>
    <t xml:space="preserve">1 BOULEVARD DU GOLF</t>
  </si>
  <si>
    <t xml:space="preserve">ALGESSEC Résidence du port</t>
  </si>
  <si>
    <t xml:space="preserve">36 Boulevard du port</t>
  </si>
  <si>
    <t xml:space="preserve">Rue des Chênes Pourpres 2</t>
  </si>
  <si>
    <t xml:space="preserve">LYCEE JULES VERNE</t>
  </si>
  <si>
    <t xml:space="preserve">1 Rue Michel Strogoff</t>
  </si>
  <si>
    <t xml:space="preserve">boulevard de l'Oise - ZC des Liandes</t>
  </si>
  <si>
    <t xml:space="preserve">GYMNASE SAINTE APOLLINE</t>
  </si>
  <si>
    <t xml:space="preserve">BOULEVARD DES CHASSEURS</t>
  </si>
  <si>
    <t xml:space="preserve">GROUPE SCOLAIRE LES CROIZETTES</t>
  </si>
  <si>
    <t xml:space="preserve">RUE DES GRANDS BOULEAUX</t>
  </si>
  <si>
    <t xml:space="preserve">42 RUE BOULANGERE</t>
  </si>
  <si>
    <t xml:space="preserve">ECOLE DES SABLONS</t>
  </si>
  <si>
    <t xml:space="preserve">5 Chemin des Sablons</t>
  </si>
  <si>
    <t xml:space="preserve">TERRAIN SPORTIF</t>
  </si>
  <si>
    <t xml:space="preserve">SENTE DU PIPARD D175</t>
  </si>
  <si>
    <t xml:space="preserve">COLLEGE ROSA BONHEUR</t>
  </si>
  <si>
    <t xml:space="preserve">1 RUE DE LA SABLONNIERE</t>
  </si>
  <si>
    <t xml:space="preserve">SALLE DU FOYER RURAL</t>
  </si>
  <si>
    <t xml:space="preserve">BOUCLES DE RANDONNEE "DE CHAUSSY"</t>
  </si>
  <si>
    <t xml:space="preserve">Hameau de Villarceaux</t>
  </si>
  <si>
    <t xml:space="preserve">7 RUE DE LA COURSOUPE</t>
  </si>
  <si>
    <t xml:space="preserve">FACTORY GYM</t>
  </si>
  <si>
    <t xml:space="preserve">10 AVENUE DES CURES</t>
  </si>
  <si>
    <t xml:space="preserve">TERRAIN DE PROXIMITE PLACE VAUBAN</t>
  </si>
  <si>
    <t xml:space="preserve">AIRE DE PROXIMITE</t>
  </si>
  <si>
    <t xml:space="preserve">RUE CHAMPLLION</t>
  </si>
  <si>
    <t xml:space="preserve">TERRAIN DE FOOTBALL ET BOULODROME</t>
  </si>
  <si>
    <t xml:space="preserve">RUE FRANCOIS MITTERAND</t>
  </si>
  <si>
    <t xml:space="preserve">COMPLEXE SPORTIF JEAN BAPTISTE CLEMENT</t>
  </si>
  <si>
    <t xml:space="preserve">RUE JEAN BAPTISTE CLEMENT</t>
  </si>
  <si>
    <t xml:space="preserve">PARC DE LA GALATHEE</t>
  </si>
  <si>
    <t xml:space="preserve">RUE GALLIENI</t>
  </si>
  <si>
    <t xml:space="preserve">SENTIER DU CLOS DE PARIS</t>
  </si>
  <si>
    <t xml:space="preserve">19 Avenue Schaeffer</t>
  </si>
  <si>
    <t xml:space="preserve">Rue André Rabier</t>
  </si>
  <si>
    <t xml:space="preserve">ECOLE MATERNELLE LES MORTEFONTAINES</t>
  </si>
  <si>
    <t xml:space="preserve">15 Rue Eugène Lamarre</t>
  </si>
  <si>
    <t xml:space="preserve">GYMNASE ET STADE JEAN JAURES</t>
  </si>
  <si>
    <t xml:space="preserve">RUE ARISTIDE BRIAND</t>
  </si>
  <si>
    <t xml:space="preserve">TERRAINS DE PROXIMITE</t>
  </si>
  <si>
    <t xml:space="preserve">PARC DES COQUELICOTS</t>
  </si>
  <si>
    <t xml:space="preserve">LES TOURNESOLS</t>
  </si>
  <si>
    <t xml:space="preserve">RUE ARISTIDE BRAIND</t>
  </si>
  <si>
    <t xml:space="preserve">ASSOCIATION SPORTIVE DU GOLF DE DOMONT MONTMORENCY</t>
  </si>
  <si>
    <t xml:space="preserve">25 route de montmorency</t>
  </si>
  <si>
    <t xml:space="preserve">41 BIS RUE MALLEVILLE</t>
  </si>
  <si>
    <t xml:space="preserve">GYMNASE MAURICE BOUCHER</t>
  </si>
  <si>
    <t xml:space="preserve">26 TER RUE PASTEUR</t>
  </si>
  <si>
    <t xml:space="preserve">ENSEMBLE SPORTIF DE LA COUSSAYE</t>
  </si>
  <si>
    <t xml:space="preserve">53 RUE DE LA COUSSAYE</t>
  </si>
  <si>
    <t xml:space="preserve">SQUARE JEAN MERMOZ</t>
  </si>
  <si>
    <t xml:space="preserve">RUE DU DEPART</t>
  </si>
  <si>
    <t xml:space="preserve">MAISON DU COMBATTANT</t>
  </si>
  <si>
    <t xml:space="preserve">9 RUE DU MARCHE</t>
  </si>
  <si>
    <t xml:space="preserve">ILE DES CYGNES</t>
  </si>
  <si>
    <t xml:space="preserve">22 BIS BOULEVARD DU LAC</t>
  </si>
  <si>
    <t xml:space="preserve">COLLEGE - LYCEE NOTRE DAME PROVIDENCE</t>
  </si>
  <si>
    <t xml:space="preserve">9 boulevard sadi carnot</t>
  </si>
  <si>
    <t xml:space="preserve">COLLEGE GEORGES POMPIDOU</t>
  </si>
  <si>
    <t xml:space="preserve">20 RUE DE LA COUSSAYE</t>
  </si>
  <si>
    <t xml:space="preserve">MAISON DE L'ILE</t>
  </si>
  <si>
    <t xml:space="preserve">RUE MARCEL MARTIN</t>
  </si>
  <si>
    <t xml:space="preserve">COLLEGE CHARLES FRANCOIS DAUBIGNY</t>
  </si>
  <si>
    <t xml:space="preserve">6 rue pierre beregovoy</t>
  </si>
  <si>
    <t xml:space="preserve">LES ECURIES AU COEUR D'AUVERS</t>
  </si>
  <si>
    <t xml:space="preserve">5 BIS RUE DE LA BOURGOGNE</t>
  </si>
  <si>
    <t xml:space="preserve">BOUCLES DE RANDONNEE "D'AUVERS-SUR-OISE 1" (A2-A3-A4)</t>
  </si>
  <si>
    <t xml:space="preserve">PORGY EQUITATION</t>
  </si>
  <si>
    <t xml:space="preserve">18 RUE DU  PERREUX - ROUTE D'OSNY</t>
  </si>
  <si>
    <t xml:space="preserve">CMCP AÉROMODÉLISME</t>
  </si>
  <si>
    <t xml:space="preserve">CHEMIN DE LA MARINE</t>
  </si>
  <si>
    <t xml:space="preserve">STADE DELACOSTE</t>
  </si>
  <si>
    <t xml:space="preserve">TERRAIN DE FOOTBALL D'HONNEUR</t>
  </si>
  <si>
    <t xml:space="preserve">RUE JEAN NICOLAS</t>
  </si>
  <si>
    <t xml:space="preserve">CITY-STADE</t>
  </si>
  <si>
    <t xml:space="preserve">ROUTE DE PUISEUX</t>
  </si>
  <si>
    <t xml:space="preserve">CHEMIN DE COYE</t>
  </si>
  <si>
    <t xml:space="preserve">ECOLE MATERNELLE LA CHESNAIE</t>
  </si>
  <si>
    <t xml:space="preserve">Avenue Michelet</t>
  </si>
  <si>
    <t xml:space="preserve">ECOLE MATERNELLE ANATOLE FRANCE</t>
  </si>
  <si>
    <t xml:space="preserve">7 Avenue Anatole France</t>
  </si>
  <si>
    <t xml:space="preserve">ALLEE HOLMES CHAPEL</t>
  </si>
  <si>
    <t xml:space="preserve">COMPLEXE SPORTIF DES MARBOULUS</t>
  </si>
  <si>
    <t xml:space="preserve">CHEMIN DE L'ISLE</t>
  </si>
  <si>
    <t xml:space="preserve">RUE EMY LES PRES</t>
  </si>
  <si>
    <t xml:space="preserve">COLLEGE JACQUES DAGUERRE</t>
  </si>
  <si>
    <t xml:space="preserve">15 RUE DES CARRIERES</t>
  </si>
  <si>
    <t xml:space="preserve">SALLE RENE BERTHIEU</t>
  </si>
  <si>
    <t xml:space="preserve">28 RUE JULES FERRY</t>
  </si>
  <si>
    <t xml:space="preserve">COMPLEXE SPORTIF LEO TAVAREZ</t>
  </si>
  <si>
    <t xml:space="preserve">129 RUE DE SAINT GERMAIN</t>
  </si>
  <si>
    <t xml:space="preserve">SPORTING STREET FOOT</t>
  </si>
  <si>
    <t xml:space="preserve">36 RUE DES POMMIERS</t>
  </si>
  <si>
    <t xml:space="preserve">KEEP COOL</t>
  </si>
  <si>
    <t xml:space="preserve">1 RUE THIERS PROLONGEE</t>
  </si>
  <si>
    <t xml:space="preserve">LES AILES DE CORMEILLES EN PARISIS</t>
  </si>
  <si>
    <t xml:space="preserve">RUE DES PLATRIERES</t>
  </si>
  <si>
    <t xml:space="preserve">COLLEGE LOUISE WEISS</t>
  </si>
  <si>
    <t xml:space="preserve">1 Avenue Georges Daressy</t>
  </si>
  <si>
    <t xml:space="preserve">ECOLE PRIMAIRE ANTOINE DE SAINT-EXUPERY</t>
  </si>
  <si>
    <t xml:space="preserve">8 Rue Antoine de Saint-exupery</t>
  </si>
  <si>
    <t xml:space="preserve">ECOLE PRIMAIRE LES CHAMPS GUILLAUME</t>
  </si>
  <si>
    <t xml:space="preserve">26 Rue des Champs Guillaume</t>
  </si>
  <si>
    <t xml:space="preserve">ECOLE PRIMAIRE PUBLIQUE JULES FERRY</t>
  </si>
  <si>
    <t xml:space="preserve">22 Rue Molière</t>
  </si>
  <si>
    <t xml:space="preserve">ECOLE PRIMAIRE NOYER DE L'IMAGE</t>
  </si>
  <si>
    <t xml:space="preserve">23 Rue du Noyer de l’Image</t>
  </si>
  <si>
    <t xml:space="preserve">37 RUE DU DOCTEUR ROUX</t>
  </si>
  <si>
    <t xml:space="preserve">TENNIS DES TERRES</t>
  </si>
  <si>
    <t xml:space="preserve">RUE ANDRE CHENIER</t>
  </si>
  <si>
    <t xml:space="preserve">COMPLEXE SPORTIF PAUL BERT</t>
  </si>
  <si>
    <t xml:space="preserve">IMPASSE MADELEINE</t>
  </si>
  <si>
    <t xml:space="preserve">CITY  STADE</t>
  </si>
  <si>
    <t xml:space="preserve">SQUARE MEZIERES</t>
  </si>
  <si>
    <t xml:space="preserve">TERRAIN DE PROXIMITE DES DUNES TERRES</t>
  </si>
  <si>
    <t xml:space="preserve">RUE D'ANDILLY ROUTE DE MONTMORENCY</t>
  </si>
  <si>
    <t xml:space="preserve">11 RUE DE MONTMORENCY</t>
  </si>
  <si>
    <t xml:space="preserve">TERRAIN DE GRANDS JEUX</t>
  </si>
  <si>
    <t xml:space="preserve">CHEMIN DU VIEUX PONT</t>
  </si>
  <si>
    <t xml:space="preserve">DOJO</t>
  </si>
  <si>
    <t xml:space="preserve">1 RUE DUQUESNEL</t>
  </si>
  <si>
    <t xml:space="preserve">C.A.C.S - STUDIO DE DANSE</t>
  </si>
  <si>
    <t xml:space="preserve">Centre aquatique du haut val d'oise</t>
  </si>
  <si>
    <t xml:space="preserve">4 route des prés de Thury</t>
  </si>
  <si>
    <t xml:space="preserve">ECOLE PRIMAIRE PAULINE KERGOMARD</t>
  </si>
  <si>
    <t xml:space="preserve">4 Rue Canu</t>
  </si>
  <si>
    <t xml:space="preserve">RUE DE L'OISE</t>
  </si>
  <si>
    <t xml:space="preserve">GYMNASE PIERRE PERRET</t>
  </si>
  <si>
    <t xml:space="preserve">200 GRANDE RUE</t>
  </si>
  <si>
    <t xml:space="preserve">PARC SPORTIF RENE BARBIER</t>
  </si>
  <si>
    <t xml:space="preserve">RUE DE BORAN</t>
  </si>
  <si>
    <t xml:space="preserve">TERRAIN DE FOOTBALL DU VIEUX STADE</t>
  </si>
  <si>
    <t xml:space="preserve">RD 924</t>
  </si>
  <si>
    <t xml:space="preserve">GROUPE SCOLAIRE SCHILMÖLLER</t>
  </si>
  <si>
    <t xml:space="preserve">Rue de Boran</t>
  </si>
  <si>
    <t xml:space="preserve">BOUCLES DE RANDONNEE "DE CHAMPAGNE-SUR-OISE"</t>
  </si>
  <si>
    <t xml:space="preserve">PLACE DE VERDUN</t>
  </si>
  <si>
    <t xml:space="preserve">SALLE ROGER SCHEURER</t>
  </si>
  <si>
    <t xml:space="preserve">64 RUE DE CHAMBLY</t>
  </si>
  <si>
    <t xml:space="preserve">ECOLE GEORGES DUHAMEL</t>
  </si>
  <si>
    <t xml:space="preserve">Rue Robert Lepeltier</t>
  </si>
  <si>
    <t xml:space="preserve">ECOLE MATERNELLE DU CENTRE</t>
  </si>
  <si>
    <t xml:space="preserve">3 Place du Général de Gaulle</t>
  </si>
  <si>
    <t xml:space="preserve">CENTRE EQUESTRE LAOS DU RONCERAIS</t>
  </si>
  <si>
    <t xml:space="preserve">ROUTE DE MONTUBOIS</t>
  </si>
  <si>
    <t xml:space="preserve">CENTRE EQUESTRE DU VAL KALIPSO</t>
  </si>
  <si>
    <t xml:space="preserve">CHEMIN DE PONTOISE</t>
  </si>
  <si>
    <t xml:space="preserve">2BIS RUE DE BAILLET</t>
  </si>
  <si>
    <t xml:space="preserve">22 RUE SAINT DIDIER</t>
  </si>
  <si>
    <t xml:space="preserve">10 BIS GRANDE RUE</t>
  </si>
  <si>
    <t xml:space="preserve">ENSEMBLE SPORTIF MUNICIPAL</t>
  </si>
  <si>
    <t xml:space="preserve">8 RUE DES SABLONS</t>
  </si>
  <si>
    <t xml:space="preserve">SENTE DU CLOCHER LE VILLAGE</t>
  </si>
  <si>
    <t xml:space="preserve">TENNIS CLUB DE NESLES LA VALLÉE</t>
  </si>
  <si>
    <t xml:space="preserve">CHEMIN DE VALMILLON</t>
  </si>
  <si>
    <t xml:space="preserve">Chemin des Demoiselles</t>
  </si>
  <si>
    <t xml:space="preserve">BOUCLES DE RANDONNÉE VTT  "DE FONTENAY-EN-PARISIS"</t>
  </si>
  <si>
    <t xml:space="preserve">BOUCLES DE RANDONNÉE DE FONTENAY-EN-PARISIS</t>
  </si>
  <si>
    <t xml:space="preserve">TERRAIN MULTISPORTS DE PROXIMITE</t>
  </si>
  <si>
    <t xml:space="preserve">PLATEAU D'EVOLUTION DU JARDIN DE SERRES</t>
  </si>
  <si>
    <t xml:space="preserve">RUE DU GRAND TREMBLAY</t>
  </si>
  <si>
    <t xml:space="preserve">PISCINE INTERCOMMUNALE</t>
  </si>
  <si>
    <t xml:space="preserve">RUE FERNAND PICQUETTE</t>
  </si>
  <si>
    <t xml:space="preserve">GROUPE SCOLAIRE ROMAIN ROLLAND</t>
  </si>
  <si>
    <t xml:space="preserve">9 Rue Vincent Van Gogh</t>
  </si>
  <si>
    <t xml:space="preserve">TERRAIN DE PROXIMITE OLOFF PALME</t>
  </si>
  <si>
    <t xml:space="preserve">RUE PHILIBERT DELORME / SQUARE OLOFF PALME</t>
  </si>
  <si>
    <t xml:space="preserve">TERRAIN DE BASKET BALL DE PROXIMITE</t>
  </si>
  <si>
    <t xml:space="preserve">PLACE NELSON MANDELA</t>
  </si>
  <si>
    <t xml:space="preserve">TERRAIN DE PROXIMITE HENRI BARBUSSE</t>
  </si>
  <si>
    <t xml:space="preserve">RUE DES MARONNIERS</t>
  </si>
  <si>
    <t xml:space="preserve">CENTRE SPORTIF ALLENDE - NERUDA</t>
  </si>
  <si>
    <t xml:space="preserve">4 ALLEE JULES FERRY</t>
  </si>
  <si>
    <t xml:space="preserve">MAISON DES ARTS LOUIS ARAGON</t>
  </si>
  <si>
    <t xml:space="preserve">14 RUE PHILIBERT DELORME</t>
  </si>
  <si>
    <t xml:space="preserve">COLLEGE HENRI WALLON</t>
  </si>
  <si>
    <t xml:space="preserve">2 Rue du Tiers Pot</t>
  </si>
  <si>
    <t xml:space="preserve">TERRAIN DE PROXIMITE (FRAGONARD)</t>
  </si>
  <si>
    <t xml:space="preserve">IMPASSE FRAGONARD</t>
  </si>
  <si>
    <t xml:space="preserve">GYMNASE HENRI BARBUSSE</t>
  </si>
  <si>
    <t xml:space="preserve">Rue Marcel Cerdan 2-4</t>
  </si>
  <si>
    <t xml:space="preserve">ECOLE MATERNELLE JEAN EFFEL</t>
  </si>
  <si>
    <t xml:space="preserve">6 Rue Auguste Perret</t>
  </si>
  <si>
    <t xml:space="preserve">ECOLE ELEMENTAIRE PAUL LANGEVIN</t>
  </si>
  <si>
    <t xml:space="preserve">2 Avenue de la Division Leclerc</t>
  </si>
  <si>
    <t xml:space="preserve">CITY STADE (LA MUETTE)</t>
  </si>
  <si>
    <t xml:space="preserve">COMPLEXE SPORTIF CHRISTINE CARON</t>
  </si>
  <si>
    <t xml:space="preserve">4  RUE MAX LINDER</t>
  </si>
  <si>
    <t xml:space="preserve">COMPLEXE SPORTIF RAYMOND RAMBERT</t>
  </si>
  <si>
    <t xml:space="preserve">6-8 AVENUE RAYMOND RAMBERT</t>
  </si>
  <si>
    <t xml:space="preserve">PARC URBAIN</t>
  </si>
  <si>
    <t xml:space="preserve">TERRAIN DE FOOTBALL LA GARENNE</t>
  </si>
  <si>
    <t xml:space="preserve">SQUARE DE LA GARENNE</t>
  </si>
  <si>
    <t xml:space="preserve">BALL TRAP DE GONESSE</t>
  </si>
  <si>
    <t xml:space="preserve">ROUTE DE L'EUROPE</t>
  </si>
  <si>
    <t xml:space="preserve">COMPLEXE SPORTIF LEO LAGRANGE</t>
  </si>
  <si>
    <t xml:space="preserve">AVENUE LEON BLUM</t>
  </si>
  <si>
    <t xml:space="preserve">ECOLE MATERNELLE LOUISE MICHEL</t>
  </si>
  <si>
    <t xml:space="preserve">70 Rue Maurice Meyer</t>
  </si>
  <si>
    <t xml:space="preserve">ECOLE MATERNELLE BENJAMIN RABIER</t>
  </si>
  <si>
    <t xml:space="preserve">Rue Maurice Ravel</t>
  </si>
  <si>
    <t xml:space="preserve">ECOLE MATERNELLE LUCIE AUBRAC</t>
  </si>
  <si>
    <t xml:space="preserve">1 Rue Guy Moquet</t>
  </si>
  <si>
    <t xml:space="preserve">Parc d’Orgemont</t>
  </si>
  <si>
    <t xml:space="preserve">ECOLE MATERNELLE MARIE LAURENCIN</t>
  </si>
  <si>
    <t xml:space="preserve">22b Rue Claret</t>
  </si>
  <si>
    <t xml:space="preserve">GYMNASE ANGELO PARISI</t>
  </si>
  <si>
    <t xml:space="preserve">162 BOULEVARD PAUL VAILLANT COUTURIER</t>
  </si>
  <si>
    <t xml:space="preserve">4 RUE JEAN MONNET</t>
  </si>
  <si>
    <t xml:space="preserve">COMPLEXE SPORTIF MAURICE BAQUET</t>
  </si>
  <si>
    <t xml:space="preserve">AVENUE ALBERT SARRAUT</t>
  </si>
  <si>
    <t xml:space="preserve">GYMNASE MATHERON</t>
  </si>
  <si>
    <t xml:space="preserve">1 RUE PIERRE SEMARD</t>
  </si>
  <si>
    <t xml:space="preserve">TERRAIN DE PROXIMITE PASTEUR</t>
  </si>
  <si>
    <t xml:space="preserve">BOULEVARD DU GENERAL DE GAULLE</t>
  </si>
  <si>
    <t xml:space="preserve">PLATEAU JEAN JAURES</t>
  </si>
  <si>
    <t xml:space="preserve">AVENUE DE CHANTILLY</t>
  </si>
  <si>
    <t xml:space="preserve">COMPLEXE JEAN MOULIN</t>
  </si>
  <si>
    <t xml:space="preserve">CHEMIN DES ECOLIERS</t>
  </si>
  <si>
    <t xml:space="preserve">BILLARD CLUB</t>
  </si>
  <si>
    <t xml:space="preserve">37 RUE BRULEE</t>
  </si>
  <si>
    <t xml:space="preserve">LYCEE ROMAIN ROLLAND</t>
  </si>
  <si>
    <t xml:space="preserve">21 AVENUE DE MONTMORENCY</t>
  </si>
  <si>
    <t xml:space="preserve">COLLEGE PIERRE CURIE</t>
  </si>
  <si>
    <t xml:space="preserve">166 BOULEVARD PAUL VAILLANT COUTURIER</t>
  </si>
  <si>
    <t xml:space="preserve">ECOLE MATERNELLE LOUIS PASTEUR</t>
  </si>
  <si>
    <t xml:space="preserve">3 Avenue du Docteur Roux</t>
  </si>
  <si>
    <t xml:space="preserve">ECOLE MATERNELLE GABRIEL PERI</t>
  </si>
  <si>
    <t xml:space="preserve">10 Boulevard Raymond Lefevre</t>
  </si>
  <si>
    <t xml:space="preserve">ECOLE MATERNELLE GERMAINE VIE</t>
  </si>
  <si>
    <t xml:space="preserve">14 Rue Pierre Semard</t>
  </si>
  <si>
    <t xml:space="preserve">ECOLE MATERNELLE PAUL LANGEVIN</t>
  </si>
  <si>
    <t xml:space="preserve">22 Boulevard de Verdun</t>
  </si>
  <si>
    <t xml:space="preserve">LE COMPLEXE TENNIS / DOJO</t>
  </si>
  <si>
    <t xml:space="preserve">GYMNASE COLIGNON</t>
  </si>
  <si>
    <t xml:space="preserve">RUE DU 8 MAI 1945</t>
  </si>
  <si>
    <t xml:space="preserve">SALLE DE DANSE "JAUNE ET VERTE"</t>
  </si>
  <si>
    <t xml:space="preserve">TERRAIN D'EVOLUTION DE PROXIMITE</t>
  </si>
  <si>
    <t xml:space="preserve">RUE DE LA BRIQUETERIE</t>
  </si>
  <si>
    <t xml:space="preserve">TERRAIN DE FOOTBALL SYNTHETIQUE</t>
  </si>
  <si>
    <t xml:space="preserve">BOUCLES DE CYCLOTOURISME "DE LOUVRES"</t>
  </si>
  <si>
    <t xml:space="preserve">L'ETANG DE MAUBUISSON</t>
  </si>
  <si>
    <t xml:space="preserve">chemin des Bourseaux</t>
  </si>
  <si>
    <t xml:space="preserve">CHEMIN DU LOUP</t>
  </si>
  <si>
    <t xml:space="preserve">AIRE DE TIR A L'ARC</t>
  </si>
  <si>
    <t xml:space="preserve">SKATE PARC</t>
  </si>
  <si>
    <t xml:space="preserve">RUE SERGE LAVERDURE</t>
  </si>
  <si>
    <t xml:space="preserve">CENTRE EQUESTRE EQUITATION DU TRIANON</t>
  </si>
  <si>
    <t xml:space="preserve">FERME DU TRIANON</t>
  </si>
  <si>
    <t xml:space="preserve">ASAF DOMAINE DE LASSY</t>
  </si>
  <si>
    <t xml:space="preserve">ROUTE DEPARTEMENTALE 922</t>
  </si>
  <si>
    <t xml:space="preserve">BOUCLES DE CYCLOTOURISME "DE LUZARCHES"</t>
  </si>
  <si>
    <t xml:space="preserve">TENNIS CLUB DE LUZARCHES</t>
  </si>
  <si>
    <t xml:space="preserve">RUE DES HORTENSIAS</t>
  </si>
  <si>
    <t xml:space="preserve">DOJOS ET MUSCULATION</t>
  </si>
  <si>
    <t xml:space="preserve">BOUCLE DE RANDONNÉE "CIRCUIT DE MAFFLIERS" (IA3)</t>
  </si>
  <si>
    <t xml:space="preserve">GROUPE SCOLAIRE JULES FERRY</t>
  </si>
  <si>
    <t xml:space="preserve">Rue de Beauvais</t>
  </si>
  <si>
    <t xml:space="preserve">COMPLEXE SPORTIF DE LA BUTTE</t>
  </si>
  <si>
    <t xml:space="preserve">Rue de Pierrelaye</t>
  </si>
  <si>
    <t xml:space="preserve">85 RUE DE PIERRELAYE</t>
  </si>
  <si>
    <t xml:space="preserve">GROUPE SCOLAIRE DE LA BUTTE</t>
  </si>
  <si>
    <t xml:space="preserve">MAISON DE QUARTIER DE LA CHALLE</t>
  </si>
  <si>
    <t xml:space="preserve">2 PLACE DE LA CHALLE</t>
  </si>
  <si>
    <t xml:space="preserve">BOULODROME PIERRELAYE</t>
  </si>
  <si>
    <t xml:space="preserve">COSEC DE LA CAVEE</t>
  </si>
  <si>
    <t xml:space="preserve">RUE DE L'OMETTEAU</t>
  </si>
  <si>
    <t xml:space="preserve">STADE DE LA CAVEE</t>
  </si>
  <si>
    <t xml:space="preserve">CHEMIN DE LA DALLE</t>
  </si>
  <si>
    <t xml:space="preserve">COURT DE TENNIS DU BOIS</t>
  </si>
  <si>
    <t xml:space="preserve">CHEMIN DES PINCEVENTS</t>
  </si>
  <si>
    <t xml:space="preserve">LES 10 ARPENTS OCRE</t>
  </si>
  <si>
    <t xml:space="preserve">4 RUE DU STADE</t>
  </si>
  <si>
    <t xml:space="preserve">ECOLE LA COTE DES CARRIERES</t>
  </si>
  <si>
    <t xml:space="preserve">17 mail alphonse de lamartine</t>
  </si>
  <si>
    <t xml:space="preserve">STADE DES MERISIERS</t>
  </si>
  <si>
    <t xml:space="preserve">RUE DE LA FONTAINE BENITE</t>
  </si>
  <si>
    <t xml:space="preserve">TERRAIN DE SPORTS DES VAUX LABOURS</t>
  </si>
  <si>
    <t xml:space="preserve">CHEMIN DES MIETTES</t>
  </si>
  <si>
    <t xml:space="preserve">COURTS DE TENNIS BITUME</t>
  </si>
  <si>
    <t xml:space="preserve">BOULODROME D'ECANCOURT</t>
  </si>
  <si>
    <t xml:space="preserve">GROUPE SCOLAIRE DES JOUANNES</t>
  </si>
  <si>
    <t xml:space="preserve">64 RUE DES VIGNES BLANCHES</t>
  </si>
  <si>
    <t xml:space="preserve">GROUPE SCOLAIRE DU VAST</t>
  </si>
  <si>
    <t xml:space="preserve">2 PLACE DU FOUR A CHAUX</t>
  </si>
  <si>
    <t xml:space="preserve">LYCEE DE L'HAUTIL</t>
  </si>
  <si>
    <t xml:space="preserve">1 RUE GABRIEL FAURE</t>
  </si>
  <si>
    <t xml:space="preserve">CAMPUS VEOLIA ENVIRONNEMENT</t>
  </si>
  <si>
    <t xml:space="preserve">RUE D'ECANCOURT CHÂTEAU D'ECANCOURT</t>
  </si>
  <si>
    <t xml:space="preserve">COSEC DE MENUCOURT</t>
  </si>
  <si>
    <t xml:space="preserve">STADE ET TENNIS</t>
  </si>
  <si>
    <t xml:space="preserve">RUE DES BEAUX SOLEILS</t>
  </si>
  <si>
    <t xml:space="preserve">PARC DE LOISIRS DE CERNAY</t>
  </si>
  <si>
    <t xml:space="preserve">RUE DU GENERAL DECAEN / BOULEVARD DE CERNAY</t>
  </si>
  <si>
    <t xml:space="preserve">PLATEAU "DEGAS"</t>
  </si>
  <si>
    <t xml:space="preserve">RUE DEGAS</t>
  </si>
  <si>
    <t xml:space="preserve">PLATEAU "BERLIOZ"</t>
  </si>
  <si>
    <t xml:space="preserve">RUE BERLIOZ</t>
  </si>
  <si>
    <t xml:space="preserve">PLATEAU DE "L'EUROPE"</t>
  </si>
  <si>
    <t xml:space="preserve">AVENUE DE L'EUROPE</t>
  </si>
  <si>
    <t xml:space="preserve">GYMNASE GUERIN DROUET</t>
  </si>
  <si>
    <t xml:space="preserve">RUE MAURICE BERTEAUX</t>
  </si>
  <si>
    <t xml:space="preserve">COMPLEXE SPORTIF RAOUL DAUTRY</t>
  </si>
  <si>
    <t xml:space="preserve">105 RUE SAINT GRATIEN</t>
  </si>
  <si>
    <t xml:space="preserve">CFA  BTP</t>
  </si>
  <si>
    <t xml:space="preserve">18bis Rue Ferdinand Buisson</t>
  </si>
  <si>
    <t xml:space="preserve">LYCEE VAN GOGH</t>
  </si>
  <si>
    <t xml:space="preserve">23 RUE DU GENERAL DECAEN</t>
  </si>
  <si>
    <t xml:space="preserve">CLUB AQUILON</t>
  </si>
  <si>
    <t xml:space="preserve">38 RUE JEAN JAURES</t>
  </si>
  <si>
    <t xml:space="preserve">Avenue du George Pompidou 1</t>
  </si>
  <si>
    <t xml:space="preserve">GYMNASE DU MOULIN</t>
  </si>
  <si>
    <t xml:space="preserve">GYMNASE JEAN JACQUES MATHIEU</t>
  </si>
  <si>
    <t xml:space="preserve">CSL CENTRE DE SPORTS ET LOISIRS</t>
  </si>
  <si>
    <t xml:space="preserve">BOIS DES EBOULURES</t>
  </si>
  <si>
    <t xml:space="preserve">CHEMIN VERT DES GRATTES BOEUFS</t>
  </si>
  <si>
    <t xml:space="preserve">BOULEVARD TOUSSAINT LUCAS</t>
  </si>
  <si>
    <t xml:space="preserve">ECOLE MATERNELLE ARISTIDE BRIAND</t>
  </si>
  <si>
    <t xml:space="preserve">5 Rue du 8 Mai 1945</t>
  </si>
  <si>
    <t xml:space="preserve">16 BOULEVARD DU HAVRE</t>
  </si>
  <si>
    <t xml:space="preserve">GYMNASE DES BEAUREGARDS</t>
  </si>
  <si>
    <t xml:space="preserve">CHEMIN DE LA CROIX DE BOIS</t>
  </si>
  <si>
    <t xml:space="preserve">GYMNASE DES NAQUETTES</t>
  </si>
  <si>
    <t xml:space="preserve">SENTE DES FONTAINES</t>
  </si>
  <si>
    <t xml:space="preserve">LES ECURIES DE LA FERME D'ERAGNY</t>
  </si>
  <si>
    <t xml:space="preserve">ROUTE D'ERAGNY</t>
  </si>
  <si>
    <t xml:space="preserve">ECOLE MATERNELLE LES BUTTES BLANCHES</t>
  </si>
  <si>
    <t xml:space="preserve">25 Rue du Gai Savoir</t>
  </si>
  <si>
    <t xml:space="preserve">ECOLE ELEMENTAIRE LES BUTTES BLANCHES</t>
  </si>
  <si>
    <t xml:space="preserve">Rue du Gai Savoir</t>
  </si>
  <si>
    <t xml:space="preserve">27 Rue des Ecoles</t>
  </si>
  <si>
    <t xml:space="preserve">ECOLE MATERNELLE LES CHENES</t>
  </si>
  <si>
    <t xml:space="preserve">148 Rue de Conflans</t>
  </si>
  <si>
    <t xml:space="preserve">ECOLE ELEMENTAIRE LES CHENES</t>
  </si>
  <si>
    <t xml:space="preserve">89 Boulevard de Verdun</t>
  </si>
  <si>
    <t xml:space="preserve">49 Chemin de Conflans</t>
  </si>
  <si>
    <t xml:space="preserve">ECOLE MATERNELLE LOUIS PERGAUD</t>
  </si>
  <si>
    <t xml:space="preserve">Mail du Fanesson</t>
  </si>
  <si>
    <t xml:space="preserve">PLAINE DE LOISIRS BOIS BARRAIS</t>
  </si>
  <si>
    <t xml:space="preserve">BOULEVARD VICTOR BORDIER</t>
  </si>
  <si>
    <t xml:space="preserve">COMPLEXE SPORTIF RENOIR</t>
  </si>
  <si>
    <t xml:space="preserve">RUE AUGUSTE RENOIR</t>
  </si>
  <si>
    <t xml:space="preserve">GYMNASE THURAM</t>
  </si>
  <si>
    <t xml:space="preserve">209 Rue General de Gaulle</t>
  </si>
  <si>
    <t xml:space="preserve">COMPLEXE DE LA PRAIRIE</t>
  </si>
  <si>
    <t xml:space="preserve">21 rue de condé</t>
  </si>
  <si>
    <t xml:space="preserve">RUE DE CONDE</t>
  </si>
  <si>
    <t xml:space="preserve">CENTRE EQUESTRE D'EZANVILLE</t>
  </si>
  <si>
    <t xml:space="preserve">19 RUE DE CONDE</t>
  </si>
  <si>
    <t xml:space="preserve">COLLEGE AIME CESAIRE</t>
  </si>
  <si>
    <t xml:space="preserve">14 CHEMIN DE MOISSELLES</t>
  </si>
  <si>
    <t xml:space="preserve">STADE SERGE CUKIER</t>
  </si>
  <si>
    <t xml:space="preserve">CHEMIN DES ROUILLONS</t>
  </si>
  <si>
    <t xml:space="preserve">LE LAC MARCHAIS</t>
  </si>
  <si>
    <t xml:space="preserve">RUELLE DU LAC MARCHAIS</t>
  </si>
  <si>
    <t xml:space="preserve">GROUPE SCOLAIRE DES GLAISIERES</t>
  </si>
  <si>
    <t xml:space="preserve">2 Allée des Pommeraies</t>
  </si>
  <si>
    <t xml:space="preserve">46 Avenue de la République</t>
  </si>
  <si>
    <t xml:space="preserve">5 ALLEE EUGENE MAGNIEZ</t>
  </si>
  <si>
    <t xml:space="preserve">GYMNASE MIL'S CLUB</t>
  </si>
  <si>
    <t xml:space="preserve">10 Rue des Rosiers</t>
  </si>
  <si>
    <t xml:space="preserve">RUELLE MARIANNE</t>
  </si>
  <si>
    <t xml:space="preserve">RUE PELLETIER</t>
  </si>
  <si>
    <t xml:space="preserve">GYMNASE DU ROUILLON</t>
  </si>
  <si>
    <t xml:space="preserve">COMPLEXE SPORTIF ALAIN MIMOUN</t>
  </si>
  <si>
    <t xml:space="preserve">4 ruelle du pavillon</t>
  </si>
  <si>
    <t xml:space="preserve">SALLE OMNISPORTS</t>
  </si>
  <si>
    <t xml:space="preserve">24 RUE DE VILLETANEUSE</t>
  </si>
  <si>
    <t xml:space="preserve">BOUCLES DE CYCLOTOURISME DE MONTMORENCY</t>
  </si>
  <si>
    <t xml:space="preserve">2 avenue Foch</t>
  </si>
  <si>
    <t xml:space="preserve">RESIDENCE FLORIAN</t>
  </si>
  <si>
    <t xml:space="preserve">RUE MARIVAUX</t>
  </si>
  <si>
    <t xml:space="preserve">CHEMIN DE LA BUTTE AUX PERES</t>
  </si>
  <si>
    <t xml:space="preserve">PARC DES SPORTS NELSON MANDELA</t>
  </si>
  <si>
    <t xml:space="preserve">2 chemin de la butte aux pères</t>
  </si>
  <si>
    <t xml:space="preserve">GYMNASE FERDINAND BUISSON</t>
  </si>
  <si>
    <t xml:space="preserve">25 AVENUE DE LA 1ERE ARMEE FRANCAISE</t>
  </si>
  <si>
    <t xml:space="preserve">TERRAIN DU FORT</t>
  </si>
  <si>
    <t xml:space="preserve">8 AVENUE DE 1ERE ARMEE FRANCAISE</t>
  </si>
  <si>
    <t xml:space="preserve">LYCEE JEAN JACQUES ROUSSEAU</t>
  </si>
  <si>
    <t xml:space="preserve">20 RUE DE JAIGNY</t>
  </si>
  <si>
    <t xml:space="preserve">LYCEE PROFESSIONNEL TURGOT</t>
  </si>
  <si>
    <t xml:space="preserve">3 PLACE AU PAIN</t>
  </si>
  <si>
    <t xml:space="preserve">RUE DU FOUR</t>
  </si>
  <si>
    <t xml:space="preserve">GYMNASE</t>
  </si>
  <si>
    <t xml:space="preserve">28 RUE DE LA MAIRIE</t>
  </si>
  <si>
    <t xml:space="preserve">GYMNASE DE L'AMITIE</t>
  </si>
  <si>
    <t xml:space="preserve">RUE DES HAUTIERS</t>
  </si>
  <si>
    <t xml:space="preserve">RUE BOUTEROLLE</t>
  </si>
  <si>
    <t xml:space="preserve">BOUCLE DE RANDONNÉE "LES CRESSONNIÈRES DE L'AUBETTE" (V9 PR6)</t>
  </si>
  <si>
    <t xml:space="preserve">rue du puits</t>
  </si>
  <si>
    <t xml:space="preserve">Ecurie CB Dressage</t>
  </si>
  <si>
    <t xml:space="preserve">7 CHEMIN DE DANGU</t>
  </si>
  <si>
    <t xml:space="preserve">AVENTURE LAND</t>
  </si>
  <si>
    <t xml:space="preserve">LE BOIS D'ARTHIEUL</t>
  </si>
  <si>
    <t xml:space="preserve">BOUCLES DE CYCLOTOURISME "DE MAGNY-EN-VEXIN 1"</t>
  </si>
  <si>
    <t xml:space="preserve">RUE DE CROSNE</t>
  </si>
  <si>
    <t xml:space="preserve">BOUCLES DE CYCLOTOURISME "DE MAGNY-EN-VEXIN 2"</t>
  </si>
  <si>
    <t xml:space="preserve">RUE DE ROUEN</t>
  </si>
  <si>
    <t xml:space="preserve">ECOLE ELEMENTAIRE VICTOR SCHOELCHER</t>
  </si>
  <si>
    <t xml:space="preserve">5 Boulevard des Ursulines</t>
  </si>
  <si>
    <t xml:space="preserve">RUE DE SAINT DENIS SOUS LE MOULIN</t>
  </si>
  <si>
    <t xml:space="preserve">LA PLAGE</t>
  </si>
  <si>
    <t xml:space="preserve">1 AVENUE DU GENERAL DE GAULLE</t>
  </si>
  <si>
    <t xml:space="preserve">PISCINE INTERCOMMUNALE DE L'ISLE ADAM/ PARMAIN</t>
  </si>
  <si>
    <t xml:space="preserve">1 AVENUE PAUL THOUREAU</t>
  </si>
  <si>
    <t xml:space="preserve">COMPLEXE SPORTIF AMELIE MAURESMO</t>
  </si>
  <si>
    <t xml:space="preserve">1 ALLEE DU DOCTEUR JEAN CAILLEUX</t>
  </si>
  <si>
    <t xml:space="preserve">TENNIS ADAMOIS</t>
  </si>
  <si>
    <t xml:space="preserve">GOLF DE L'ISLE D'ADAM</t>
  </si>
  <si>
    <t xml:space="preserve">1 CHEMIN DES VANNEAUX</t>
  </si>
  <si>
    <t xml:space="preserve">LES ECURIES DE L'UFREE</t>
  </si>
  <si>
    <t xml:space="preserve">15 CHEMIN DES BELLES VUES</t>
  </si>
  <si>
    <t xml:space="preserve">CERCLE HIPPIQUE L'ISLE D'ADAM - PARMAIN</t>
  </si>
  <si>
    <t xml:space="preserve">14 CHEMIN DES FOLLES ENTREPRISES</t>
  </si>
  <si>
    <t xml:space="preserve">COLLEGE PIERRE ET MARIE CURIE</t>
  </si>
  <si>
    <t xml:space="preserve">RUE JEAN DROIT</t>
  </si>
  <si>
    <t xml:space="preserve">AQUA SPORT ATTITUDE</t>
  </si>
  <si>
    <t xml:space="preserve">5 CHEMIN DES 3 SOURCES</t>
  </si>
  <si>
    <t xml:space="preserve">L'ETANG DES TROIS SOURCES</t>
  </si>
  <si>
    <t xml:space="preserve">CHEMIN DES 3 SOURCES</t>
  </si>
  <si>
    <t xml:space="preserve">LE COMPLEXE SPORTIF</t>
  </si>
  <si>
    <t xml:space="preserve">RUE DES REMISES</t>
  </si>
  <si>
    <t xml:space="preserve">CHEMIN DE L'EGLISE</t>
  </si>
  <si>
    <t xml:space="preserve">RUE VICTOR HUGO</t>
  </si>
  <si>
    <t xml:space="preserve">PARCOURS SPORTIF</t>
  </si>
  <si>
    <t xml:space="preserve">RUE CAMILLE PLAQUET</t>
  </si>
  <si>
    <t xml:space="preserve">LE PLATEAU D'EVOLUTION</t>
  </si>
  <si>
    <t xml:space="preserve">PLATEAU LES GUILLONETTES</t>
  </si>
  <si>
    <t xml:space="preserve">RUE LAMARTINE</t>
  </si>
  <si>
    <t xml:space="preserve">TERRAINS SOUS LES CLOS</t>
  </si>
  <si>
    <t xml:space="preserve">CHEMIN DE L'ABREUVOIR</t>
  </si>
  <si>
    <t xml:space="preserve">4 parvis Antoine de Saint-Exupéry</t>
  </si>
  <si>
    <t xml:space="preserve">PARC DU CHÂTEAU DE GROUCHY</t>
  </si>
  <si>
    <t xml:space="preserve">RESIDENCE DE LA VIOSNE</t>
  </si>
  <si>
    <t xml:space="preserve">RUE DE LA FRATERNITE</t>
  </si>
  <si>
    <t xml:space="preserve">ECOLE ELEMENTAIRE ANTOINE DE SAINT EXUPERY</t>
  </si>
  <si>
    <t xml:space="preserve">4 Parvis Antoine de Saint-Exupéry</t>
  </si>
  <si>
    <t xml:space="preserve">RESTAURANT INTERENTREPRISE DES BEAUX SOLEILS</t>
  </si>
  <si>
    <t xml:space="preserve">20 RUE DES BEAUX SOLEILS</t>
  </si>
  <si>
    <t xml:space="preserve">ECOLE ELEMENTAIRE LAMETH</t>
  </si>
  <si>
    <t xml:space="preserve">1 Rue de Marines</t>
  </si>
  <si>
    <t xml:space="preserve">GROUPE SCOLAIRE PAUL ROTH</t>
  </si>
  <si>
    <t xml:space="preserve">23 Rue du Docteur Schweitzer</t>
  </si>
  <si>
    <t xml:space="preserve">GROUPE SCOLAIRE YVES LE GUERN</t>
  </si>
  <si>
    <t xml:space="preserve">41 Rue de Chars</t>
  </si>
  <si>
    <t xml:space="preserve">CENTRE EQUESTRE DE LA FERME DES TILLEULS</t>
  </si>
  <si>
    <t xml:space="preserve">3 PLACE DES TILLEULS EPLUCHES</t>
  </si>
  <si>
    <t xml:space="preserve">SQUASH CLUB 95</t>
  </si>
  <si>
    <t xml:space="preserve">2 AVENUE DE BOURGOGNE</t>
  </si>
  <si>
    <t xml:space="preserve">Gymnase Gwladys Epangue</t>
  </si>
  <si>
    <t xml:space="preserve">Allée des bois d'or</t>
  </si>
  <si>
    <t xml:space="preserve">ECURIES DU CHATEAU DE CHAMPLATREUX</t>
  </si>
  <si>
    <t xml:space="preserve">Ancienne Route Rn16</t>
  </si>
  <si>
    <t xml:space="preserve">Boulevard Ducher</t>
  </si>
  <si>
    <t xml:space="preserve">GYMNASE D'EPLUCHES</t>
  </si>
  <si>
    <t xml:space="preserve">RUE DES EGALISSES</t>
  </si>
  <si>
    <t xml:space="preserve">TERRAINS DE SPORTS DU PARC</t>
  </si>
  <si>
    <t xml:space="preserve">RUE HENRI DUNANT PARC LENOTRE</t>
  </si>
  <si>
    <t xml:space="preserve">ROLLER SKATE</t>
  </si>
  <si>
    <t xml:space="preserve">BOULEVARD DUCHER</t>
  </si>
  <si>
    <t xml:space="preserve">GOFITNESS SAINT OUEN L'AUMONE</t>
  </si>
  <si>
    <t xml:space="preserve">25 BOULEVARD D'EPLUCHURES</t>
  </si>
  <si>
    <t xml:space="preserve">BOUCLE DE RANDONNEE "LE PAVILLON CHINOIS" (IA2 PR15)</t>
  </si>
  <si>
    <t xml:space="preserve">RUE CHARLOTTE</t>
  </si>
  <si>
    <t xml:space="preserve">TERRAIN D'EVOLUTION DES PEUPLIERS</t>
  </si>
  <si>
    <t xml:space="preserve">BOUCLES DE CYCLOTOURISME "DE PARMAIN"</t>
  </si>
  <si>
    <t xml:space="preserve">RUE RAYMOND POINCARE</t>
  </si>
  <si>
    <t xml:space="preserve">ROUTE DE MARINES</t>
  </si>
  <si>
    <t xml:space="preserve">ESPACE SPORTIF COLETTE BESSON</t>
  </si>
  <si>
    <t xml:space="preserve">L'ETANG DU VAL DE PERSAN</t>
  </si>
  <si>
    <t xml:space="preserve">RUE ETIENNE DOLET</t>
  </si>
  <si>
    <t xml:space="preserve">COLLEGE GEORGES BRASSENS</t>
  </si>
  <si>
    <t xml:space="preserve">15 RUE JEAN CATELAS</t>
  </si>
  <si>
    <t xml:space="preserve">7 BIS AVENUE DU GENERAL LECLERC</t>
  </si>
  <si>
    <t xml:space="preserve">GYMNASE MICHELINE OSTERMEYER</t>
  </si>
  <si>
    <t xml:space="preserve">RUE DE MALASSIS</t>
  </si>
  <si>
    <t xml:space="preserve">Boulevard du Havre 258</t>
  </si>
  <si>
    <t xml:space="preserve">ECOLE MATERNELLE PIERRE CURIE</t>
  </si>
  <si>
    <t xml:space="preserve">COLLEGE DU LUAT</t>
  </si>
  <si>
    <t xml:space="preserve">Chemin de la Baronne</t>
  </si>
  <si>
    <t xml:space="preserve">GYMNASE ANDRE GUILLAUMIE</t>
  </si>
  <si>
    <t xml:space="preserve">RUE ANDRE GUILLAUMIE</t>
  </si>
  <si>
    <t xml:space="preserve">Centre Equestre Plessis Bouchard</t>
  </si>
  <si>
    <t xml:space="preserve">Chemin de la plaine</t>
  </si>
  <si>
    <t xml:space="preserve">LE GYMNASE ALEXOPOULOS</t>
  </si>
  <si>
    <t xml:space="preserve">RUE ALEXOPOULOS</t>
  </si>
  <si>
    <t xml:space="preserve">LE TENNIS CLUB DU PLESSIS BOUCHARD</t>
  </si>
  <si>
    <t xml:space="preserve">48  AVENUE JULES SIEGRIED</t>
  </si>
  <si>
    <t xml:space="preserve">3ter Rue Pierre Brossolette</t>
  </si>
  <si>
    <t xml:space="preserve">PONTOISE TENNIS CLUB</t>
  </si>
  <si>
    <t xml:space="preserve">3 CHAUSSEE JULES CESAR</t>
  </si>
  <si>
    <t xml:space="preserve">COLLEGE JEAN CLAUDE CHABANNE</t>
  </si>
  <si>
    <t xml:space="preserve">10 IMPASSE CHABANNE</t>
  </si>
  <si>
    <t xml:space="preserve">COLLEGE NICOLAS FLAMEL</t>
  </si>
  <si>
    <t xml:space="preserve">23 boulevard de l'europe</t>
  </si>
  <si>
    <t xml:space="preserve">GYMNASE CHABANNE</t>
  </si>
  <si>
    <t xml:space="preserve">SALLE DE DANSE CLAUDE DEBUSSY</t>
  </si>
  <si>
    <t xml:space="preserve">TERRAIN DE FOOTBALL (RUE DE LA FALAISE)</t>
  </si>
  <si>
    <t xml:space="preserve">RUE DE LA FALAISE</t>
  </si>
  <si>
    <t xml:space="preserve">CENTRE DE RATTRAPAGE SCOLAIRE LA DECOUVERTE</t>
  </si>
  <si>
    <t xml:space="preserve">66 RUE MARIA DERAIMES</t>
  </si>
  <si>
    <t xml:space="preserve">ECOLE MATERNELLE LES LARRIS</t>
  </si>
  <si>
    <t xml:space="preserve">Rue des Larris Pourpres</t>
  </si>
  <si>
    <t xml:space="preserve">CENTRE DES SPORTS ET DE LOISIRS</t>
  </si>
  <si>
    <t xml:space="preserve">Rue de la République</t>
  </si>
  <si>
    <t xml:space="preserve">NOUVEAU DOJO</t>
  </si>
  <si>
    <t xml:space="preserve">16 GRANDE RUE</t>
  </si>
  <si>
    <t xml:space="preserve">LA POMMERAIE</t>
  </si>
  <si>
    <t xml:space="preserve">ROUTE DE BENNECOURT</t>
  </si>
  <si>
    <t xml:space="preserve">BOUCLE DE RANDONNEE ENTRE SEINE ET EPTE (V1)</t>
  </si>
  <si>
    <t xml:space="preserve">1 rue de l’audience</t>
  </si>
  <si>
    <t xml:space="preserve">COMPLEXE SPORTIF DES TOURNELLES</t>
  </si>
  <si>
    <t xml:space="preserve">55 RUE HOUDART</t>
  </si>
  <si>
    <t xml:space="preserve">L'ORANGERIE</t>
  </si>
  <si>
    <t xml:space="preserve">6 ALLEE DU VERGER</t>
  </si>
  <si>
    <t xml:space="preserve">FITNESS PARK ROISSY AEROVILLE</t>
  </si>
  <si>
    <t xml:space="preserve">30 RUE DES BUISSONS</t>
  </si>
  <si>
    <t xml:space="preserve">ECOLE DEBACQ</t>
  </si>
  <si>
    <t xml:space="preserve">ECURIES DE RONQUEROLLES</t>
  </si>
  <si>
    <t xml:space="preserve">CHEMIN DES CAILLOUX LES TUILERIES</t>
  </si>
  <si>
    <t xml:space="preserve">RUE DE LA VIERGE</t>
  </si>
  <si>
    <t xml:space="preserve">STADE DE LA SOLITUDE</t>
  </si>
  <si>
    <t xml:space="preserve">RUE DE LA FORET</t>
  </si>
  <si>
    <t xml:space="preserve">RESIDENCE DU VILLAGE</t>
  </si>
  <si>
    <t xml:space="preserve">COMPLEXE DE NEZANT</t>
  </si>
  <si>
    <t xml:space="preserve">3 CHEMIN DE VEZANT</t>
  </si>
  <si>
    <t xml:space="preserve">TERRAIN DU PARC</t>
  </si>
  <si>
    <t xml:space="preserve">RUE DU PARC</t>
  </si>
  <si>
    <t xml:space="preserve">19 RUE ROBERT GUESNIER</t>
  </si>
  <si>
    <t xml:space="preserve">BOWLING DE SAINT GRATIEN</t>
  </si>
  <si>
    <t xml:space="preserve">RUE BERTHIE ALBRECHT</t>
  </si>
  <si>
    <t xml:space="preserve">SALLE D'ARMES CLAUDE FORESTIER</t>
  </si>
  <si>
    <t xml:space="preserve">17 RUE PARMENTIER</t>
  </si>
  <si>
    <t xml:space="preserve">GYMNASE DU PICOLO</t>
  </si>
  <si>
    <t xml:space="preserve">RUE DU PICOLO</t>
  </si>
  <si>
    <t xml:space="preserve">CENTRE SOCIO CULTUREL CAMILLE CLAUDEL</t>
  </si>
  <si>
    <t xml:space="preserve">SQUARE GEORGES AGUTTE</t>
  </si>
  <si>
    <t xml:space="preserve">SKATE PARC LEON FONTAINE</t>
  </si>
  <si>
    <t xml:space="preserve">RUE LEON FONTAINE</t>
  </si>
  <si>
    <t xml:space="preserve">TERRAINS DE PROXIMITE DES RAGUENETS</t>
  </si>
  <si>
    <t xml:space="preserve">PLACE MARCEL CERDAN</t>
  </si>
  <si>
    <t xml:space="preserve">ENGHIEN TENNIS CLUB</t>
  </si>
  <si>
    <t xml:space="preserve">33 AVENUE DANIELLE CASANOVA</t>
  </si>
  <si>
    <t xml:space="preserve">Rue Jean Moulin</t>
  </si>
  <si>
    <t xml:space="preserve">ECOLE MATERNELLE EDOUARD HERRIOT</t>
  </si>
  <si>
    <t xml:space="preserve">7 Allée Germain Petitou</t>
  </si>
  <si>
    <t xml:space="preserve">COMPLEXE SPORTIF OMNISPORTS</t>
  </si>
  <si>
    <t xml:space="preserve">AIRE DES DIABLOTS</t>
  </si>
  <si>
    <t xml:space="preserve">TENNIS CLUB DE LA CHATAIGNERAIE</t>
  </si>
  <si>
    <t xml:space="preserve">138 RUE DU CHÂTEAU</t>
  </si>
  <si>
    <t xml:space="preserve">TERRAIN DE SPORTS AVENUE JACQUES PREVERT</t>
  </si>
  <si>
    <t xml:space="preserve">AVENUE JACQUES PREVERT</t>
  </si>
  <si>
    <t xml:space="preserve">BOUCLE DE RANDONNEE VTT ET PEDESTRE "CIRCUIT RELAIS DE LA VALLEE DE L'OISE" (PP2B-4)</t>
  </si>
  <si>
    <t xml:space="preserve">ALEE DU CAMP CESAR</t>
  </si>
  <si>
    <t xml:space="preserve">SALLE POLYVALENTE MARTINOISE</t>
  </si>
  <si>
    <t xml:space="preserve">PLACE DU 19 MARS 1962</t>
  </si>
  <si>
    <t xml:space="preserve">6 RUE VIARMES</t>
  </si>
  <si>
    <t xml:space="preserve">ECOLE ELEMENTAIRE LANGEVIN-WALLON</t>
  </si>
  <si>
    <t xml:space="preserve">1 rue de viarmes</t>
  </si>
  <si>
    <t xml:space="preserve">SALLE POLYVALENTE JACQUES PREVERT</t>
  </si>
  <si>
    <t xml:space="preserve">PLACE JACQUES PREVERT</t>
  </si>
  <si>
    <t xml:space="preserve">Ecuries de la Fontaine</t>
  </si>
  <si>
    <t xml:space="preserve">25 allée de la fontaine roy</t>
  </si>
  <si>
    <t xml:space="preserve">17 Avenue Jacques Duclos</t>
  </si>
  <si>
    <t xml:space="preserve">RUE DE LA CROIX SAINT JACQUES</t>
  </si>
  <si>
    <t xml:space="preserve">ECURIES DE SAINT WITZ</t>
  </si>
  <si>
    <t xml:space="preserve">4  PAVE DES HERMITES</t>
  </si>
  <si>
    <t xml:space="preserve">CIRCUIT CATHERINE</t>
  </si>
  <si>
    <t xml:space="preserve">RD 317 LES HANTES</t>
  </si>
  <si>
    <t xml:space="preserve">CITY STADE DES BUISSONS</t>
  </si>
  <si>
    <t xml:space="preserve">Rue des Tatres Sannois</t>
  </si>
  <si>
    <t xml:space="preserve">ENERGIE FORME EXPRESS</t>
  </si>
  <si>
    <t xml:space="preserve">94 bd Gambetta</t>
  </si>
  <si>
    <t xml:space="preserve">PISCINE PIERRE WILLIOT</t>
  </si>
  <si>
    <t xml:space="preserve">5 RUE DU BAS DES CONCHES</t>
  </si>
  <si>
    <t xml:space="preserve">GYMNASE VOLTAIRE</t>
  </si>
  <si>
    <t xml:space="preserve">2 RUE DES GARONNES</t>
  </si>
  <si>
    <t xml:space="preserve">COMPLEXE SPORTIF JEAN CLAUDE BOUTTIER</t>
  </si>
  <si>
    <t xml:space="preserve">88 RUE DU POIRIER BARON</t>
  </si>
  <si>
    <t xml:space="preserve">CENTRE CYRANO DE BERGERAC</t>
  </si>
  <si>
    <t xml:space="preserve">INSTITUTION NOTRE DAME</t>
  </si>
  <si>
    <t xml:space="preserve">106 BOULEVARD CHARLES DE GAULLE</t>
  </si>
  <si>
    <t xml:space="preserve">LYCEE PROFESSIONNEL SAINT JEAN</t>
  </si>
  <si>
    <t xml:space="preserve">OSS TENNIS</t>
  </si>
  <si>
    <t xml:space="preserve">CHEMIN DES LUZERNES</t>
  </si>
  <si>
    <t xml:space="preserve">Ecole élémentaire Louis Pasteur</t>
  </si>
  <si>
    <t xml:space="preserve">ECOLE ELEMENTAIRE BELLE ETOILE</t>
  </si>
  <si>
    <t xml:space="preserve">10 Rue du 11 Novembre</t>
  </si>
  <si>
    <t xml:space="preserve">ECOLE MATERNELLE BELLE ETOILE</t>
  </si>
  <si>
    <t xml:space="preserve">ECOLE MATERNELLE MAGENDIE</t>
  </si>
  <si>
    <t xml:space="preserve">ECOLE MATERNELLE L'ORANGERIE</t>
  </si>
  <si>
    <t xml:space="preserve">Impasse de l’Orangerie</t>
  </si>
  <si>
    <t xml:space="preserve">STADE EMILE LACOFFE</t>
  </si>
  <si>
    <t xml:space="preserve">CIRCUIT VRC</t>
  </si>
  <si>
    <t xml:space="preserve">Route de Garges</t>
  </si>
  <si>
    <t xml:space="preserve">L'ETANG DES PRES SOUS LA VILLE</t>
  </si>
  <si>
    <t xml:space="preserve">chemin etang de Près-sous-la-ville</t>
  </si>
  <si>
    <t xml:space="preserve">CENTRE SPORTIF NELSON MANDELA</t>
  </si>
  <si>
    <t xml:space="preserve">ALLEE BOSSUET</t>
  </si>
  <si>
    <t xml:space="preserve">CHEMIN DE LA CHANTEREINE</t>
  </si>
  <si>
    <t xml:space="preserve">SALLE DE GYMNASTIQUE</t>
  </si>
  <si>
    <t xml:space="preserve">AVENUE JOLIOT CURIE</t>
  </si>
  <si>
    <t xml:space="preserve">STADE EMILE ZOLA</t>
  </si>
  <si>
    <t xml:space="preserve">RUE EMILE ZOLA</t>
  </si>
  <si>
    <t xml:space="preserve">GYMNASE DES CHARDONNERETTES</t>
  </si>
  <si>
    <t xml:space="preserve">Place des 3 Noyers</t>
  </si>
  <si>
    <t xml:space="preserve">2 RUE JEAN JACQUES ROUSSEAU</t>
  </si>
  <si>
    <t xml:space="preserve">COLLEGE CHANTEREINE</t>
  </si>
  <si>
    <t xml:space="preserve">AVENUE DE CHANTEREINE</t>
  </si>
  <si>
    <t xml:space="preserve">SALLES POLYVALENTES</t>
  </si>
  <si>
    <t xml:space="preserve">61 RUE NORMANDE</t>
  </si>
  <si>
    <t xml:space="preserve">5  RUE DE LA FONTAINE</t>
  </si>
  <si>
    <t xml:space="preserve">COLLEGE DESCARTES</t>
  </si>
  <si>
    <t xml:space="preserve">4 AVENUE DESCARTES</t>
  </si>
  <si>
    <t xml:space="preserve">RESIDENCE "LES NOELS"</t>
  </si>
  <si>
    <t xml:space="preserve">AVENUE D'ALSACE</t>
  </si>
  <si>
    <t xml:space="preserve">38 RUE D'ANDILLY</t>
  </si>
  <si>
    <t xml:space="preserve">ECOLE ELEMENTAIRE EMILE ROUX 2</t>
  </si>
  <si>
    <t xml:space="preserve">4 Avenue du Général de Gaulle</t>
  </si>
  <si>
    <t xml:space="preserve">GYMNASE JEAN MERMOZ</t>
  </si>
  <si>
    <t xml:space="preserve">RUE JEAN MERMOZ</t>
  </si>
  <si>
    <t xml:space="preserve">PLATEAU DES SARMENTS</t>
  </si>
  <si>
    <t xml:space="preserve">RUE DE LA TREILLE</t>
  </si>
  <si>
    <t xml:space="preserve">MODULES SPORTIFS DES PINS</t>
  </si>
  <si>
    <t xml:space="preserve">Boulevard du 8 mai 1945</t>
  </si>
  <si>
    <t xml:space="preserve">ECOLE DE DANSE</t>
  </si>
  <si>
    <t xml:space="preserve">PLACE DU 8 MAI 45</t>
  </si>
  <si>
    <t xml:space="preserve">COMPLEXE SPORTIF GEORGES DELHALT</t>
  </si>
  <si>
    <t xml:space="preserve">CHEMIN DE SAINT DENIS</t>
  </si>
  <si>
    <t xml:space="preserve">STADE ERIC BOURBIER</t>
  </si>
  <si>
    <t xml:space="preserve">CHEMIN DU STADE ERIC BOURBIER</t>
  </si>
  <si>
    <t xml:space="preserve">JARDIN PUBLIC</t>
  </si>
  <si>
    <t xml:space="preserve">RUE HENRI IV</t>
  </si>
  <si>
    <t xml:space="preserve">RUE DE LA LIBERATION</t>
  </si>
  <si>
    <t xml:space="preserve">BOUCLE DE CYCLOTOURISME "VALLEE DE LA VIOSNE" (N°5 VARIANTE n°0)</t>
  </si>
  <si>
    <t xml:space="preserve">VALLÉE SAINT MARTIN</t>
  </si>
  <si>
    <t xml:space="preserve">RUE DE MEZIERES</t>
  </si>
  <si>
    <t xml:space="preserve">FOYER HONORE DAUMIER</t>
  </si>
  <si>
    <t xml:space="preserve">PLACE DAUMIER</t>
  </si>
  <si>
    <t xml:space="preserve">PISCINE D'AGGLOMERATION DE L'HAUTIL</t>
  </si>
  <si>
    <t xml:space="preserve">AVENUE DE LA PAIX</t>
  </si>
  <si>
    <t xml:space="preserve">TERRAINS DE SPORT DE L'ALLEE COUVERTE</t>
  </si>
  <si>
    <t xml:space="preserve">PLATEAU D'EPS DE LA SIAULE</t>
  </si>
  <si>
    <t xml:space="preserve">RUE DU CHARDON</t>
  </si>
  <si>
    <t xml:space="preserve">PLATEAU D'EPS DES SABLONS</t>
  </si>
  <si>
    <t xml:space="preserve">10-12 AVENUE JULES VALLES</t>
  </si>
  <si>
    <t xml:space="preserve">PISTE DE BICROSS</t>
  </si>
  <si>
    <t xml:space="preserve">TERRAIN DE FOOTBALL DE LA SIAULE</t>
  </si>
  <si>
    <t xml:space="preserve">TERRAINS MULTISPORTS DE PROXIMITE</t>
  </si>
  <si>
    <t xml:space="preserve">SENTE MAILLY</t>
  </si>
  <si>
    <t xml:space="preserve">CENTRE EQUESTRE LA CRINIERE</t>
  </si>
  <si>
    <t xml:space="preserve">FERME DE CHOISY AUX BOEUFS</t>
  </si>
  <si>
    <t xml:space="preserve">ECOLE JEAN PAUL RIOPELLE</t>
  </si>
  <si>
    <t xml:space="preserve">7 PLACE JEAN MOULIN</t>
  </si>
  <si>
    <t xml:space="preserve">8  RUE EUGENE LAIR</t>
  </si>
  <si>
    <t xml:space="preserve">Rue Blaise Pascal</t>
  </si>
  <si>
    <t xml:space="preserve">AIRE DE JEUX POUR ADOLESCENTS</t>
  </si>
  <si>
    <t xml:space="preserve">ECOLE DES HIRONDELLES</t>
  </si>
  <si>
    <t xml:space="preserve">8 Rue Saint-Germain</t>
  </si>
  <si>
    <t xml:space="preserve">BOUCLE DE RANDONNEE "LES HERBES DE CHAUDRY" (B3 PR3)</t>
  </si>
  <si>
    <t xml:space="preserve">route Vétheuil</t>
  </si>
  <si>
    <t xml:space="preserve">CARRIERE DES QUINZE ARPENTS</t>
  </si>
  <si>
    <t xml:space="preserve">CARRIERE DE VILLIERS-ADAM</t>
  </si>
  <si>
    <t xml:space="preserve">MILLE CLUB</t>
  </si>
  <si>
    <t xml:space="preserve">RUE HENRI CREPIN</t>
  </si>
  <si>
    <t xml:space="preserve">PARC DES SPORTS ET DES LOISIRS</t>
  </si>
  <si>
    <t xml:space="preserve">AVENUE CHAMP BACON</t>
  </si>
  <si>
    <t xml:space="preserve">GYMNASE EMILE ZOLA</t>
  </si>
  <si>
    <t xml:space="preserve">rue bourdelle</t>
  </si>
  <si>
    <t xml:space="preserve">MAISON DE QUARTIER BORIS VIAN</t>
  </si>
  <si>
    <t xml:space="preserve">4 RUE SCRIBE</t>
  </si>
  <si>
    <t xml:space="preserve">CITY STADE JULIEN BOURSIER</t>
  </si>
  <si>
    <t xml:space="preserve">rue Julien Boursier</t>
  </si>
  <si>
    <t xml:space="preserve">Avenue des Entrepreneurs 200</t>
  </si>
  <si>
    <t xml:space="preserve">ECOLE ET COLLEGE SAINT-DIDIER</t>
  </si>
  <si>
    <t xml:space="preserve">1 Rue Gambetta</t>
  </si>
  <si>
    <t xml:space="preserve">ECOLE MATERNELLE LES GALOPINS</t>
  </si>
  <si>
    <t xml:space="preserve">Boulevard Charles de Gaulle</t>
  </si>
  <si>
    <t xml:space="preserve">ECOLE FERDINAND BUISSON</t>
  </si>
  <si>
    <t xml:space="preserve">1 Rue Jean Bullant</t>
  </si>
  <si>
    <t xml:space="preserve">ECOLE MATERNELLE MICHEL MONTAIGNE</t>
  </si>
  <si>
    <t xml:space="preserve">Rue Bourdelle</t>
  </si>
  <si>
    <t xml:space="preserve">45 Rue de la République</t>
  </si>
  <si>
    <t xml:space="preserve">1 Rue Hampate Ba</t>
  </si>
  <si>
    <t xml:space="preserve">SALLE DE SAMBO</t>
  </si>
  <si>
    <t xml:space="preserve">19 ALLÉE DES NOISETIERS</t>
  </si>
  <si>
    <t xml:space="preserve">GOLF D'ABLEIGES</t>
  </si>
  <si>
    <t xml:space="preserve">Place de la Mairie</t>
  </si>
  <si>
    <t xml:space="preserve">RUE DU CHÂTEAU</t>
  </si>
  <si>
    <t xml:space="preserve">L'ILOT COMMUNAL</t>
  </si>
  <si>
    <t xml:space="preserve">37 GRANDE RUE</t>
  </si>
  <si>
    <t xml:space="preserve">AÉRODROME DE PONTOISE CORMEILLES</t>
  </si>
  <si>
    <t xml:space="preserve">AERODROME DE PONTOISE</t>
  </si>
  <si>
    <t xml:space="preserve">RACING KART CLUB</t>
  </si>
  <si>
    <t xml:space="preserve">AÉRODROME DE CERGY-PONTOISE</t>
  </si>
  <si>
    <t xml:space="preserve">LES BASSINS DES SOURCES</t>
  </si>
  <si>
    <t xml:space="preserve">ALLEE DU MOULIN</t>
  </si>
  <si>
    <t xml:space="preserve">RUE DE LA JEUNESSE</t>
  </si>
  <si>
    <t xml:space="preserve">LYCÉE PROFESSIONNEL DU VEXIN</t>
  </si>
  <si>
    <t xml:space="preserve">2 RUE JEAN HAMON</t>
  </si>
  <si>
    <t xml:space="preserve">COMPLEXE SPORTIF MUNICIPAL</t>
  </si>
  <si>
    <t xml:space="preserve">RUE DE LA FONTAINE D'ASCOT</t>
  </si>
  <si>
    <t xml:space="preserve">RUE DE L'AUBETTE</t>
  </si>
  <si>
    <t xml:space="preserve">60 RUE DE LA LIBERATION</t>
  </si>
  <si>
    <t xml:space="preserve">LE CLO VOIRIN</t>
  </si>
  <si>
    <t xml:space="preserve">ECOLE PRIMAIRE JEAN JAURES</t>
  </si>
  <si>
    <t xml:space="preserve">51 Rue Pierre et Marie Curie</t>
  </si>
  <si>
    <t xml:space="preserve">RUE DES MARAIS</t>
  </si>
  <si>
    <t xml:space="preserve">COLLEGE CLAUDE MONET</t>
  </si>
  <si>
    <t xml:space="preserve">2 mail stendhal</t>
  </si>
  <si>
    <t xml:space="preserve">CITY STADES HENRI WALLON</t>
  </si>
  <si>
    <t xml:space="preserve">TERRAIN DE PETANQUE DU PARC DES CERISIERS</t>
  </si>
  <si>
    <t xml:space="preserve">TSP MARTIN LUTHER KING</t>
  </si>
  <si>
    <t xml:space="preserve">BOULEVARD YOURI GAGARINE</t>
  </si>
  <si>
    <t xml:space="preserve">TSP ESPACE JOLIOT CURIE</t>
  </si>
  <si>
    <t xml:space="preserve">ALLEE DU DOCTEUR LAMAZE</t>
  </si>
  <si>
    <t xml:space="preserve">30 RUE JEAN JACQUES ROUSSEAU</t>
  </si>
  <si>
    <t xml:space="preserve">120 RUE DE ROCHEFORT</t>
  </si>
  <si>
    <t xml:space="preserve">ACADEMIE DE BILLARD</t>
  </si>
  <si>
    <t xml:space="preserve">26 BIS BOULEVARD DE LA RESISTANCE</t>
  </si>
  <si>
    <t xml:space="preserve">STADE DES CERISIERS</t>
  </si>
  <si>
    <t xml:space="preserve">7 RUE DE COURCON</t>
  </si>
  <si>
    <t xml:space="preserve">CENTRE SPORTIF DES CHATAIGNIERS</t>
  </si>
  <si>
    <t xml:space="preserve">2 RUE DE CHAMPAGNE</t>
  </si>
  <si>
    <t xml:space="preserve">GYMNASE PAUL VAILLANT COUTURIER 2</t>
  </si>
  <si>
    <t xml:space="preserve">RUE DE CALAIS</t>
  </si>
  <si>
    <t xml:space="preserve">COMPLEXE SPORTIF JEAN GUIMIER</t>
  </si>
  <si>
    <t xml:space="preserve">RUE JEAN DE LA FONTAINE</t>
  </si>
  <si>
    <t xml:space="preserve">Patinoire d'Argenteuil</t>
  </si>
  <si>
    <t xml:space="preserve">ALLEE DE LA GRIFFE D'ARGENT</t>
  </si>
  <si>
    <t xml:space="preserve">Patinoire</t>
  </si>
  <si>
    <t xml:space="preserve">ASSOCIATION SAINT GEORGES (SALLE DE SPORTS)</t>
  </si>
  <si>
    <t xml:space="preserve">18 RUE HENRI BARBUSSE</t>
  </si>
  <si>
    <t xml:space="preserve">LYCEE GEORGES BRAQUE</t>
  </si>
  <si>
    <t xml:space="preserve">21 RUE VICTOR PUISEUX</t>
  </si>
  <si>
    <t xml:space="preserve">COLLEGE JEAN JACQUES ROUSSEAU</t>
  </si>
  <si>
    <t xml:space="preserve">13 RUE JEAN JACQUES ROUSSEAU</t>
  </si>
  <si>
    <t xml:space="preserve">TERRAIN DE PETANQUE DU PARC DES CHAMPIOUX</t>
  </si>
  <si>
    <t xml:space="preserve">BOULEVARD DU GENERAL DELAMBRE</t>
  </si>
  <si>
    <t xml:space="preserve">64 RUE DU MOULIN SARRAZIN</t>
  </si>
  <si>
    <t xml:space="preserve">HOPITAL VICTOR DUPOUY</t>
  </si>
  <si>
    <t xml:space="preserve">69 RUE DU LIEUTENANT COLONEL PRUDHON</t>
  </si>
  <si>
    <t xml:space="preserve">COMITE D'ETABLISSEMENT DASSAULT</t>
  </si>
  <si>
    <t xml:space="preserve">7 RUE AUGUSTE DELAUNE</t>
  </si>
  <si>
    <t xml:space="preserve">COLLEGE LUCIE AUBRAC</t>
  </si>
  <si>
    <t xml:space="preserve">10 ALLEE ROMAIN ROLLAND</t>
  </si>
  <si>
    <t xml:space="preserve">HALLE DES SPORTS ROGER OUVRAR</t>
  </si>
  <si>
    <t xml:space="preserve">6 allee romain rolland</t>
  </si>
  <si>
    <t xml:space="preserve">GROUPE SCOLAIRE HANNED</t>
  </si>
  <si>
    <t xml:space="preserve">17 Rue de Montigny</t>
  </si>
  <si>
    <t xml:space="preserve">COSEC AUGUSTE DELAUNE</t>
  </si>
  <si>
    <t xml:space="preserve">CONSERVATOIRE</t>
  </si>
  <si>
    <t xml:space="preserve">15-17 RUE ROBERT SCHUMAN</t>
  </si>
  <si>
    <t xml:space="preserve">RUE JEAN ZAY</t>
  </si>
  <si>
    <t xml:space="preserve">AVENUE CHARLES VAILLANT</t>
  </si>
  <si>
    <t xml:space="preserve">ITEP et SESSAD PIERRE MALE</t>
  </si>
  <si>
    <t xml:space="preserve">7 Rond-point de la Victoire</t>
  </si>
  <si>
    <t xml:space="preserve">ECOLE MATERNELLE CLAUDE DEMANGE</t>
  </si>
  <si>
    <t xml:space="preserve">Place de la Libération</t>
  </si>
  <si>
    <t xml:space="preserve">ECOLE ELEMENTAIRE VICTOR HUGO</t>
  </si>
  <si>
    <t xml:space="preserve">chemin de la voirie</t>
  </si>
  <si>
    <t xml:space="preserve">PARCOURS SANTE</t>
  </si>
  <si>
    <t xml:space="preserve">LE PERRUCHET</t>
  </si>
  <si>
    <t xml:space="preserve">RUE DU PERRUCHET</t>
  </si>
  <si>
    <t xml:space="preserve">RUE EMILE BOISSEAU</t>
  </si>
  <si>
    <t xml:space="preserve">ECOLE JULES VERNE</t>
  </si>
  <si>
    <t xml:space="preserve">23 rue du four gaudon</t>
  </si>
  <si>
    <t xml:space="preserve">PARC LEMAIRE</t>
  </si>
  <si>
    <t xml:space="preserve">23 RUE DU FOUR GAUDON</t>
  </si>
  <si>
    <t xml:space="preserve">FORET D'ECOUEN</t>
  </si>
  <si>
    <t xml:space="preserve">RUE DE LA RESISTANCE</t>
  </si>
  <si>
    <t xml:space="preserve">SALLES DES ECURIES</t>
  </si>
  <si>
    <t xml:space="preserve">COUR DE LA MAIRIE - PLACE DE LA MAIRIE</t>
  </si>
  <si>
    <t xml:space="preserve">21 RUE DE FOUR GAUDON</t>
  </si>
  <si>
    <t xml:space="preserve">GYMNASE LEMAIRE</t>
  </si>
  <si>
    <t xml:space="preserve">23 RUE DU FOUR GOUDON</t>
  </si>
  <si>
    <t xml:space="preserve">RUE DU MARECHAL FOCH</t>
  </si>
  <si>
    <t xml:space="preserve">44 RUE FRANCIS DE PRESSENSE</t>
  </si>
  <si>
    <t xml:space="preserve">STADE A.DELAUNE</t>
  </si>
  <si>
    <t xml:space="preserve">42 RUE FRANCIS DE PRESSENSE</t>
  </si>
  <si>
    <t xml:space="preserve">MAISON NELSON MANDELA</t>
  </si>
  <si>
    <t xml:space="preserve">PARC SACCO ET VANZETTI</t>
  </si>
  <si>
    <t xml:space="preserve">RUE DE LA BERTHIE</t>
  </si>
  <si>
    <t xml:space="preserve">PLATEAU DE SPORTS VICTOR HUGO</t>
  </si>
  <si>
    <t xml:space="preserve">RUE DE L'AGRICULTURE</t>
  </si>
  <si>
    <t xml:space="preserve">CENTRE SOCIAL DU COLOMBIER</t>
  </si>
  <si>
    <t xml:space="preserve">ECOLE DE MUSIQUE ET DE DANSE</t>
  </si>
  <si>
    <t xml:space="preserve">26 RUE MAURICE BERTEAUX</t>
  </si>
  <si>
    <t xml:space="preserve">SALLE DE DANSE ROMAIN ROLLAND</t>
  </si>
  <si>
    <t xml:space="preserve">75 bis RUE EDOUARD VAILLANT</t>
  </si>
  <si>
    <t xml:space="preserve">COLLEGE GABRIEL PERI</t>
  </si>
  <si>
    <t xml:space="preserve">30 RUE PIERRE ALTMEYER</t>
  </si>
  <si>
    <t xml:space="preserve">Rue Emile Zola 31</t>
  </si>
  <si>
    <t xml:space="preserve">Lycée Paulette Nardal</t>
  </si>
  <si>
    <t xml:space="preserve">Rue Marcel Langlois</t>
  </si>
  <si>
    <t xml:space="preserve">ECOLE CHASLES LE ROUX</t>
  </si>
  <si>
    <t xml:space="preserve">2  RUE DE L'ECOLE</t>
  </si>
  <si>
    <t xml:space="preserve">TONIC GYM</t>
  </si>
  <si>
    <t xml:space="preserve">3 SENTE DES MURIERS</t>
  </si>
  <si>
    <t xml:space="preserve">STADE SALIF KEITA</t>
  </si>
  <si>
    <t xml:space="preserve">ZAC DES LINANDES</t>
  </si>
  <si>
    <t xml:space="preserve">PISCINE D'AGGLOMERATION DU PARVIS</t>
  </si>
  <si>
    <t xml:space="preserve">1 parvis de la prefecture</t>
  </si>
  <si>
    <t xml:space="preserve">Groupe scolaire LES ESSARTS</t>
  </si>
  <si>
    <t xml:space="preserve">AVENUE DES ESSARTS</t>
  </si>
  <si>
    <t xml:space="preserve">Groupe scolaire LE CHEMIN DUPUIS</t>
  </si>
  <si>
    <t xml:space="preserve">RUE DU CHEMIN DUPUIS</t>
  </si>
  <si>
    <t xml:space="preserve">Groupe scolaire LES TERRASSES</t>
  </si>
  <si>
    <t xml:space="preserve">IMPASSE DES TERRASSES</t>
  </si>
  <si>
    <t xml:space="preserve">Groupe scolaire LE TERROIR</t>
  </si>
  <si>
    <t xml:space="preserve">10 AVENUE DU TERROIR</t>
  </si>
  <si>
    <t xml:space="preserve">Groupe scolaire LA CHANTERELLE</t>
  </si>
  <si>
    <t xml:space="preserve">2 RUE DE LA CHANTERELLE</t>
  </si>
  <si>
    <t xml:space="preserve">Groupe scolaire LA BELLE ÉPINE</t>
  </si>
  <si>
    <t xml:space="preserve">6 AVENUE DU CENTAURE</t>
  </si>
  <si>
    <t xml:space="preserve">Groupe scolaire LE BONTEMPS</t>
  </si>
  <si>
    <t xml:space="preserve">ALLEE DES GRANDS CHAMPS</t>
  </si>
  <si>
    <t xml:space="preserve">Groupe scolaire LE HAZAY</t>
  </si>
  <si>
    <t xml:space="preserve">60 avenue de l'Orangerie</t>
  </si>
  <si>
    <t xml:space="preserve">GYMNASE DU 3EME MILLENAIRE</t>
  </si>
  <si>
    <t xml:space="preserve">2 Rue Michel Strogoff</t>
  </si>
  <si>
    <t xml:space="preserve">TERRAINS DE VOLLEY BALL</t>
  </si>
  <si>
    <t xml:space="preserve">RUE DU BRULAIN</t>
  </si>
  <si>
    <t xml:space="preserve">LES ETANGS DE CERGY-NEUVILLE</t>
  </si>
  <si>
    <t xml:space="preserve">rue des Etangs</t>
  </si>
  <si>
    <t xml:space="preserve">RUE ANDRE PARRAIN</t>
  </si>
  <si>
    <t xml:space="preserve">MAISON DE L’EDUCATION, DES LOISIRS ET DE LA CULTURE (MELC)</t>
  </si>
  <si>
    <t xml:space="preserve">64 BOULEVARD DES CHASSEURS</t>
  </si>
  <si>
    <t xml:space="preserve">STADE CHARLES VINCENT</t>
  </si>
  <si>
    <t xml:space="preserve">CHEMIN DES SABLONS</t>
  </si>
  <si>
    <t xml:space="preserve">LE MAUVERAND</t>
  </si>
  <si>
    <t xml:space="preserve">RUE EUGENE SEYEUSE</t>
  </si>
  <si>
    <t xml:space="preserve">LES HAGUES</t>
  </si>
  <si>
    <t xml:space="preserve">BOUCLE DE RANDONNEE "CIRCUIT DES 5 CHATEAUX" (B4 PR4)</t>
  </si>
  <si>
    <t xml:space="preserve">STADE</t>
  </si>
  <si>
    <t xml:space="preserve">ECOLE DE L'EPTE</t>
  </si>
  <si>
    <t xml:space="preserve">GOLF DE VILLARCEAUX</t>
  </si>
  <si>
    <t xml:space="preserve">CHÂTEAU DU COUVENT</t>
  </si>
  <si>
    <t xml:space="preserve">ASSOCIATION AERODROME DE MANTES CHERENCES</t>
  </si>
  <si>
    <t xml:space="preserve">SALLE ASSOCIATIVE</t>
  </si>
  <si>
    <t xml:space="preserve">1 RUE DANIEL RENAULT</t>
  </si>
  <si>
    <t xml:space="preserve">PONEY CLUB DE BOUFFEMONT</t>
  </si>
  <si>
    <t xml:space="preserve">CHEMIN DES MOUTONS</t>
  </si>
  <si>
    <t xml:space="preserve">PARC WINSTON CHURCHILL</t>
  </si>
  <si>
    <t xml:space="preserve">RUE CAUCHOIX</t>
  </si>
  <si>
    <t xml:space="preserve">COMPLEXE SPORTIF INTERCOMMUNAL DEUIL ENGHIEN</t>
  </si>
  <si>
    <t xml:space="preserve">6 RUE JEAN BOUIN</t>
  </si>
  <si>
    <t xml:space="preserve">RUE DU DOCTEUR SCHWEITZER</t>
  </si>
  <si>
    <t xml:space="preserve">ECOLE MATERNELLE HENRI HATREL</t>
  </si>
  <si>
    <t xml:space="preserve">76 Route de Saint-Denis</t>
  </si>
  <si>
    <t xml:space="preserve">ECOLE MATERNELLE LAC MARCHAIS</t>
  </si>
  <si>
    <t xml:space="preserve">19 Rue des Tilleuls</t>
  </si>
  <si>
    <t xml:space="preserve">39 Rue Antoine de Saint-Exupéry</t>
  </si>
  <si>
    <t xml:space="preserve">ECOLE ELEMENTAIRE PASTEUR 2</t>
  </si>
  <si>
    <t xml:space="preserve">ECOLE ELEMENTAIRE HENRI HATREL</t>
  </si>
  <si>
    <t xml:space="preserve">GYMNASE CHARLES DE GAULLE</t>
  </si>
  <si>
    <t xml:space="preserve">RUE ANDRE NOUET</t>
  </si>
  <si>
    <t xml:space="preserve">TENNIS DES BEURSILLONS</t>
  </si>
  <si>
    <t xml:space="preserve">CHEMIN DES BEURSILLONS</t>
  </si>
  <si>
    <t xml:space="preserve">CERCLE HIPPIQUE DE LA CROIX BLANCHE</t>
  </si>
  <si>
    <t xml:space="preserve">33 BIS ROUTE DE MONTMORENCY</t>
  </si>
  <si>
    <t xml:space="preserve">122 rue aristide briand</t>
  </si>
  <si>
    <t xml:space="preserve">GYMNASE DES GRANDS JARDINS</t>
  </si>
  <si>
    <t xml:space="preserve">RUE HENRI DOMONT</t>
  </si>
  <si>
    <t xml:space="preserve">COMPLEXE SPORTIF LE VIELLARD</t>
  </si>
  <si>
    <t xml:space="preserve">1 BIS RUE LE VIELLARD</t>
  </si>
  <si>
    <t xml:space="preserve">LYCEE GUSTAVE MONOD</t>
  </si>
  <si>
    <t xml:space="preserve">71 AVENUE DE CEINTURE</t>
  </si>
  <si>
    <t xml:space="preserve">ECOLE DES CYGNES</t>
  </si>
  <si>
    <t xml:space="preserve">19 Avenue Carlier</t>
  </si>
  <si>
    <t xml:space="preserve">ECOLE MATERNELLE MARIE-FRANCE CHABANEL</t>
  </si>
  <si>
    <t xml:space="preserve">6 Villa Malleville</t>
  </si>
  <si>
    <t xml:space="preserve">ECOLE ELEMENTAIRE ORMESSON 2</t>
  </si>
  <si>
    <t xml:space="preserve">COMPLEXE SPORTIF ET SCOLAIRE</t>
  </si>
  <si>
    <t xml:space="preserve">IMPASSE DES CLAQUETS</t>
  </si>
  <si>
    <t xml:space="preserve">Complexe sportif,Etablissement scolaire</t>
  </si>
  <si>
    <t xml:space="preserve">BOUCLES DE CYCLOTOURISME "D'AUVERS-SUR-OISE"</t>
  </si>
  <si>
    <t xml:space="preserve">GYMNASE CHARLES BOZON</t>
  </si>
  <si>
    <t xml:space="preserve">PARC DES SPORTS STEPHANE DIAGANA</t>
  </si>
  <si>
    <t xml:space="preserve">Rue roger tagliana</t>
  </si>
  <si>
    <t xml:space="preserve">GYMNASE FRANCOIS DAUBIGNY</t>
  </si>
  <si>
    <t xml:space="preserve">RUE PIERRE BEROGOVOY</t>
  </si>
  <si>
    <t xml:space="preserve">ECURIES MICHEL BOURGEOIS</t>
  </si>
  <si>
    <t xml:space="preserve">LES ECAILLERS LE HAUT DU VALHERMEIL</t>
  </si>
  <si>
    <t xml:space="preserve">SALLE POLYVALENTE "LES HIRONDELLES"</t>
  </si>
  <si>
    <t xml:space="preserve">RUE DE LA DIVISION LECLERC</t>
  </si>
  <si>
    <t xml:space="preserve">2  RUE LEONIDE BOURGES</t>
  </si>
  <si>
    <t xml:space="preserve">GROUPE SCOLAIRE RAOUL SALES</t>
  </si>
  <si>
    <t xml:space="preserve">6 RUE DE L'OISE</t>
  </si>
  <si>
    <t xml:space="preserve">VAL D'OISE AVIRON</t>
  </si>
  <si>
    <t xml:space="preserve">63 RUE DES ILES</t>
  </si>
  <si>
    <t xml:space="preserve">SALLE DES FÊTES GILBERT JOLY</t>
  </si>
  <si>
    <t xml:space="preserve">RUE CHARPENTIER</t>
  </si>
  <si>
    <t xml:space="preserve">CHEMIN D'UNE RUELLE A L'AUTRE</t>
  </si>
  <si>
    <t xml:space="preserve">46 GRANDE RUE</t>
  </si>
  <si>
    <t xml:space="preserve">CHEMIN DE LA CHAPELLE</t>
  </si>
  <si>
    <t xml:space="preserve">RUE DE LA SOURCE</t>
  </si>
  <si>
    <t xml:space="preserve">GOLF DE BELLEFONTAINE</t>
  </si>
  <si>
    <t xml:space="preserve">ROUTE PUISEUX</t>
  </si>
  <si>
    <t xml:space="preserve">PLACE SAINTE BEUVE</t>
  </si>
  <si>
    <t xml:space="preserve">RUE RICHAMBRE</t>
  </si>
  <si>
    <t xml:space="preserve">ELLIPSE FITNESS</t>
  </si>
  <si>
    <t xml:space="preserve">ROUTE NATIONALE  DE L'HOMME VERT</t>
  </si>
  <si>
    <t xml:space="preserve">1 Rue du Tertre</t>
  </si>
  <si>
    <t xml:space="preserve">CENTRE OMNISPORTS</t>
  </si>
  <si>
    <t xml:space="preserve">25 AVENUE CURNONSKY</t>
  </si>
  <si>
    <t xml:space="preserve">8 AVENUE DE L'EGALITE</t>
  </si>
  <si>
    <t xml:space="preserve">ALLEE PASCAL</t>
  </si>
  <si>
    <t xml:space="preserve">ECOLE PAUL BERT</t>
  </si>
  <si>
    <t xml:space="preserve">15 Avenue Paul Bert</t>
  </si>
  <si>
    <t xml:space="preserve">COMPLEXE SPORTIF DES MAUBUISSON</t>
  </si>
  <si>
    <t xml:space="preserve">AVENUE CHARLES DE GAULLE</t>
  </si>
  <si>
    <t xml:space="preserve">CENTRE DE LOISIRS</t>
  </si>
  <si>
    <t xml:space="preserve">RUE DE LA STATION</t>
  </si>
  <si>
    <t xml:space="preserve">L'ESPOIR - CENTRE EQUESTRE - PONEY CLUB DE BESSANCOURT</t>
  </si>
  <si>
    <t xml:space="preserve">64 RUE DE PIERRELAYE</t>
  </si>
  <si>
    <t xml:space="preserve">STADE MUNICIPAL GASTON FREMONT</t>
  </si>
  <si>
    <t xml:space="preserve">ROUTE STRATEGIQUE</t>
  </si>
  <si>
    <t xml:space="preserve">ESAT "LA MONTAGNE"</t>
  </si>
  <si>
    <t xml:space="preserve">AIRE DE LOISIRS</t>
  </si>
  <si>
    <t xml:space="preserve">SALLE DE BILLARD</t>
  </si>
  <si>
    <t xml:space="preserve">SALLE LA SAVOIE</t>
  </si>
  <si>
    <t xml:space="preserve">ROND POINT DU 8 MAI</t>
  </si>
  <si>
    <t xml:space="preserve">SALLE DE YOGA</t>
  </si>
  <si>
    <t xml:space="preserve">113 RUE DE LA REPUBLIQUE</t>
  </si>
  <si>
    <t xml:space="preserve">ECOLE PRIMAIRE JULES VERNE</t>
  </si>
  <si>
    <t xml:space="preserve">33 Rue Jules Verne</t>
  </si>
  <si>
    <t xml:space="preserve">PARC DES SPORTS DU LUAT</t>
  </si>
  <si>
    <t xml:space="preserve">24 Rue Flammarion</t>
  </si>
  <si>
    <t xml:space="preserve">COMPLEXE SPORTIF GEORGES HEBERT</t>
  </si>
  <si>
    <t xml:space="preserve">11 RUE ANDRE CHENIER</t>
  </si>
  <si>
    <t xml:space="preserve">CITYSTADE</t>
  </si>
  <si>
    <t xml:space="preserve">CHAUSSE JULES CESAR BOULEVARD DE LA REPUBLIQUE</t>
  </si>
  <si>
    <t xml:space="preserve">MAISON DES ASSOCIATIONS GEORGE V</t>
  </si>
  <si>
    <t xml:space="preserve">19 RUE GEORGE V</t>
  </si>
  <si>
    <t xml:space="preserve">MAISON DES ASSOCIATIONS PREFABRIQUE LEDOUX</t>
  </si>
  <si>
    <t xml:space="preserve">3 AVENUE SAINT LAMBERT</t>
  </si>
  <si>
    <t xml:space="preserve">SALLE DE LUTTE</t>
  </si>
  <si>
    <t xml:space="preserve">2 RUE CANU</t>
  </si>
  <si>
    <t xml:space="preserve">GYMNASE HENRI MICHEL</t>
  </si>
  <si>
    <t xml:space="preserve">9 AVENUE DE LA DIVISION LECLERC</t>
  </si>
  <si>
    <t xml:space="preserve">GYMNASE STEPHANE DIAGANA</t>
  </si>
  <si>
    <t xml:space="preserve">BOULEVARD LEON BLUM</t>
  </si>
  <si>
    <t xml:space="preserve">LES ECURIES DE BEAUMONT-SUR-OISE</t>
  </si>
  <si>
    <t xml:space="preserve">64 BIS BOULEVARD LEON BLUM</t>
  </si>
  <si>
    <t xml:space="preserve">RUE DE VERDUN</t>
  </si>
  <si>
    <t xml:space="preserve">BASE NAUTIQUE</t>
  </si>
  <si>
    <t xml:space="preserve">ECOLE DE DANSE LE TANGO NOIR</t>
  </si>
  <si>
    <t xml:space="preserve">83 RUE SAINT ROCH</t>
  </si>
  <si>
    <t xml:space="preserve">ECOLE MATERNELLE PAUL FORT</t>
  </si>
  <si>
    <t xml:space="preserve">1 Rue Eugène Guignet</t>
  </si>
  <si>
    <t xml:space="preserve">EREA FRANCOISE DOLTO</t>
  </si>
  <si>
    <t xml:space="preserve">106 Rue Alphonse et Louis Roussel</t>
  </si>
  <si>
    <t xml:space="preserve">GYMNASE DES QUINCELETTES</t>
  </si>
  <si>
    <t xml:space="preserve">CHEMIN DE LA CROIX DOREE</t>
  </si>
  <si>
    <t xml:space="preserve">RUE DE BEAUMONT</t>
  </si>
  <si>
    <t xml:space="preserve">CENTRE CULTUREL ET SPORTIF</t>
  </si>
  <si>
    <t xml:space="preserve">RUE DES CHANTEREINES</t>
  </si>
  <si>
    <t xml:space="preserve">CLUB MODELISME EPIAISIEN</t>
  </si>
  <si>
    <t xml:space="preserve">ROUTE DE LIVILLIERS</t>
  </si>
  <si>
    <t xml:space="preserve">2 RUE DU BOUT D'EN BAS</t>
  </si>
  <si>
    <t xml:space="preserve">RUE DE L'ANCIENNE GARE</t>
  </si>
  <si>
    <t xml:space="preserve">ALLEE SAINT DENIS</t>
  </si>
  <si>
    <t xml:space="preserve">CHEMIN DE LA ROCHEBAUDE</t>
  </si>
  <si>
    <t xml:space="preserve">ECURIE DU VAL FLEURIE</t>
  </si>
  <si>
    <t xml:space="preserve">30 ROUTE DE PARMAIN</t>
  </si>
  <si>
    <t xml:space="preserve">CIRCUIT DE RANDONNÉE "SENTIER DU PUITS FONDU" (A6)</t>
  </si>
  <si>
    <t xml:space="preserve">ECOLE PRIMAIRE JEAN DE SANTHEUIL</t>
  </si>
  <si>
    <t xml:space="preserve">Place a Partois</t>
  </si>
  <si>
    <t xml:space="preserve">FOYER POLYVALENT</t>
  </si>
  <si>
    <t xml:space="preserve">12 RUE DU SEVY</t>
  </si>
  <si>
    <t xml:space="preserve">ECOLE MATERNELLE FRANCOISE DOLTO</t>
  </si>
  <si>
    <t xml:space="preserve">Rue Achille Antheaume</t>
  </si>
  <si>
    <t xml:space="preserve">PISCINE D'AGGLOMERATION MURIEL HERMINE</t>
  </si>
  <si>
    <t xml:space="preserve">2 ALLEE JULES FERRY</t>
  </si>
  <si>
    <t xml:space="preserve">CENTRE SPORTIF PIERRE DE COUBERTIN</t>
  </si>
  <si>
    <t xml:space="preserve">PATINOIRE INTERCOMMUNALE</t>
  </si>
  <si>
    <t xml:space="preserve">TERRAIN DES PIEDS HUMIDES</t>
  </si>
  <si>
    <t xml:space="preserve">CHEMIN RURAL N°12 DIT DE BONNEUIL</t>
  </si>
  <si>
    <t xml:space="preserve">COLLEGE PAUL ELUARD</t>
  </si>
  <si>
    <t xml:space="preserve">11 RUE CLAUDE MONET</t>
  </si>
  <si>
    <t xml:space="preserve">RUE DE BELLEVUE / RUE DES DOUCETTES</t>
  </si>
  <si>
    <t xml:space="preserve">TERRAIN DE PROXIMITE (TIERS POT)</t>
  </si>
  <si>
    <t xml:space="preserve">GYMNASE VICTOR HUGO</t>
  </si>
  <si>
    <t xml:space="preserve">PLACE DE LA RESISTANCE</t>
  </si>
  <si>
    <t xml:space="preserve">COMPLEXE SPORTIF COGNEVAUT</t>
  </si>
  <si>
    <t xml:space="preserve">23 BIS RUE CLARET</t>
  </si>
  <si>
    <t xml:space="preserve">PLATEAU MULTISPORTS JEAN JAURES</t>
  </si>
  <si>
    <t xml:space="preserve">PLATEAU MULTISPORTS DE LA FONTAINE SAINT NICOLAS</t>
  </si>
  <si>
    <t xml:space="preserve">RUE DE LA FONTAINE SAINT NICOLAS</t>
  </si>
  <si>
    <t xml:space="preserve">GOLF DE LA GRANDE VALLEE</t>
  </si>
  <si>
    <t xml:space="preserve">AVENUE PIERRE SALVI</t>
  </si>
  <si>
    <t xml:space="preserve">COMPLEXE SPORTIF JESSE OWENS</t>
  </si>
  <si>
    <t xml:space="preserve">2 RUE NELSON MANDELA</t>
  </si>
  <si>
    <t xml:space="preserve">COLLEGE PHILIPPE AUGUSTE</t>
  </si>
  <si>
    <t xml:space="preserve">4 Rue de l’Eglantier</t>
  </si>
  <si>
    <t xml:space="preserve">ECOLE MATERNELLE RENE COTY</t>
  </si>
  <si>
    <t xml:space="preserve">Square de la Garenne</t>
  </si>
  <si>
    <t xml:space="preserve">ECOLE MATERNELLE ANNE SYLVESTRE</t>
  </si>
  <si>
    <t xml:space="preserve">1 Ruelle Braque</t>
  </si>
  <si>
    <t xml:space="preserve">36bis Avenue Léon Grandfils</t>
  </si>
  <si>
    <t xml:space="preserve">BOUCLES DE RANDONNEE DE GOUSSAINVILLE</t>
  </si>
  <si>
    <t xml:space="preserve">1 PLACE DE LA CHARMEUSE</t>
  </si>
  <si>
    <t xml:space="preserve">ESPACE PIERRE DE COUBERTIN</t>
  </si>
  <si>
    <t xml:space="preserve">AVENUE JACQUES ANQUETIL</t>
  </si>
  <si>
    <t xml:space="preserve">ESPACE ANDRE ROMANET</t>
  </si>
  <si>
    <t xml:space="preserve">11 AVENUE ALBERT SARRAUT</t>
  </si>
  <si>
    <t xml:space="preserve">PLATEAU YVONNE DE GAULLE</t>
  </si>
  <si>
    <t xml:space="preserve">PLACE SIDNEY BECHET</t>
  </si>
  <si>
    <t xml:space="preserve">SALLE DE GYMNASTIQUE DE L'ETOILE GOUSSAINVILLOISE</t>
  </si>
  <si>
    <t xml:space="preserve">18 RUE ETIENNE DOLET</t>
  </si>
  <si>
    <t xml:space="preserve">25 Rue Antoine Demusois</t>
  </si>
  <si>
    <t xml:space="preserve">Avenue de Chantilly</t>
  </si>
  <si>
    <t xml:space="preserve">GROUPE SCOLAIRE SAINT-EXUPERY</t>
  </si>
  <si>
    <t xml:space="preserve">Place de la Republique</t>
  </si>
  <si>
    <t xml:space="preserve">Rue Charles Baudelaire</t>
  </si>
  <si>
    <t xml:space="preserve">STADE SYLVAIN BARISEEL</t>
  </si>
  <si>
    <t xml:space="preserve">SKATE ROLLER PARC</t>
  </si>
  <si>
    <t xml:space="preserve">BALL TRAP DE L'AVENIR</t>
  </si>
  <si>
    <t xml:space="preserve">CHEMIN D'ORVILLE</t>
  </si>
  <si>
    <t xml:space="preserve">BOUCLE DE RANDONNEE "ROISSY PLAINE DE FRANCE" (PF5)</t>
  </si>
  <si>
    <t xml:space="preserve">COLLEGE - LYCEE SAINT MARTIN DE FRANCE</t>
  </si>
  <si>
    <t xml:space="preserve">1 avenue de verdun</t>
  </si>
  <si>
    <t xml:space="preserve">L'ESPRIT CLUB FITNESS</t>
  </si>
  <si>
    <t xml:space="preserve">17 RUE D'ANJOU</t>
  </si>
  <si>
    <t xml:space="preserve">STADE SEBASTIEN BRAEMS</t>
  </si>
  <si>
    <t xml:space="preserve">COLLEGE FRANCOISE DOLTO</t>
  </si>
  <si>
    <t xml:space="preserve">Rue Marcel Petit</t>
  </si>
  <si>
    <t xml:space="preserve">ECOLE MATERNELLE DU BOURG</t>
  </si>
  <si>
    <t xml:space="preserve">56 Rue Gabriel Péri</t>
  </si>
  <si>
    <t xml:space="preserve">ECOLE MATERNELLE LA GARENNE</t>
  </si>
  <si>
    <t xml:space="preserve">Rue de la Garenne</t>
  </si>
  <si>
    <t xml:space="preserve">CHEMIN DES NOYERS</t>
  </si>
  <si>
    <t xml:space="preserve">BOUCLES DE RANDONNEE "DE LUZARCHES"</t>
  </si>
  <si>
    <t xml:space="preserve">RUE DE LA POMMERAYE</t>
  </si>
  <si>
    <t xml:space="preserve">AVENUE DE LA LIBERATION</t>
  </si>
  <si>
    <t xml:space="preserve">GOLF HOTEL DE MONT GRIFFON</t>
  </si>
  <si>
    <t xml:space="preserve">RD 909</t>
  </si>
  <si>
    <t xml:space="preserve">SALLE GUERIN</t>
  </si>
  <si>
    <t xml:space="preserve">RUE DE LA MAIRE</t>
  </si>
  <si>
    <t xml:space="preserve">ECOLE PRIMAIRE LE CEDRE</t>
  </si>
  <si>
    <t xml:space="preserve">15 Rue des Pres</t>
  </si>
  <si>
    <t xml:space="preserve">Rue du Moulin</t>
  </si>
  <si>
    <t xml:space="preserve">BOUCLE DE RANDONNEE "LA FORET DE L'ISLE-ADAM" (IA1 PR14)</t>
  </si>
  <si>
    <t xml:space="preserve">CARREFOUR BOUCAULT</t>
  </si>
  <si>
    <t xml:space="preserve">16 RUE DE PONTOISE</t>
  </si>
  <si>
    <t xml:space="preserve">USMBM PETANQUE</t>
  </si>
  <si>
    <t xml:space="preserve">BOULODROME DU PARC DES SPORTS</t>
  </si>
  <si>
    <t xml:space="preserve">Chemin des Tilleuls</t>
  </si>
  <si>
    <t xml:space="preserve">GROUPE SCOLAIRE DU BOIS</t>
  </si>
  <si>
    <t xml:space="preserve">AVENUE ALBERT CAMUS</t>
  </si>
  <si>
    <t xml:space="preserve">GROUPE SCOLAIRE HENRI FILLETTE (HAUT)</t>
  </si>
  <si>
    <t xml:space="preserve">29 RUE DES ECOLES</t>
  </si>
  <si>
    <t xml:space="preserve">28 RUE DE L'ORMETTEAU</t>
  </si>
  <si>
    <t xml:space="preserve">RUE DES PINSONS</t>
  </si>
  <si>
    <t xml:space="preserve">PISCINE D'AGGLOMERATION DES EGUERETS</t>
  </si>
  <si>
    <t xml:space="preserve">48  ALLEE DES EGUERETS</t>
  </si>
  <si>
    <t xml:space="preserve">GYMNASE DES BRUZACQUES</t>
  </si>
  <si>
    <t xml:space="preserve">7 PLACE ICARE</t>
  </si>
  <si>
    <t xml:space="preserve">ALLEE DES EGUERETS</t>
  </si>
  <si>
    <t xml:space="preserve">TERRAIN DE SPORTS VALANCHARDS</t>
  </si>
  <si>
    <t xml:space="preserve">RUE DES VALANCHARDS</t>
  </si>
  <si>
    <t xml:space="preserve">COURTS DE TENNIS BETON</t>
  </si>
  <si>
    <t xml:space="preserve">TERRAIN DE SPORTS "LES SOLARIA"</t>
  </si>
  <si>
    <t xml:space="preserve">RUE DU FOUR A CHAUX</t>
  </si>
  <si>
    <t xml:space="preserve">BOULODROME DES COCHEVIS</t>
  </si>
  <si>
    <t xml:space="preserve">RUE DES COCHEVIS</t>
  </si>
  <si>
    <t xml:space="preserve">PLATEAU D'EPS DES BRUZACQUES</t>
  </si>
  <si>
    <t xml:space="preserve">PLACE ICARE</t>
  </si>
  <si>
    <t xml:space="preserve">GROUPE SCOLAIRE "DU TREMBLAYS"</t>
  </si>
  <si>
    <t xml:space="preserve">AVENUE DES TREMBLAYS</t>
  </si>
  <si>
    <t xml:space="preserve">BOULODROME DES MERISIERS</t>
  </si>
  <si>
    <t xml:space="preserve">PLACE DES MERISIERS</t>
  </si>
  <si>
    <t xml:space="preserve">GOLF D'ECANCOURT</t>
  </si>
  <si>
    <t xml:space="preserve">COUR DU MURIER</t>
  </si>
  <si>
    <t xml:space="preserve">STADE GEORGES GALLOIS</t>
  </si>
  <si>
    <t xml:space="preserve">ECOLE LES CORNOUILLERS</t>
  </si>
  <si>
    <t xml:space="preserve">Allee du Vexin</t>
  </si>
  <si>
    <t xml:space="preserve">5  RUE DU PAVILLON</t>
  </si>
  <si>
    <t xml:space="preserve">RUE EDOUARD BRANLY</t>
  </si>
  <si>
    <t xml:space="preserve">COMPLEXE MARCELLIN BERTHELOT</t>
  </si>
  <si>
    <t xml:space="preserve">9 RUE DE BERTHELOT, 27 RUE DE L'YSER</t>
  </si>
  <si>
    <t xml:space="preserve">COSEC - SALLE DE GYMNASTIQUE SPECIALISEE RAYMOND BLAISEL</t>
  </si>
  <si>
    <t xml:space="preserve">40 RUE DES ONZE ARPENTS</t>
  </si>
  <si>
    <t xml:space="preserve">GYMNASE DE L'EPINE GUYON</t>
  </si>
  <si>
    <t xml:space="preserve">GYMNASE JACKY FERAND</t>
  </si>
  <si>
    <t xml:space="preserve">RUE DE L'HOSTELLERIE</t>
  </si>
  <si>
    <t xml:space="preserve">STAND DE TIR RENE DENEUX</t>
  </si>
  <si>
    <t xml:space="preserve">CHEMIN DES REGARDS</t>
  </si>
  <si>
    <t xml:space="preserve">GYMNASE JULES FERRY</t>
  </si>
  <si>
    <t xml:space="preserve">STADE MUNICIPAL JEAN ROLLAND</t>
  </si>
  <si>
    <t xml:space="preserve">RUE DES POMMIERS SAULNIERS</t>
  </si>
  <si>
    <t xml:space="preserve">INSTITUTION JEANNE D'ARC</t>
  </si>
  <si>
    <t xml:space="preserve">2 bis BOULEVARD TOUSSAINT LUCAS</t>
  </si>
  <si>
    <t xml:space="preserve">CENTRE CULTUREL DE L'EPINE GUYON</t>
  </si>
  <si>
    <t xml:space="preserve">2 RUE DES HAYETTE</t>
  </si>
  <si>
    <t xml:space="preserve">ENERGIE FORME FRANCONVILLE</t>
  </si>
  <si>
    <t xml:space="preserve">2 rue André Citroën</t>
  </si>
  <si>
    <t xml:space="preserve">CENTRE EQUESTRE DE FRANCONVILLE</t>
  </si>
  <si>
    <t xml:space="preserve">1 CHEMIN D'ARGENTEUIL</t>
  </si>
  <si>
    <t xml:space="preserve">TERRAIN DE SPORTS FONTAINE BERTIN</t>
  </si>
  <si>
    <t xml:space="preserve">ALLEE DU LAVOIR</t>
  </si>
  <si>
    <t xml:space="preserve">AIR ET SOLEIL</t>
  </si>
  <si>
    <t xml:space="preserve">Sentier des bois des monts Frais</t>
  </si>
  <si>
    <t xml:space="preserve">COLLEGE JEAN-FRANCOIS CLERVOY</t>
  </si>
  <si>
    <t xml:space="preserve">8 AVENUE DES MARAIS</t>
  </si>
  <si>
    <t xml:space="preserve">GYMNASE CLOVIS LECLERC</t>
  </si>
  <si>
    <t xml:space="preserve">RUE DU COUDRAY</t>
  </si>
  <si>
    <t xml:space="preserve">2 RUE DU COUDRAY</t>
  </si>
  <si>
    <t xml:space="preserve">TERRAINS DE TENNIS</t>
  </si>
  <si>
    <t xml:space="preserve">21 BIS RUE DE L'YSLE</t>
  </si>
  <si>
    <t xml:space="preserve">BASE DE LOISIRS DE LA FRETTE-SUR-SEINE</t>
  </si>
  <si>
    <t xml:space="preserve">AVENUE DES LILAS</t>
  </si>
  <si>
    <t xml:space="preserve">BASE NAUTIQUE DE LA FRETTE SUR SEINE</t>
  </si>
  <si>
    <t xml:space="preserve">94 QUAI DE SEINE</t>
  </si>
  <si>
    <t xml:space="preserve">FITNESS STRORY</t>
  </si>
  <si>
    <t xml:space="preserve">11 RUE EDOUARD BRANLY</t>
  </si>
  <si>
    <t xml:space="preserve">GYMNASE DE LA GARE</t>
  </si>
  <si>
    <t xml:space="preserve">BOULEVARD OSCAR THEVENIN</t>
  </si>
  <si>
    <t xml:space="preserve">Collège Isabelle Autissier</t>
  </si>
  <si>
    <t xml:space="preserve">1 rue Jacques Tati</t>
  </si>
  <si>
    <t xml:space="preserve">ECOLE ELEMENTAIRE ANTOINE DE SAINT-EXUPERY</t>
  </si>
  <si>
    <t xml:space="preserve">ECOLE ELEMENTAIRE LOUIS PASTEUR</t>
  </si>
  <si>
    <t xml:space="preserve">Boulevard du 11 Novembre 1918</t>
  </si>
  <si>
    <t xml:space="preserve">6 Rue de Conflans</t>
  </si>
  <si>
    <t xml:space="preserve">COMPLEXE SPORTIF PIERRE CARLIER</t>
  </si>
  <si>
    <t xml:space="preserve">RUE PIERRE CARLIER</t>
  </si>
  <si>
    <t xml:space="preserve">RUE DE CONFLANS</t>
  </si>
  <si>
    <t xml:space="preserve">COLLEGE CAMILLE CLAUDEL</t>
  </si>
  <si>
    <t xml:space="preserve">RUE DE VERNEUIL</t>
  </si>
  <si>
    <t xml:space="preserve">PLATEAU CEZANNE</t>
  </si>
  <si>
    <t xml:space="preserve">RUE PAUL CEZANNE</t>
  </si>
  <si>
    <t xml:space="preserve">PISCINE INTERCOMMUNALE D'EZANVILLE</t>
  </si>
  <si>
    <t xml:space="preserve">2 RUE HENRI DUNANT</t>
  </si>
  <si>
    <t xml:space="preserve">ESPACE MULTISPORTS</t>
  </si>
  <si>
    <t xml:space="preserve">RUE PAUL FORT</t>
  </si>
  <si>
    <t xml:space="preserve">SALLE OMNISPORTS JACK PICHERY</t>
  </si>
  <si>
    <t xml:space="preserve">4 ALLEE DE LA POMMERAIE</t>
  </si>
  <si>
    <t xml:space="preserve">ALLEE DES POMMERAIES</t>
  </si>
  <si>
    <t xml:space="preserve">TENNIS CLUB DE GROSLAY</t>
  </si>
  <si>
    <t xml:space="preserve">3 CHEMIN DU CARREFOUR SAINT MARTIN</t>
  </si>
  <si>
    <t xml:space="preserve">PARC DE LA RENAUDIERE</t>
  </si>
  <si>
    <t xml:space="preserve">RUE D'EAUBONNE</t>
  </si>
  <si>
    <t xml:space="preserve">ECOLE SAINT-EXUPERY</t>
  </si>
  <si>
    <t xml:space="preserve">9 Rue Henri Coudert</t>
  </si>
  <si>
    <t xml:space="preserve">AÉROCLUB D'ENGHIEN MOISELLE</t>
  </si>
  <si>
    <t xml:space="preserve">RUE DU MOUTIERS</t>
  </si>
  <si>
    <t xml:space="preserve">GYMNASE UTRILLO</t>
  </si>
  <si>
    <t xml:space="preserve">20 RUE JULES FERRY</t>
  </si>
  <si>
    <t xml:space="preserve">RESIDENCE LA FONTAINE</t>
  </si>
  <si>
    <t xml:space="preserve">RUE RACINE</t>
  </si>
  <si>
    <t xml:space="preserve">COMPLEXE SPORTIF DES GALLERANDS</t>
  </si>
  <si>
    <t xml:space="preserve">RUE DES GALLERANDS</t>
  </si>
  <si>
    <t xml:space="preserve">MAISON DES LOISIRS ET DE LA CULTURE</t>
  </si>
  <si>
    <t xml:space="preserve">6 AVENUE DE DOMONT</t>
  </si>
  <si>
    <t xml:space="preserve">COLLEGE CHARLES LE BRUN</t>
  </si>
  <si>
    <t xml:space="preserve">3 Rue le Laboureur</t>
  </si>
  <si>
    <t xml:space="preserve">MINI STADIUM</t>
  </si>
  <si>
    <t xml:space="preserve">RUE DU BOURG</t>
  </si>
  <si>
    <t xml:space="preserve">ECOLE MATERNELLE ET ELEMENTAIRE</t>
  </si>
  <si>
    <t xml:space="preserve">29 Rue Robert Machy</t>
  </si>
  <si>
    <t xml:space="preserve">ASSOCIATION DES ARCHERS - BOIS DE MORVAL</t>
  </si>
  <si>
    <t xml:space="preserve">RUE DU LAVOIR</t>
  </si>
  <si>
    <t xml:space="preserve">ECOLE PRIMAIRE LES HAMEAUX</t>
  </si>
  <si>
    <t xml:space="preserve">28 Rue de la Mairie</t>
  </si>
  <si>
    <t xml:space="preserve">RUE DE LA COUTURE</t>
  </si>
  <si>
    <t xml:space="preserve">STADE JEAN MOULIN</t>
  </si>
  <si>
    <t xml:space="preserve">23 BOULEVARD GAMBETTA</t>
  </si>
  <si>
    <t xml:space="preserve">23 RUE DU BUISSON SAINT REMY</t>
  </si>
  <si>
    <t xml:space="preserve">COLLEGE LES HAUTIERS</t>
  </si>
  <si>
    <t xml:space="preserve">ECOLE DE MONTGEROULT-COURCELLES</t>
  </si>
  <si>
    <t xml:space="preserve">2 Rue Neuve</t>
  </si>
  <si>
    <t xml:space="preserve">RUE DU HEAULME</t>
  </si>
  <si>
    <t xml:space="preserve">BOUCLE DE RANDONNÉE "LE CAMP CESAR" (JC1)</t>
  </si>
  <si>
    <t xml:space="preserve">rue des petits sentiers</t>
  </si>
  <si>
    <t xml:space="preserve">POLE EQUESTRE DU LYS</t>
  </si>
  <si>
    <t xml:space="preserve">6 CHEMIN DE PREFONTAINE</t>
  </si>
  <si>
    <t xml:space="preserve">4 COURS DES ROSES</t>
  </si>
  <si>
    <t xml:space="preserve">RUE PHILIPPE CHEVALIER</t>
  </si>
  <si>
    <t xml:space="preserve">2 RUE MOLIERE</t>
  </si>
  <si>
    <t xml:space="preserve">BOUCLES DE RANDONNEE "DE MAGNY-EN-VEXIN"</t>
  </si>
  <si>
    <t xml:space="preserve">PLACE DE LA HALLE</t>
  </si>
  <si>
    <t xml:space="preserve">COLLEGE MARIE-THERESE</t>
  </si>
  <si>
    <t xml:space="preserve">5 Rue de Rouen</t>
  </si>
  <si>
    <t xml:space="preserve">CHEMIN DU CLOS BRETON</t>
  </si>
  <si>
    <t xml:space="preserve">27 RUE SAINT DENIS</t>
  </si>
  <si>
    <t xml:space="preserve">CLUB HIPPIQUE L'OREE DE LA FORET</t>
  </si>
  <si>
    <t xml:space="preserve">111 AVENUE DES BONSHOMMES</t>
  </si>
  <si>
    <t xml:space="preserve">ACADEMIE DANSE MODERNE JAZZ</t>
  </si>
  <si>
    <t xml:space="preserve">34 GRANDE RUE</t>
  </si>
  <si>
    <t xml:space="preserve">CERCLE YATCHING DE VOILE DE L'ISLE D'ADAM</t>
  </si>
  <si>
    <t xml:space="preserve">CHEMIN DES TROIS SOURCES</t>
  </si>
  <si>
    <t xml:space="preserve">ECOLE PRIMAIRE BALZAC</t>
  </si>
  <si>
    <t xml:space="preserve">Rue Jean Droit</t>
  </si>
  <si>
    <t xml:space="preserve">GYMNASE GEORGES BREITTMAYER</t>
  </si>
  <si>
    <t xml:space="preserve">PLACE DES CHENES</t>
  </si>
  <si>
    <t xml:space="preserve">RUE DU PORT</t>
  </si>
  <si>
    <t xml:space="preserve">TENNIS CLUB DE MERIEL</t>
  </si>
  <si>
    <t xml:space="preserve">COLLEGE CECILE SOREL</t>
  </si>
  <si>
    <t xml:space="preserve">ECOLE MATERNELLE DU BOIS DU VAL</t>
  </si>
  <si>
    <t xml:space="preserve">Rue des Ecoles</t>
  </si>
  <si>
    <t xml:space="preserve">ECOLE DE VAUX</t>
  </si>
  <si>
    <t xml:space="preserve">SPELEODROME</t>
  </si>
  <si>
    <t xml:space="preserve">14 avenue marcel perrin</t>
  </si>
  <si>
    <t xml:space="preserve">STREET PLACE</t>
  </si>
  <si>
    <t xml:space="preserve">ROUTE DE PONTOISE</t>
  </si>
  <si>
    <t xml:space="preserve">RUE DE NOINTEL</t>
  </si>
  <si>
    <t xml:space="preserve">SALLE ROBERT ALEZIER</t>
  </si>
  <si>
    <t xml:space="preserve">AVENUE DES GRANDS CHAMPS</t>
  </si>
  <si>
    <t xml:space="preserve">COMPLEXE SPORTIF COMMUNAL</t>
  </si>
  <si>
    <t xml:space="preserve">RUE DES FONTAINES</t>
  </si>
  <si>
    <t xml:space="preserve">BLOCK OUT</t>
  </si>
  <si>
    <t xml:space="preserve">9 CHAUSEE JULES CESAR</t>
  </si>
  <si>
    <t xml:space="preserve">GYMNASE LA RAVINIERE</t>
  </si>
  <si>
    <t xml:space="preserve">rue Jean Larosa</t>
  </si>
  <si>
    <t xml:space="preserve">PLAINE DES SPORTS</t>
  </si>
  <si>
    <t xml:space="preserve">CASERNE D'OSNY (SDIS 95)</t>
  </si>
  <si>
    <t xml:space="preserve">28 RUE DES BEAUX SOLEILS</t>
  </si>
  <si>
    <t xml:space="preserve">ECOLE ELEMENTAIRE LA RAVINIERE</t>
  </si>
  <si>
    <t xml:space="preserve">Rue de la Raviniere</t>
  </si>
  <si>
    <t xml:space="preserve">LYCEE JEAN PERRIN</t>
  </si>
  <si>
    <t xml:space="preserve">2 Rue des Egalisses</t>
  </si>
  <si>
    <t xml:space="preserve">Rue de la Croisette</t>
  </si>
  <si>
    <t xml:space="preserve">Terrain football La Belle Épine</t>
  </si>
  <si>
    <t xml:space="preserve">Avenue du Centaure</t>
  </si>
  <si>
    <t xml:space="preserve">Ranch Harmonie</t>
  </si>
  <si>
    <t xml:space="preserve">3 Chemin des Marais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</si>
</sst>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-#,##0;\-"/>
    <numFmt numFmtId="166" formatCode="0.0%;\-0.0%;\-"/>
    <numFmt numFmtId="167" formatCode="0.0;\-0.0;\-"/>
    <numFmt numFmtId="168" formatCode="\+0;\-0;0"/>
    <numFmt numFmtId="169" formatCode="\+0.0;\-0.0;&quot;0,0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Assos" displayName="T_Assos" ref="A4:M557" headerRowCount="1" totalsRowCount="0" totalsRowShown="0">
  <autoFilter ref="A4:M557"/>
  <tableColumns count="13">
    <tableColumn id="1" name="Association"/>
    <tableColumn id="2" name="Ville (source)"/>
    <tableColumn id="3" name="Code INSEE"/>
    <tableColumn id="4" name="Commune"/>
    <tableColumn id="5" name="Canton"/>
    <tableColumn id="6" name="EPCI"/>
    <tableColumn id="7" name="Adhérentes F"/>
    <tableColumn id="8" name="Adhérents H"/>
    <tableColumn id="9" name="Bénévoles F"/>
    <tableColumn id="10" name="Salariées F"/>
    <tableColumn id="11" name="Adhérent·es total"/>
    <tableColumn id="12" name="Part F"/>
    <tableColumn id="13" name="Profil de mixité"/>
  </tableColumns>
</table>
</file>

<file path=xl/tables/table2.xml><?xml version="1.0" encoding="utf-8"?>
<table xmlns="http://schemas.openxmlformats.org/spreadsheetml/2006/main" id="2" name="T_Cantons" displayName="T_Cantons" ref="A4:AV22" headerRowCount="1" totalsRowCount="0" totalsRowShown="0">
  <autoFilter ref="A4:AV22"/>
  <tableColumns count="48">
    <tableColumn id="1" name="Canton"/>
    <tableColumn id="2" name="Nb communes"/>
    <tableColumn id="3" name="Communes sans asso. civile aidée"/>
    <tableColumn id="4" name="Population"/>
    <tableColumn id="5" name="Asso. civiles 2025"/>
    <tableColumn id="6" name="Adhérentes F 2025"/>
    <tableColumn id="7" name="Adhérents H 2025"/>
    <tableColumn id="8" name="Bénévoles F 2025"/>
    <tableColumn id="9" name="Salariées F 2025"/>
    <tableColumn id="10" name="Asso. &lt;20 % F (2025)"/>
    <tableColumn id="11" name="Asso. ≥60 % F (2025)"/>
    <tableColumn id="12" name="Asso. civiles 2024"/>
    <tableColumn id="13" name="Adhérentes F 2024"/>
    <tableColumn id="14" name="Adhérents H 2024"/>
    <tableColumn id="15" name="Asso. scolaires 2025"/>
    <tableColumn id="16" name="Licencié·es scolaires 2025 (libellé F)"/>
    <tableColumn id="17" name="Sections scolaires 2025"/>
    <tableColumn id="18" name="Asso. civiles subventionnées 2025"/>
    <tableColumn id="19" name="Asso. scolaires subventionnées 2025"/>
    <tableColumn id="20" name="Lieux de pratique"/>
    <tableColumn id="21" name="dont établissements scolaires"/>
    <tableColumn id="22" name="dont piscines"/>
    <tableColumn id="23" name="Manifestations 2023"/>
    <tableColumn id="24" name="Manifestations 2024"/>
    <tableColumn id="25" name="Manifestations 2025"/>
    <tableColumn id="26" name="Sections sportives scolaires 2026-27"/>
    <tableColumn id="27" name="dont sections féminines"/>
    <tableColumn id="28" name="Asso. civiles 2019"/>
    <tableColumn id="29" name="Asso. civiles 2020"/>
    <tableColumn id="30" name="Asso. civiles 2021"/>
    <tableColumn id="31" name="Asso. civiles 2022"/>
    <tableColumn id="32" name="Asso. civiles 2023"/>
    <tableColumn id="33" name="Licencié·es / adhérent·es 2019"/>
    <tableColumn id="34" name="Licencié·es / adhérent·es 2020"/>
    <tableColumn id="35" name="Licencié·es / adhérent·es 2021"/>
    <tableColumn id="36" name="Licencié·es / adhérent·es 2022"/>
    <tableColumn id="37" name="Licencié·es / adhérent·es 2023"/>
    <tableColumn id="38" name="Licencié·es / adhérent·es 2024"/>
    <tableColumn id="39" name="Licencié·es / adhérent·es 2025"/>
    <tableColumn id="40" name="Adhérent·es total 2025"/>
    <tableColumn id="41" name="Part F 2025"/>
    <tableColumn id="42" name="Part F 2024"/>
    <tableColumn id="43" name="Évolution part F (points)"/>
    <tableColumn id="44" name="Adhérentes F pour 1 000 hab."/>
    <tableColumn id="45" name="Asso. civiles pour 10 000 hab."/>
    <tableColumn id="46" name="Lieux pour 10 000 hab."/>
    <tableColumn id="47" name="Bénévoles F pour 100 adhérentes"/>
    <tableColumn id="48" name="Fiabilité part F"/>
  </tableColumns>
</table>
</file>

<file path=xl/tables/table3.xml><?xml version="1.0" encoding="utf-8"?>
<table xmlns="http://schemas.openxmlformats.org/spreadsheetml/2006/main" id="3" name="T_Comites" displayName="T_Comites" ref="A4:N54" headerRowCount="1" totalsRowCount="0" totalsRowShown="0">
  <autoFilter ref="A4:N54"/>
  <tableColumns count="14">
    <tableColumn id="1" name="Comité"/>
    <tableColumn id="2" name="Licencié·es 2022/2023"/>
    <tableColumn id="3" name="Féminines 2022/2023"/>
    <tableColumn id="4" name="Part F 2022/2023"/>
    <tableColumn id="5" name="Licencié·es 2023/2024"/>
    <tableColumn id="6" name="Féminines 2023/2024"/>
    <tableColumn id="7" name="Part F 2023/2024"/>
    <tableColumn id="8" name="Licencié·es 2024/2025"/>
    <tableColumn id="9" name="Féminines 2024/2025"/>
    <tableColumn id="10" name="Part F 2024/2025"/>
    <tableColumn id="11" name="Licencié·es 2025/2026"/>
    <tableColumn id="12" name="Féminines 2025/2026"/>
    <tableColumn id="13" name="Part F 2025/2026"/>
    <tableColumn id="14" name="Actions pratique féminine (2025/26)"/>
  </tableColumns>
</table>
</file>

<file path=xl/tables/table4.xml><?xml version="1.0" encoding="utf-8"?>
<table xmlns="http://schemas.openxmlformats.org/spreadsheetml/2006/main" id="4" name="T_Communes" displayName="T_Communes" ref="A4:AY187" headerRowCount="1" totalsRowCount="0" totalsRowShown="0">
  <autoFilter ref="A4:AY187"/>
  <tableColumns count="51">
    <tableColumn id="1" name="Code INSEE"/>
    <tableColumn id="2" name="Commune"/>
    <tableColumn id="3" name="Canton"/>
    <tableColumn id="4" name="Source du canton"/>
    <tableColumn id="5" name="EPCI"/>
    <tableColumn id="6" name="Grille de densité INSEE"/>
    <tableColumn id="7" name="Population"/>
    <tableColumn id="8" name="Asso. civiles 2025"/>
    <tableColumn id="9" name="Adhérentes F 2025"/>
    <tableColumn id="10" name="Adhérents H 2025"/>
    <tableColumn id="11" name="Bénévoles F 2025"/>
    <tableColumn id="12" name="Salariées F 2025"/>
    <tableColumn id="13" name="Asso. &lt;20 % F (2025)"/>
    <tableColumn id="14" name="Asso. ≥60 % F (2025)"/>
    <tableColumn id="15" name="Asso. civiles 2024"/>
    <tableColumn id="16" name="Adhérentes F 2024"/>
    <tableColumn id="17" name="Adhérents H 2024"/>
    <tableColumn id="18" name="Asso. scolaires 2025"/>
    <tableColumn id="19" name="Licencié·es scolaires 2025 (libellé F)"/>
    <tableColumn id="20" name="Sections scolaires 2025"/>
    <tableColumn id="21" name="Asso. civiles subventionnées 2025"/>
    <tableColumn id="22" name="Asso. scolaires subventionnées 2025"/>
    <tableColumn id="23" name="Lieux de pratique"/>
    <tableColumn id="24" name="dont établissements scolaires"/>
    <tableColumn id="25" name="dont piscines"/>
    <tableColumn id="26" name="Manifestations 2023"/>
    <tableColumn id="27" name="Manifestations 2024"/>
    <tableColumn id="28" name="Manifestations 2025"/>
    <tableColumn id="29" name="Sections sportives scolaires 2026-27"/>
    <tableColumn id="30" name="dont sections féminines"/>
    <tableColumn id="31" name="Asso. civiles 2019"/>
    <tableColumn id="32" name="Asso. civiles 2020"/>
    <tableColumn id="33" name="Asso. civiles 2021"/>
    <tableColumn id="34" name="Asso. civiles 2022"/>
    <tableColumn id="35" name="Asso. civiles 2023"/>
    <tableColumn id="36" name="Licencié·es / adhérent·es 2019"/>
    <tableColumn id="37" name="Licencié·es / adhérent·es 2020"/>
    <tableColumn id="38" name="Licencié·es / adhérent·es 2021"/>
    <tableColumn id="39" name="Licencié·es / adhérent·es 2022"/>
    <tableColumn id="40" name="Licencié·es / adhérent·es 2023"/>
    <tableColumn id="41" name="Licencié·es / adhérent·es 2024"/>
    <tableColumn id="42" name="Licencié·es / adhérent·es 2025"/>
    <tableColumn id="43" name="Adhérent·es total 2025"/>
    <tableColumn id="44" name="Part F 2025"/>
    <tableColumn id="45" name="Part F 2024"/>
    <tableColumn id="46" name="Évolution part F (points)"/>
    <tableColumn id="47" name="Adhérentes F pour 1 000 hab."/>
    <tableColumn id="48" name="Asso. civiles pour 10 000 hab."/>
    <tableColumn id="49" name="Lieux pour 10 000 hab."/>
    <tableColumn id="50" name="Bénévoles F pour 100 adhérentes"/>
    <tableColumn id="51" name="Fiabilité part F"/>
  </tableColumns>
</table>
</file>

<file path=xl/tables/table5.xml><?xml version="1.0" encoding="utf-8"?>
<table xmlns="http://schemas.openxmlformats.org/spreadsheetml/2006/main" id="5" name="T_Disc5" displayName="T_Disc5" ref="A4:R59" headerRowCount="1" totalsRowCount="0" totalsRowShown="0">
  <autoFilter ref="A4:R59"/>
  <tableColumns count="18">
    <tableColumn id="1" name="Discipline"/>
    <tableColumn id="2" name="Licencié·es 2020/2021"/>
    <tableColumn id="3" name="Féminines 2020/2021"/>
    <tableColumn id="4" name="Part F 2020/2021"/>
    <tableColumn id="5" name="Licencié·es 2022/2023"/>
    <tableColumn id="6" name="Féminines 2022/2023"/>
    <tableColumn id="7" name="Part F 2022/2023"/>
    <tableColumn id="8" name="Licencié·es 2023/2024"/>
    <tableColumn id="9" name="Féminines 2023/2024"/>
    <tableColumn id="10" name="Part F 2023/2024"/>
    <tableColumn id="11" name="Licencié·es 2024/2025"/>
    <tableColumn id="12" name="Féminines 2024/2025"/>
    <tableColumn id="13" name="Part F 2024/2025"/>
    <tableColumn id="14" name="Licencié·es 2025/2026"/>
    <tableColumn id="15" name="Féminines 2025/2026"/>
    <tableColumn id="16" name="Part F 2025/2026"/>
    <tableColumn id="17" name="Écart 2020/21 → 2025/26 (points)"/>
    <tableColumn id="18" name="Présente les 5 saisons"/>
  </tableColumns>
</table>
</file>

<file path=xl/tables/table6.xml><?xml version="1.0" encoding="utf-8"?>
<table xmlns="http://schemas.openxmlformats.org/spreadsheetml/2006/main" id="6" name="T_EPCI" displayName="T_EPCI" ref="A4:AV16" headerRowCount="1" totalsRowCount="0" totalsRowShown="0">
  <autoFilter ref="A4:AV16"/>
  <tableColumns count="48">
    <tableColumn id="1" name="EPCI"/>
    <tableColumn id="2" name="Nb communes"/>
    <tableColumn id="3" name="Communes sans asso. civile aidée"/>
    <tableColumn id="4" name="Population"/>
    <tableColumn id="5" name="Asso. civiles 2025"/>
    <tableColumn id="6" name="Adhérentes F 2025"/>
    <tableColumn id="7" name="Adhérents H 2025"/>
    <tableColumn id="8" name="Bénévoles F 2025"/>
    <tableColumn id="9" name="Salariées F 2025"/>
    <tableColumn id="10" name="Asso. &lt;20 % F (2025)"/>
    <tableColumn id="11" name="Asso. ≥60 % F (2025)"/>
    <tableColumn id="12" name="Asso. civiles 2024"/>
    <tableColumn id="13" name="Adhérentes F 2024"/>
    <tableColumn id="14" name="Adhérents H 2024"/>
    <tableColumn id="15" name="Asso. scolaires 2025"/>
    <tableColumn id="16" name="Licencié·es scolaires 2025 (libellé F)"/>
    <tableColumn id="17" name="Sections scolaires 2025"/>
    <tableColumn id="18" name="Asso. civiles subventionnées 2025"/>
    <tableColumn id="19" name="Asso. scolaires subventionnées 2025"/>
    <tableColumn id="20" name="Lieux de pratique"/>
    <tableColumn id="21" name="dont établissements scolaires"/>
    <tableColumn id="22" name="dont piscines"/>
    <tableColumn id="23" name="Manifestations 2023"/>
    <tableColumn id="24" name="Manifestations 2024"/>
    <tableColumn id="25" name="Manifestations 2025"/>
    <tableColumn id="26" name="Sections sportives scolaires 2026-27"/>
    <tableColumn id="27" name="dont sections féminines"/>
    <tableColumn id="28" name="Asso. civiles 2019"/>
    <tableColumn id="29" name="Asso. civiles 2020"/>
    <tableColumn id="30" name="Asso. civiles 2021"/>
    <tableColumn id="31" name="Asso. civiles 2022"/>
    <tableColumn id="32" name="Asso. civiles 2023"/>
    <tableColumn id="33" name="Licencié·es / adhérent·es 2019"/>
    <tableColumn id="34" name="Licencié·es / adhérent·es 2020"/>
    <tableColumn id="35" name="Licencié·es / adhérent·es 2021"/>
    <tableColumn id="36" name="Licencié·es / adhérent·es 2022"/>
    <tableColumn id="37" name="Licencié·es / adhérent·es 2023"/>
    <tableColumn id="38" name="Licencié·es / adhérent·es 2024"/>
    <tableColumn id="39" name="Licencié·es / adhérent·es 2025"/>
    <tableColumn id="40" name="Adhérent·es total 2025"/>
    <tableColumn id="41" name="Part F 2025"/>
    <tableColumn id="42" name="Part F 2024"/>
    <tableColumn id="43" name="Évolution part F (points)"/>
    <tableColumn id="44" name="Adhérentes F pour 1 000 hab."/>
    <tableColumn id="45" name="Asso. civiles pour 10 000 hab."/>
    <tableColumn id="46" name="Lieux pour 10 000 hab."/>
    <tableColumn id="47" name="Bénévoles F pour 100 adhérentes"/>
    <tableColumn id="48" name="Fiabilité part F"/>
  </tableColumns>
</table>
</file>

<file path=xl/tables/table7.xml><?xml version="1.0" encoding="utf-8"?>
<table xmlns="http://schemas.openxmlformats.org/spreadsheetml/2006/main" id="7" name="T_Installations" displayName="T_Installations" ref="A4:I1547" headerRowCount="1" totalsRowCount="0" totalsRowShown="0">
  <autoFilter ref="A4:I1547"/>
  <tableColumns count="9">
    <tableColumn id="1" name="Nom"/>
    <tableColumn id="2" name="Adresse"/>
    <tableColumn id="3" name="Commune"/>
    <tableColumn id="4" name="Code INSEE"/>
    <tableColumn id="5" name="Canton"/>
    <tableColumn id="6" name="EPCI"/>
    <tableColumn id="7" name="Type particulier"/>
    <tableColumn id="8" name="installation Nombre (source, non documenté)"/>
    <tableColumn id="9" name="Grille de densité"/>
  </tableColumns>
</table>
</file>

<file path=xl/tables/table8.xml><?xml version="1.0" encoding="utf-8"?>
<table xmlns="http://schemas.openxmlformats.org/spreadsheetml/2006/main" id="8" name="T_SSS" displayName="T_SSS" ref="A4:I51" headerRowCount="1" totalsRowCount="0" totalsRowShown="0">
  <autoFilter ref="A4:I51"/>
  <tableColumns count="9">
    <tableColumn id="1" name="UAI"/>
    <tableColumn id="2" name="Type"/>
    <tableColumn id="3" name="Établissement"/>
    <tableColumn id="4" name="Ville (source)"/>
    <tableColumn id="5" name="Code INSEE"/>
    <tableColumn id="6" name="Commune"/>
    <tableColumn id="7" name="Canton"/>
    <tableColumn id="8" name="Section"/>
    <tableColumn id="9" name="Section féminin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5" t="s">
        <v>4</v>
      </c>
      <c r="B5" s="6" t="s">
        <v>5</v>
      </c>
    </row>
    <row r="6" customFormat="false" ht="23.8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</row>
    <row r="9" customFormat="false" ht="15" hidden="false" customHeight="false" outlineLevel="0" collapsed="false">
      <c r="A9" s="5" t="s">
        <v>12</v>
      </c>
      <c r="B9" s="6" t="s">
        <v>13</v>
      </c>
    </row>
    <row r="10" customFormat="false" ht="15" hidden="false" customHeight="false" outlineLevel="0" collapsed="false">
      <c r="A10" s="5" t="s">
        <v>14</v>
      </c>
      <c r="B10" s="6" t="s">
        <v>15</v>
      </c>
    </row>
    <row r="11" customFormat="false" ht="15" hidden="false" customHeight="false" outlineLevel="0" collapsed="false">
      <c r="A11" s="5" t="s">
        <v>16</v>
      </c>
      <c r="B11" s="6" t="s">
        <v>17</v>
      </c>
    </row>
    <row r="12" customFormat="false" ht="15" hidden="false" customHeight="false" outlineLevel="0" collapsed="false">
      <c r="A12" s="5" t="s">
        <v>18</v>
      </c>
      <c r="B12" s="6" t="s">
        <v>19</v>
      </c>
    </row>
    <row r="13" customFormat="false" ht="15" hidden="false" customHeight="false" outlineLevel="0" collapsed="false">
      <c r="A13" s="5" t="s">
        <v>20</v>
      </c>
      <c r="B13" s="6" t="s">
        <v>21</v>
      </c>
    </row>
    <row r="14" customFormat="false" ht="15" hidden="false" customHeight="false" outlineLevel="0" collapsed="false">
      <c r="A14" s="5"/>
      <c r="B14" s="6"/>
    </row>
    <row r="15" customFormat="false" ht="15" hidden="false" customHeight="false" outlineLevel="0" collapsed="false">
      <c r="A15" s="7" t="s">
        <v>22</v>
      </c>
      <c r="B15" s="6"/>
    </row>
    <row r="16" customFormat="false" ht="23.85" hidden="false" customHeight="false" outlineLevel="0" collapsed="false">
      <c r="A16" s="5" t="s">
        <v>23</v>
      </c>
      <c r="B16" s="6" t="s">
        <v>24</v>
      </c>
    </row>
    <row r="17" customFormat="false" ht="15" hidden="false" customHeight="false" outlineLevel="0" collapsed="false">
      <c r="A17" s="5" t="s">
        <v>25</v>
      </c>
      <c r="B17" s="6" t="s">
        <v>26</v>
      </c>
    </row>
    <row r="18" customFormat="false" ht="35.05" hidden="false" customHeight="false" outlineLevel="0" collapsed="false">
      <c r="A18" s="5" t="s">
        <v>27</v>
      </c>
      <c r="B18" s="6" t="s">
        <v>28</v>
      </c>
    </row>
    <row r="19" customFormat="false" ht="23.85" hidden="false" customHeight="false" outlineLevel="0" collapsed="false">
      <c r="A19" s="5" t="s">
        <v>29</v>
      </c>
      <c r="B19" s="6" t="s">
        <v>30</v>
      </c>
    </row>
    <row r="20" customFormat="false" ht="23.85" hidden="false" customHeight="false" outlineLevel="0" collapsed="false">
      <c r="A20" s="5" t="s">
        <v>31</v>
      </c>
      <c r="B20" s="6" t="s">
        <v>32</v>
      </c>
    </row>
    <row r="21" customFormat="false" ht="23.85" hidden="false" customHeight="false" outlineLevel="0" collapsed="false">
      <c r="A21" s="5" t="s">
        <v>6</v>
      </c>
      <c r="B21" s="6" t="s">
        <v>33</v>
      </c>
    </row>
    <row r="22" customFormat="false" ht="15" hidden="false" customHeight="false" outlineLevel="0" collapsed="false">
      <c r="A22" s="5" t="s">
        <v>34</v>
      </c>
      <c r="B22" s="6" t="s">
        <v>35</v>
      </c>
    </row>
    <row r="23" customFormat="false" ht="23.85" hidden="false" customHeight="false" outlineLevel="0" collapsed="false">
      <c r="A23" s="5" t="s">
        <v>36</v>
      </c>
      <c r="B23" s="6" t="s">
        <v>37</v>
      </c>
    </row>
    <row r="24" customFormat="false" ht="15" hidden="false" customHeight="false" outlineLevel="0" collapsed="false">
      <c r="A24" s="5" t="s">
        <v>38</v>
      </c>
      <c r="B24" s="6" t="s">
        <v>39</v>
      </c>
    </row>
    <row r="25" customFormat="false" ht="15" hidden="false" customHeight="false" outlineLevel="0" collapsed="false">
      <c r="A25" s="5" t="s">
        <v>20</v>
      </c>
      <c r="B25" s="6" t="s">
        <v>40</v>
      </c>
    </row>
    <row r="26" customFormat="false" ht="23.85" hidden="false" customHeight="false" outlineLevel="0" collapsed="false">
      <c r="A26" s="5" t="s">
        <v>41</v>
      </c>
      <c r="B26" s="6" t="s">
        <v>42</v>
      </c>
    </row>
    <row r="28" customFormat="false" ht="15" hidden="false" customHeight="false" outlineLevel="0" collapsed="false">
      <c r="A28" s="5" t="s">
        <v>43</v>
      </c>
      <c r="B28" s="6"/>
    </row>
    <row r="29" customFormat="false" ht="23.85" hidden="false" customHeight="false" outlineLevel="0" collapsed="false">
      <c r="A29" s="5" t="s">
        <v>44</v>
      </c>
      <c r="B29" s="6" t="s">
        <v>45</v>
      </c>
    </row>
    <row r="30" customFormat="false" ht="23.85" hidden="false" customHeight="false" outlineLevel="0" collapsed="false">
      <c r="A30" s="5" t="s">
        <v>46</v>
      </c>
      <c r="B30" s="6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51" min="7" style="0" width="11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42" hidden="false" customHeight="true" outlineLevel="0" collapsed="false">
      <c r="A4" s="8" t="s">
        <v>50</v>
      </c>
      <c r="B4" s="8" t="s">
        <v>51</v>
      </c>
      <c r="C4" s="8" t="s">
        <v>52</v>
      </c>
      <c r="D4" s="8" t="s">
        <v>53</v>
      </c>
      <c r="E4" s="8" t="s">
        <v>8</v>
      </c>
      <c r="F4" s="8" t="s">
        <v>54</v>
      </c>
      <c r="G4" s="8" t="s">
        <v>34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8" t="s">
        <v>60</v>
      </c>
      <c r="N4" s="8" t="s">
        <v>61</v>
      </c>
      <c r="O4" s="8" t="s">
        <v>62</v>
      </c>
      <c r="P4" s="8" t="s">
        <v>63</v>
      </c>
      <c r="Q4" s="8" t="s">
        <v>64</v>
      </c>
      <c r="R4" s="8" t="s">
        <v>65</v>
      </c>
      <c r="S4" s="8" t="s">
        <v>66</v>
      </c>
      <c r="T4" s="8" t="s">
        <v>67</v>
      </c>
      <c r="U4" s="8" t="s">
        <v>68</v>
      </c>
      <c r="V4" s="8" t="s">
        <v>69</v>
      </c>
      <c r="W4" s="8" t="s">
        <v>70</v>
      </c>
      <c r="X4" s="8" t="s">
        <v>71</v>
      </c>
      <c r="Y4" s="8" t="s">
        <v>72</v>
      </c>
      <c r="Z4" s="8" t="s">
        <v>73</v>
      </c>
      <c r="AA4" s="8" t="s">
        <v>74</v>
      </c>
      <c r="AB4" s="8" t="s">
        <v>75</v>
      </c>
      <c r="AC4" s="8" t="s">
        <v>76</v>
      </c>
      <c r="AD4" s="8" t="s">
        <v>77</v>
      </c>
      <c r="AE4" s="8" t="s">
        <v>78</v>
      </c>
      <c r="AF4" s="8" t="s">
        <v>79</v>
      </c>
      <c r="AG4" s="8" t="s">
        <v>80</v>
      </c>
      <c r="AH4" s="8" t="s">
        <v>81</v>
      </c>
      <c r="AI4" s="8" t="s">
        <v>82</v>
      </c>
      <c r="AJ4" s="8" t="s">
        <v>83</v>
      </c>
      <c r="AK4" s="8" t="s">
        <v>84</v>
      </c>
      <c r="AL4" s="8" t="s">
        <v>85</v>
      </c>
      <c r="AM4" s="8" t="s">
        <v>86</v>
      </c>
      <c r="AN4" s="8" t="s">
        <v>87</v>
      </c>
      <c r="AO4" s="8" t="s">
        <v>88</v>
      </c>
      <c r="AP4" s="8" t="s">
        <v>89</v>
      </c>
      <c r="AQ4" s="8" t="s">
        <v>90</v>
      </c>
      <c r="AR4" s="8" t="s">
        <v>25</v>
      </c>
      <c r="AS4" s="8" t="s">
        <v>91</v>
      </c>
      <c r="AT4" s="8" t="s">
        <v>92</v>
      </c>
      <c r="AU4" s="8" t="s">
        <v>93</v>
      </c>
      <c r="AV4" s="8" t="s">
        <v>94</v>
      </c>
      <c r="AW4" s="8" t="s">
        <v>95</v>
      </c>
      <c r="AX4" s="8" t="s">
        <v>96</v>
      </c>
      <c r="AY4" s="8" t="s">
        <v>97</v>
      </c>
    </row>
    <row r="5" customFormat="false" ht="15" hidden="false" customHeight="false" outlineLevel="0" collapsed="false">
      <c r="A5" s="9" t="s">
        <v>98</v>
      </c>
      <c r="B5" s="9" t="s">
        <v>99</v>
      </c>
      <c r="C5" s="9" t="s">
        <v>100</v>
      </c>
      <c r="D5" s="9" t="s">
        <v>101</v>
      </c>
      <c r="E5" s="9" t="s">
        <v>102</v>
      </c>
      <c r="F5" s="9" t="s">
        <v>103</v>
      </c>
      <c r="G5" s="10" t="n">
        <v>1108</v>
      </c>
      <c r="H5" s="10" t="n">
        <v>1</v>
      </c>
      <c r="I5" s="10" t="n">
        <v>38</v>
      </c>
      <c r="J5" s="10" t="n">
        <v>185</v>
      </c>
      <c r="K5" s="10" t="n">
        <v>7</v>
      </c>
      <c r="L5" s="10" t="n">
        <v>0</v>
      </c>
      <c r="M5" s="10" t="n">
        <v>1</v>
      </c>
      <c r="N5" s="10" t="n">
        <v>0</v>
      </c>
      <c r="O5" s="10" t="n">
        <v>1</v>
      </c>
      <c r="P5" s="10" t="n">
        <v>43</v>
      </c>
      <c r="Q5" s="10" t="n">
        <v>141</v>
      </c>
      <c r="R5" s="10" t="n">
        <v>0</v>
      </c>
      <c r="S5" s="10" t="n">
        <v>0</v>
      </c>
      <c r="T5" s="10" t="n">
        <v>0</v>
      </c>
      <c r="U5" s="10" t="n">
        <v>1</v>
      </c>
      <c r="V5" s="10" t="n">
        <v>0</v>
      </c>
      <c r="W5" s="10" t="n">
        <v>5</v>
      </c>
      <c r="X5" s="10" t="n">
        <v>2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2</v>
      </c>
      <c r="AF5" s="10" t="n">
        <v>2</v>
      </c>
      <c r="AG5" s="10" t="n">
        <v>2</v>
      </c>
      <c r="AH5" s="10" t="n">
        <v>2</v>
      </c>
      <c r="AI5" s="10" t="n">
        <v>2</v>
      </c>
      <c r="AJ5" s="10" t="n">
        <v>453</v>
      </c>
      <c r="AK5" s="10" t="n">
        <v>434</v>
      </c>
      <c r="AL5" s="10" t="n">
        <v>316</v>
      </c>
      <c r="AM5" s="10" t="n">
        <v>156</v>
      </c>
      <c r="AN5" s="10" t="n">
        <v>198</v>
      </c>
      <c r="AO5" s="10" t="n">
        <v>184</v>
      </c>
      <c r="AP5" s="10" t="n">
        <v>223</v>
      </c>
      <c r="AQ5" s="10" t="n">
        <f aca="false">I5+J5</f>
        <v>223</v>
      </c>
      <c r="AR5" s="11" t="n">
        <f aca="false">IF(AQ5&gt;0,I5/AQ5,"")</f>
        <v>0.170403587443946</v>
      </c>
      <c r="AS5" s="11" t="n">
        <f aca="false">IF((P5+Q5)&gt;0,P5/(P5+Q5),"")</f>
        <v>0.233695652173913</v>
      </c>
      <c r="AT5" s="12" t="n">
        <f aca="false">IF(AND(ISNUMBER(AR5),ISNUMBER(AS5)),(AR5-AS5)*100,"")</f>
        <v>-6.32920647299669</v>
      </c>
      <c r="AU5" s="12" t="n">
        <f aca="false">IF(G5&gt;0,I5/G5*1000,"")</f>
        <v>34.2960288808664</v>
      </c>
      <c r="AV5" s="12" t="n">
        <f aca="false">IF(G5&gt;0,H5/G5*10000,"")</f>
        <v>9.02527075812274</v>
      </c>
      <c r="AW5" s="12" t="n">
        <f aca="false">IF(G5&gt;0,W5/G5*10000,"")</f>
        <v>45.1263537906137</v>
      </c>
      <c r="AX5" s="12" t="n">
        <f aca="false">IF(I5&gt;0,K5/I5*100,"")</f>
        <v>18.4210526315789</v>
      </c>
      <c r="AY5" s="9" t="str">
        <f aca="false">IF(AQ5&gt;=100,"ok",IF(AQ5&gt;0,"effectif faible (&lt;100)","aucune association"))</f>
        <v>ok</v>
      </c>
    </row>
    <row r="6" customFormat="false" ht="15" hidden="false" customHeight="false" outlineLevel="0" collapsed="false">
      <c r="A6" s="9" t="s">
        <v>104</v>
      </c>
      <c r="B6" s="9" t="s">
        <v>105</v>
      </c>
      <c r="C6" s="9" t="s">
        <v>106</v>
      </c>
      <c r="D6" s="9" t="s">
        <v>107</v>
      </c>
      <c r="E6" s="9" t="s">
        <v>108</v>
      </c>
      <c r="F6" s="9" t="s">
        <v>103</v>
      </c>
      <c r="G6" s="10" t="n">
        <v>854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3</v>
      </c>
      <c r="X6" s="10" t="n">
        <v>1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f aca="false">I6+J6</f>
        <v>0</v>
      </c>
      <c r="AR6" s="11" t="str">
        <f aca="false">IF(AQ6&gt;0,I6/AQ6,"")</f>
        <v/>
      </c>
      <c r="AS6" s="11" t="str">
        <f aca="false">IF((P6+Q6)&gt;0,P6/(P6+Q6),"")</f>
        <v/>
      </c>
      <c r="AT6" s="12" t="str">
        <f aca="false">IF(AND(ISNUMBER(AR6),ISNUMBER(AS6)),(AR6-AS6)*100,"")</f>
        <v/>
      </c>
      <c r="AU6" s="12" t="n">
        <f aca="false">IF(G6&gt;0,I6/G6*1000,"")</f>
        <v>0</v>
      </c>
      <c r="AV6" s="12" t="n">
        <f aca="false">IF(G6&gt;0,H6/G6*10000,"")</f>
        <v>0</v>
      </c>
      <c r="AW6" s="12" t="n">
        <f aca="false">IF(G6&gt;0,W6/G6*10000,"")</f>
        <v>35.1288056206089</v>
      </c>
      <c r="AX6" s="12" t="str">
        <f aca="false">IF(I6&gt;0,K6/I6*100,"")</f>
        <v/>
      </c>
      <c r="AY6" s="9" t="str">
        <f aca="false">IF(AQ6&gt;=100,"ok",IF(AQ6&gt;0,"effectif faible (&lt;100)","aucune association"))</f>
        <v>aucune association</v>
      </c>
    </row>
    <row r="7" customFormat="false" ht="15" hidden="false" customHeight="false" outlineLevel="0" collapsed="false">
      <c r="A7" s="9" t="s">
        <v>109</v>
      </c>
      <c r="B7" s="9" t="s">
        <v>110</v>
      </c>
      <c r="C7" s="9" t="s">
        <v>106</v>
      </c>
      <c r="D7" s="9" t="s">
        <v>107</v>
      </c>
      <c r="E7" s="9" t="s">
        <v>108</v>
      </c>
      <c r="F7" s="9"/>
      <c r="G7" s="10" t="n">
        <v>388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f aca="false">I7+J7</f>
        <v>0</v>
      </c>
      <c r="AR7" s="11" t="str">
        <f aca="false">IF(AQ7&gt;0,I7/AQ7,"")</f>
        <v/>
      </c>
      <c r="AS7" s="11" t="str">
        <f aca="false">IF((P7+Q7)&gt;0,P7/(P7+Q7),"")</f>
        <v/>
      </c>
      <c r="AT7" s="12" t="str">
        <f aca="false">IF(AND(ISNUMBER(AR7),ISNUMBER(AS7)),(AR7-AS7)*100,"")</f>
        <v/>
      </c>
      <c r="AU7" s="12" t="n">
        <f aca="false">IF(G7&gt;0,I7/G7*1000,"")</f>
        <v>0</v>
      </c>
      <c r="AV7" s="12" t="n">
        <f aca="false">IF(G7&gt;0,H7/G7*10000,"")</f>
        <v>0</v>
      </c>
      <c r="AW7" s="12" t="n">
        <f aca="false">IF(G7&gt;0,W7/G7*10000,"")</f>
        <v>0</v>
      </c>
      <c r="AX7" s="12" t="str">
        <f aca="false">IF(I7&gt;0,K7/I7*100,"")</f>
        <v/>
      </c>
      <c r="AY7" s="9" t="str">
        <f aca="false">IF(AQ7&gt;=100,"ok",IF(AQ7&gt;0,"effectif faible (&lt;100)","aucune association"))</f>
        <v>aucune association</v>
      </c>
    </row>
    <row r="8" customFormat="false" ht="15" hidden="false" customHeight="false" outlineLevel="0" collapsed="false">
      <c r="A8" s="9" t="s">
        <v>111</v>
      </c>
      <c r="B8" s="9" t="s">
        <v>112</v>
      </c>
      <c r="C8" s="9" t="s">
        <v>106</v>
      </c>
      <c r="D8" s="9" t="s">
        <v>107</v>
      </c>
      <c r="E8" s="9" t="s">
        <v>108</v>
      </c>
      <c r="F8" s="9" t="s">
        <v>103</v>
      </c>
      <c r="G8" s="10" t="n">
        <v>212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1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f aca="false">I8+J8</f>
        <v>0</v>
      </c>
      <c r="AR8" s="11" t="str">
        <f aca="false">IF(AQ8&gt;0,I8/AQ8,"")</f>
        <v/>
      </c>
      <c r="AS8" s="11" t="str">
        <f aca="false">IF((P8+Q8)&gt;0,P8/(P8+Q8),"")</f>
        <v/>
      </c>
      <c r="AT8" s="12" t="str">
        <f aca="false">IF(AND(ISNUMBER(AR8),ISNUMBER(AS8)),(AR8-AS8)*100,"")</f>
        <v/>
      </c>
      <c r="AU8" s="12" t="n">
        <f aca="false">IF(G8&gt;0,I8/G8*1000,"")</f>
        <v>0</v>
      </c>
      <c r="AV8" s="12" t="n">
        <f aca="false">IF(G8&gt;0,H8/G8*10000,"")</f>
        <v>0</v>
      </c>
      <c r="AW8" s="12" t="n">
        <f aca="false">IF(G8&gt;0,W8/G8*10000,"")</f>
        <v>47.1698113207547</v>
      </c>
      <c r="AX8" s="12" t="str">
        <f aca="false">IF(I8&gt;0,K8/I8*100,"")</f>
        <v/>
      </c>
      <c r="AY8" s="9" t="str">
        <f aca="false">IF(AQ8&gt;=100,"ok",IF(AQ8&gt;0,"effectif faible (&lt;100)","aucune association"))</f>
        <v>aucune association</v>
      </c>
    </row>
    <row r="9" customFormat="false" ht="15" hidden="false" customHeight="false" outlineLevel="0" collapsed="false">
      <c r="A9" s="9" t="s">
        <v>113</v>
      </c>
      <c r="B9" s="9" t="s">
        <v>114</v>
      </c>
      <c r="C9" s="9" t="s">
        <v>115</v>
      </c>
      <c r="D9" s="9" t="s">
        <v>107</v>
      </c>
      <c r="E9" s="9" t="s">
        <v>116</v>
      </c>
      <c r="F9" s="9" t="s">
        <v>117</v>
      </c>
      <c r="G9" s="10" t="n">
        <v>2742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6</v>
      </c>
      <c r="X9" s="10" t="n">
        <v>1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f aca="false">I9+J9</f>
        <v>0</v>
      </c>
      <c r="AR9" s="11" t="str">
        <f aca="false">IF(AQ9&gt;0,I9/AQ9,"")</f>
        <v/>
      </c>
      <c r="AS9" s="11" t="str">
        <f aca="false">IF((P9+Q9)&gt;0,P9/(P9+Q9),"")</f>
        <v/>
      </c>
      <c r="AT9" s="12" t="str">
        <f aca="false">IF(AND(ISNUMBER(AR9),ISNUMBER(AS9)),(AR9-AS9)*100,"")</f>
        <v/>
      </c>
      <c r="AU9" s="12" t="n">
        <f aca="false">IF(G9&gt;0,I9/G9*1000,"")</f>
        <v>0</v>
      </c>
      <c r="AV9" s="12" t="n">
        <f aca="false">IF(G9&gt;0,H9/G9*10000,"")</f>
        <v>0</v>
      </c>
      <c r="AW9" s="12" t="n">
        <f aca="false">IF(G9&gt;0,W9/G9*10000,"")</f>
        <v>21.8818380743983</v>
      </c>
      <c r="AX9" s="12" t="str">
        <f aca="false">IF(I9&gt;0,K9/I9*100,"")</f>
        <v/>
      </c>
      <c r="AY9" s="9" t="str">
        <f aca="false">IF(AQ9&gt;=100,"ok",IF(AQ9&gt;0,"effectif faible (&lt;100)","aucune association"))</f>
        <v>aucune association</v>
      </c>
    </row>
    <row r="10" customFormat="false" ht="15" hidden="false" customHeight="false" outlineLevel="0" collapsed="false">
      <c r="A10" s="9" t="s">
        <v>118</v>
      </c>
      <c r="B10" s="9" t="s">
        <v>119</v>
      </c>
      <c r="C10" s="9" t="s">
        <v>120</v>
      </c>
      <c r="D10" s="9" t="s">
        <v>101</v>
      </c>
      <c r="E10" s="9" t="s">
        <v>121</v>
      </c>
      <c r="F10" s="9" t="s">
        <v>117</v>
      </c>
      <c r="G10" s="10" t="n">
        <v>106130</v>
      </c>
      <c r="H10" s="10" t="n">
        <v>24</v>
      </c>
      <c r="I10" s="10" t="n">
        <v>3364</v>
      </c>
      <c r="J10" s="10" t="n">
        <v>5334</v>
      </c>
      <c r="K10" s="10" t="n">
        <v>679</v>
      </c>
      <c r="L10" s="10" t="n">
        <v>68</v>
      </c>
      <c r="M10" s="10" t="n">
        <v>6</v>
      </c>
      <c r="N10" s="10" t="n">
        <v>3</v>
      </c>
      <c r="O10" s="10" t="n">
        <v>22</v>
      </c>
      <c r="P10" s="10" t="n">
        <v>3398</v>
      </c>
      <c r="Q10" s="10" t="n">
        <v>3688</v>
      </c>
      <c r="R10" s="10" t="n">
        <v>6</v>
      </c>
      <c r="S10" s="10" t="n">
        <v>683</v>
      </c>
      <c r="T10" s="10" t="n">
        <v>26</v>
      </c>
      <c r="U10" s="10" t="n">
        <v>24</v>
      </c>
      <c r="V10" s="10" t="n">
        <v>6</v>
      </c>
      <c r="W10" s="10" t="n">
        <v>68</v>
      </c>
      <c r="X10" s="10" t="n">
        <v>14</v>
      </c>
      <c r="Y10" s="10" t="n">
        <v>1</v>
      </c>
      <c r="Z10" s="10" t="n">
        <v>2</v>
      </c>
      <c r="AA10" s="10" t="n">
        <v>2</v>
      </c>
      <c r="AB10" s="10" t="n">
        <v>0</v>
      </c>
      <c r="AC10" s="10" t="n">
        <v>4</v>
      </c>
      <c r="AD10" s="10" t="n">
        <v>0</v>
      </c>
      <c r="AE10" s="10" t="n">
        <v>21</v>
      </c>
      <c r="AF10" s="10" t="n">
        <v>26</v>
      </c>
      <c r="AG10" s="10" t="n">
        <v>25</v>
      </c>
      <c r="AH10" s="10" t="n">
        <v>25</v>
      </c>
      <c r="AI10" s="10" t="n">
        <v>23</v>
      </c>
      <c r="AJ10" s="10" t="n">
        <v>7854</v>
      </c>
      <c r="AK10" s="10" t="n">
        <v>8955</v>
      </c>
      <c r="AL10" s="10" t="n">
        <v>8268</v>
      </c>
      <c r="AM10" s="10" t="n">
        <v>6751</v>
      </c>
      <c r="AN10" s="10" t="n">
        <v>6733</v>
      </c>
      <c r="AO10" s="10" t="n">
        <v>7086</v>
      </c>
      <c r="AP10" s="10" t="n">
        <v>8698</v>
      </c>
      <c r="AQ10" s="10" t="n">
        <f aca="false">I10+J10</f>
        <v>8698</v>
      </c>
      <c r="AR10" s="11" t="n">
        <f aca="false">IF(AQ10&gt;0,I10/AQ10,"")</f>
        <v>0.386755575994482</v>
      </c>
      <c r="AS10" s="11" t="n">
        <f aca="false">IF((P10+Q10)&gt;0,P10/(P10+Q10),"")</f>
        <v>0.479537115438894</v>
      </c>
      <c r="AT10" s="12" t="n">
        <f aca="false">IF(AND(ISNUMBER(AR10),ISNUMBER(AS10)),(AR10-AS10)*100,"")</f>
        <v>-9.27815394444121</v>
      </c>
      <c r="AU10" s="12" t="n">
        <f aca="false">IF(G10&gt;0,I10/G10*1000,"")</f>
        <v>31.6969754075191</v>
      </c>
      <c r="AV10" s="12" t="n">
        <f aca="false">IF(G10&gt;0,H10/G10*10000,"")</f>
        <v>2.26137755582776</v>
      </c>
      <c r="AW10" s="12" t="n">
        <f aca="false">IF(G10&gt;0,W10/G10*10000,"")</f>
        <v>6.40723640817865</v>
      </c>
      <c r="AX10" s="12" t="n">
        <f aca="false">IF(I10&gt;0,K10/I10*100,"")</f>
        <v>20.1843043995244</v>
      </c>
      <c r="AY10" s="9" t="str">
        <f aca="false">IF(AQ10&gt;=100,"ok",IF(AQ10&gt;0,"effectif faible (&lt;100)","aucune association"))</f>
        <v>ok</v>
      </c>
    </row>
    <row r="11" customFormat="false" ht="15" hidden="false" customHeight="false" outlineLevel="0" collapsed="false">
      <c r="A11" s="9" t="s">
        <v>122</v>
      </c>
      <c r="B11" s="9" t="s">
        <v>123</v>
      </c>
      <c r="C11" s="9" t="s">
        <v>124</v>
      </c>
      <c r="D11" s="9" t="s">
        <v>101</v>
      </c>
      <c r="E11" s="9" t="s">
        <v>125</v>
      </c>
      <c r="F11" s="9" t="s">
        <v>117</v>
      </c>
      <c r="G11" s="10" t="n">
        <v>15023</v>
      </c>
      <c r="H11" s="10" t="n">
        <v>3</v>
      </c>
      <c r="I11" s="10" t="n">
        <v>137</v>
      </c>
      <c r="J11" s="10" t="n">
        <v>211</v>
      </c>
      <c r="K11" s="10" t="n">
        <v>77</v>
      </c>
      <c r="L11" s="10" t="n">
        <v>3</v>
      </c>
      <c r="M11" s="10" t="n">
        <v>0</v>
      </c>
      <c r="N11" s="10" t="n">
        <v>1</v>
      </c>
      <c r="O11" s="10" t="n">
        <v>3</v>
      </c>
      <c r="P11" s="10" t="n">
        <v>166</v>
      </c>
      <c r="Q11" s="10" t="n">
        <v>116</v>
      </c>
      <c r="R11" s="10" t="n">
        <v>1</v>
      </c>
      <c r="S11" s="10" t="n">
        <v>110</v>
      </c>
      <c r="T11" s="10" t="n">
        <v>3</v>
      </c>
      <c r="U11" s="10" t="n">
        <v>3</v>
      </c>
      <c r="V11" s="10" t="n">
        <v>1</v>
      </c>
      <c r="W11" s="10" t="n">
        <v>17</v>
      </c>
      <c r="X11" s="10" t="n">
        <v>10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5</v>
      </c>
      <c r="AF11" s="10" t="n">
        <v>5</v>
      </c>
      <c r="AG11" s="10" t="n">
        <v>4</v>
      </c>
      <c r="AH11" s="10" t="n">
        <v>3</v>
      </c>
      <c r="AI11" s="10" t="n">
        <v>3</v>
      </c>
      <c r="AJ11" s="10" t="n">
        <v>331</v>
      </c>
      <c r="AK11" s="10" t="n">
        <v>403</v>
      </c>
      <c r="AL11" s="10" t="n">
        <v>407</v>
      </c>
      <c r="AM11" s="10" t="n">
        <v>194</v>
      </c>
      <c r="AN11" s="10" t="n">
        <v>208</v>
      </c>
      <c r="AO11" s="10" t="n">
        <v>282</v>
      </c>
      <c r="AP11" s="10" t="n">
        <v>348</v>
      </c>
      <c r="AQ11" s="10" t="n">
        <f aca="false">I11+J11</f>
        <v>348</v>
      </c>
      <c r="AR11" s="11" t="n">
        <f aca="false">IF(AQ11&gt;0,I11/AQ11,"")</f>
        <v>0.39367816091954</v>
      </c>
      <c r="AS11" s="11" t="n">
        <f aca="false">IF((P11+Q11)&gt;0,P11/(P11+Q11),"")</f>
        <v>0.588652482269504</v>
      </c>
      <c r="AT11" s="12" t="n">
        <f aca="false">IF(AND(ISNUMBER(AR11),ISNUMBER(AS11)),(AR11-AS11)*100,"")</f>
        <v>-19.4974321349963</v>
      </c>
      <c r="AU11" s="12" t="n">
        <f aca="false">IF(G11&gt;0,I11/G11*1000,"")</f>
        <v>9.11935032949478</v>
      </c>
      <c r="AV11" s="12" t="n">
        <f aca="false">IF(G11&gt;0,H11/G11*10000,"")</f>
        <v>1.99693802835652</v>
      </c>
      <c r="AW11" s="12" t="n">
        <f aca="false">IF(G11&gt;0,W11/G11*10000,"")</f>
        <v>11.3159821606869</v>
      </c>
      <c r="AX11" s="12" t="n">
        <f aca="false">IF(I11&gt;0,K11/I11*100,"")</f>
        <v>56.2043795620438</v>
      </c>
      <c r="AY11" s="9" t="str">
        <f aca="false">IF(AQ11&gt;=100,"ok",IF(AQ11&gt;0,"effectif faible (&lt;100)","aucune association"))</f>
        <v>ok</v>
      </c>
    </row>
    <row r="12" customFormat="false" ht="15" hidden="false" customHeight="false" outlineLevel="0" collapsed="false">
      <c r="A12" s="9" t="s">
        <v>126</v>
      </c>
      <c r="B12" s="9" t="s">
        <v>127</v>
      </c>
      <c r="C12" s="9" t="s">
        <v>100</v>
      </c>
      <c r="D12" s="9" t="s">
        <v>101</v>
      </c>
      <c r="E12" s="9" t="s">
        <v>128</v>
      </c>
      <c r="F12" s="9" t="s">
        <v>103</v>
      </c>
      <c r="G12" s="10" t="n">
        <v>618</v>
      </c>
      <c r="H12" s="10" t="n">
        <v>1</v>
      </c>
      <c r="I12" s="10" t="n">
        <v>5</v>
      </c>
      <c r="J12" s="10" t="n">
        <v>9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1</v>
      </c>
      <c r="P12" s="10" t="n">
        <v>6</v>
      </c>
      <c r="Q12" s="10" t="n">
        <v>11</v>
      </c>
      <c r="R12" s="10" t="n">
        <v>0</v>
      </c>
      <c r="S12" s="10" t="n">
        <v>0</v>
      </c>
      <c r="T12" s="10" t="n">
        <v>0</v>
      </c>
      <c r="U12" s="10" t="n">
        <v>1</v>
      </c>
      <c r="V12" s="10" t="n">
        <v>0</v>
      </c>
      <c r="W12" s="10" t="n">
        <v>1</v>
      </c>
      <c r="X12" s="10" t="n">
        <v>1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1</v>
      </c>
      <c r="AF12" s="10" t="n">
        <v>1</v>
      </c>
      <c r="AG12" s="10" t="n">
        <v>1</v>
      </c>
      <c r="AH12" s="10" t="n">
        <v>1</v>
      </c>
      <c r="AI12" s="10" t="n">
        <v>1</v>
      </c>
      <c r="AJ12" s="10" t="n">
        <v>11</v>
      </c>
      <c r="AK12" s="10" t="n">
        <v>14</v>
      </c>
      <c r="AL12" s="10" t="n">
        <v>15</v>
      </c>
      <c r="AM12" s="10" t="n">
        <v>13</v>
      </c>
      <c r="AN12" s="10" t="n">
        <v>15</v>
      </c>
      <c r="AO12" s="10" t="n">
        <v>17</v>
      </c>
      <c r="AP12" s="10" t="n">
        <v>14</v>
      </c>
      <c r="AQ12" s="10" t="n">
        <f aca="false">I12+J12</f>
        <v>14</v>
      </c>
      <c r="AR12" s="11" t="n">
        <f aca="false">IF(AQ12&gt;0,I12/AQ12,"")</f>
        <v>0.357142857142857</v>
      </c>
      <c r="AS12" s="11" t="n">
        <f aca="false">IF((P12+Q12)&gt;0,P12/(P12+Q12),"")</f>
        <v>0.352941176470588</v>
      </c>
      <c r="AT12" s="12" t="n">
        <f aca="false">IF(AND(ISNUMBER(AR12),ISNUMBER(AS12)),(AR12-AS12)*100,"")</f>
        <v>0.420168067226889</v>
      </c>
      <c r="AU12" s="12" t="n">
        <f aca="false">IF(G12&gt;0,I12/G12*1000,"")</f>
        <v>8.09061488673139</v>
      </c>
      <c r="AV12" s="12" t="n">
        <f aca="false">IF(G12&gt;0,H12/G12*10000,"")</f>
        <v>16.1812297734628</v>
      </c>
      <c r="AW12" s="12" t="n">
        <f aca="false">IF(G12&gt;0,W12/G12*10000,"")</f>
        <v>16.1812297734628</v>
      </c>
      <c r="AX12" s="12" t="n">
        <f aca="false">IF(I12&gt;0,K12/I12*100,"")</f>
        <v>0</v>
      </c>
      <c r="AY12" s="9" t="str">
        <f aca="false">IF(AQ12&gt;=100,"ok",IF(AQ12&gt;0,"effectif faible (&lt;100)","aucune association"))</f>
        <v>effectif faible (&lt;100)</v>
      </c>
    </row>
    <row r="13" customFormat="false" ht="15" hidden="false" customHeight="false" outlineLevel="0" collapsed="false">
      <c r="A13" s="9" t="s">
        <v>129</v>
      </c>
      <c r="B13" s="9" t="s">
        <v>130</v>
      </c>
      <c r="C13" s="9" t="s">
        <v>106</v>
      </c>
      <c r="D13" s="9" t="s">
        <v>101</v>
      </c>
      <c r="E13" s="9" t="s">
        <v>108</v>
      </c>
      <c r="F13" s="9" t="s">
        <v>103</v>
      </c>
      <c r="G13" s="10" t="n">
        <v>265</v>
      </c>
      <c r="H13" s="10" t="n">
        <v>1</v>
      </c>
      <c r="I13" s="10" t="n">
        <v>30</v>
      </c>
      <c r="J13" s="10" t="n">
        <v>23</v>
      </c>
      <c r="K13" s="10" t="n">
        <v>8</v>
      </c>
      <c r="L13" s="10" t="n">
        <v>1</v>
      </c>
      <c r="M13" s="10" t="n">
        <v>0</v>
      </c>
      <c r="N13" s="10" t="n">
        <v>0</v>
      </c>
      <c r="O13" s="10" t="n">
        <v>1</v>
      </c>
      <c r="P13" s="10" t="n">
        <v>20</v>
      </c>
      <c r="Q13" s="10" t="n">
        <v>22</v>
      </c>
      <c r="R13" s="10" t="n">
        <v>0</v>
      </c>
      <c r="S13" s="10" t="n">
        <v>0</v>
      </c>
      <c r="T13" s="10" t="n">
        <v>0</v>
      </c>
      <c r="U13" s="10" t="n">
        <v>1</v>
      </c>
      <c r="V13" s="10" t="n">
        <v>0</v>
      </c>
      <c r="W13" s="10" t="n">
        <v>4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1</v>
      </c>
      <c r="AF13" s="10" t="n">
        <v>1</v>
      </c>
      <c r="AG13" s="10" t="n">
        <v>1</v>
      </c>
      <c r="AH13" s="10" t="n">
        <v>1</v>
      </c>
      <c r="AI13" s="10" t="n">
        <v>1</v>
      </c>
      <c r="AJ13" s="10" t="n">
        <v>72</v>
      </c>
      <c r="AK13" s="10" t="n">
        <v>60</v>
      </c>
      <c r="AL13" s="10" t="n">
        <v>70</v>
      </c>
      <c r="AM13" s="10" t="n">
        <v>66</v>
      </c>
      <c r="AN13" s="10" t="n">
        <v>61</v>
      </c>
      <c r="AO13" s="10" t="n">
        <v>42</v>
      </c>
      <c r="AP13" s="10" t="n">
        <v>53</v>
      </c>
      <c r="AQ13" s="10" t="n">
        <f aca="false">I13+J13</f>
        <v>53</v>
      </c>
      <c r="AR13" s="11" t="n">
        <f aca="false">IF(AQ13&gt;0,I13/AQ13,"")</f>
        <v>0.566037735849057</v>
      </c>
      <c r="AS13" s="11" t="n">
        <f aca="false">IF((P13+Q13)&gt;0,P13/(P13+Q13),"")</f>
        <v>0.476190476190476</v>
      </c>
      <c r="AT13" s="12" t="n">
        <f aca="false">IF(AND(ISNUMBER(AR13),ISNUMBER(AS13)),(AR13-AS13)*100,"")</f>
        <v>8.98472596585804</v>
      </c>
      <c r="AU13" s="12" t="n">
        <f aca="false">IF(G13&gt;0,I13/G13*1000,"")</f>
        <v>113.207547169811</v>
      </c>
      <c r="AV13" s="12" t="n">
        <f aca="false">IF(G13&gt;0,H13/G13*10000,"")</f>
        <v>37.7358490566038</v>
      </c>
      <c r="AW13" s="12" t="n">
        <f aca="false">IF(G13&gt;0,W13/G13*10000,"")</f>
        <v>150.943396226415</v>
      </c>
      <c r="AX13" s="12" t="n">
        <f aca="false">IF(I13&gt;0,K13/I13*100,"")</f>
        <v>26.6666666666667</v>
      </c>
      <c r="AY13" s="9" t="str">
        <f aca="false">IF(AQ13&gt;=100,"ok",IF(AQ13&gt;0,"effectif faible (&lt;100)","aucune association"))</f>
        <v>effectif faible (&lt;100)</v>
      </c>
    </row>
    <row r="14" customFormat="false" ht="15" hidden="false" customHeight="false" outlineLevel="0" collapsed="false">
      <c r="A14" s="9" t="s">
        <v>131</v>
      </c>
      <c r="B14" s="9" t="s">
        <v>132</v>
      </c>
      <c r="C14" s="9" t="s">
        <v>133</v>
      </c>
      <c r="D14" s="9" t="s">
        <v>107</v>
      </c>
      <c r="E14" s="9" t="s">
        <v>134</v>
      </c>
      <c r="F14" s="9" t="s">
        <v>135</v>
      </c>
      <c r="G14" s="10" t="n">
        <v>3127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1</v>
      </c>
      <c r="P14" s="10" t="n">
        <v>184</v>
      </c>
      <c r="Q14" s="10" t="n">
        <v>15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2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1</v>
      </c>
      <c r="AF14" s="10" t="n">
        <v>1</v>
      </c>
      <c r="AG14" s="10" t="n">
        <v>1</v>
      </c>
      <c r="AH14" s="10" t="n">
        <v>1</v>
      </c>
      <c r="AI14" s="10" t="n">
        <v>1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199</v>
      </c>
      <c r="AP14" s="10" t="n">
        <v>0</v>
      </c>
      <c r="AQ14" s="10" t="n">
        <f aca="false">I14+J14</f>
        <v>0</v>
      </c>
      <c r="AR14" s="11" t="str">
        <f aca="false">IF(AQ14&gt;0,I14/AQ14,"")</f>
        <v/>
      </c>
      <c r="AS14" s="11" t="n">
        <f aca="false">IF((P14+Q14)&gt;0,P14/(P14+Q14),"")</f>
        <v>0.92462311557789</v>
      </c>
      <c r="AT14" s="12" t="str">
        <f aca="false">IF(AND(ISNUMBER(AR14),ISNUMBER(AS14)),(AR14-AS14)*100,"")</f>
        <v/>
      </c>
      <c r="AU14" s="12" t="n">
        <f aca="false">IF(G14&gt;0,I14/G14*1000,"")</f>
        <v>0</v>
      </c>
      <c r="AV14" s="12" t="n">
        <f aca="false">IF(G14&gt;0,H14/G14*10000,"")</f>
        <v>0</v>
      </c>
      <c r="AW14" s="12" t="n">
        <f aca="false">IF(G14&gt;0,W14/G14*10000,"")</f>
        <v>6.39590661976335</v>
      </c>
      <c r="AX14" s="12" t="str">
        <f aca="false">IF(I14&gt;0,K14/I14*100,"")</f>
        <v/>
      </c>
      <c r="AY14" s="9" t="str">
        <f aca="false">IF(AQ14&gt;=100,"ok",IF(AQ14&gt;0,"effectif faible (&lt;100)","aucune association"))</f>
        <v>aucune association</v>
      </c>
    </row>
    <row r="15" customFormat="false" ht="15" hidden="false" customHeight="false" outlineLevel="0" collapsed="false">
      <c r="A15" s="9" t="s">
        <v>136</v>
      </c>
      <c r="B15" s="9" t="s">
        <v>137</v>
      </c>
      <c r="C15" s="9" t="s">
        <v>133</v>
      </c>
      <c r="D15" s="9" t="s">
        <v>101</v>
      </c>
      <c r="E15" s="9" t="s">
        <v>116</v>
      </c>
      <c r="F15" s="9" t="s">
        <v>135</v>
      </c>
      <c r="G15" s="10" t="n">
        <v>1904</v>
      </c>
      <c r="H15" s="10" t="n">
        <v>3</v>
      </c>
      <c r="I15" s="10" t="n">
        <v>284</v>
      </c>
      <c r="J15" s="10" t="n">
        <v>391</v>
      </c>
      <c r="K15" s="10" t="n">
        <v>43</v>
      </c>
      <c r="L15" s="10" t="n">
        <v>7</v>
      </c>
      <c r="M15" s="10" t="n">
        <v>1</v>
      </c>
      <c r="N15" s="10" t="n">
        <v>1</v>
      </c>
      <c r="O15" s="10" t="n">
        <v>3</v>
      </c>
      <c r="P15" s="10" t="n">
        <v>301</v>
      </c>
      <c r="Q15" s="10" t="n">
        <v>329</v>
      </c>
      <c r="R15" s="10" t="n">
        <v>0</v>
      </c>
      <c r="S15" s="10" t="n">
        <v>0</v>
      </c>
      <c r="T15" s="10" t="n">
        <v>0</v>
      </c>
      <c r="U15" s="10" t="n">
        <v>3</v>
      </c>
      <c r="V15" s="10" t="n">
        <v>0</v>
      </c>
      <c r="W15" s="10" t="n">
        <v>4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1</v>
      </c>
      <c r="AF15" s="10" t="n">
        <v>2</v>
      </c>
      <c r="AG15" s="10" t="n">
        <v>3</v>
      </c>
      <c r="AH15" s="10" t="n">
        <v>2</v>
      </c>
      <c r="AI15" s="10" t="n">
        <v>3</v>
      </c>
      <c r="AJ15" s="10" t="n">
        <v>140</v>
      </c>
      <c r="AK15" s="10" t="n">
        <v>245</v>
      </c>
      <c r="AL15" s="10" t="n">
        <v>288</v>
      </c>
      <c r="AM15" s="10" t="n">
        <v>137</v>
      </c>
      <c r="AN15" s="10" t="n">
        <v>360</v>
      </c>
      <c r="AO15" s="10" t="n">
        <v>630</v>
      </c>
      <c r="AP15" s="10" t="n">
        <v>675</v>
      </c>
      <c r="AQ15" s="10" t="n">
        <f aca="false">I15+J15</f>
        <v>675</v>
      </c>
      <c r="AR15" s="11" t="n">
        <f aca="false">IF(AQ15&gt;0,I15/AQ15,"")</f>
        <v>0.420740740740741</v>
      </c>
      <c r="AS15" s="11" t="n">
        <f aca="false">IF((P15+Q15)&gt;0,P15/(P15+Q15),"")</f>
        <v>0.477777777777778</v>
      </c>
      <c r="AT15" s="12" t="n">
        <f aca="false">IF(AND(ISNUMBER(AR15),ISNUMBER(AS15)),(AR15-AS15)*100,"")</f>
        <v>-5.70370370370371</v>
      </c>
      <c r="AU15" s="12" t="n">
        <f aca="false">IF(G15&gt;0,I15/G15*1000,"")</f>
        <v>149.159663865546</v>
      </c>
      <c r="AV15" s="12" t="n">
        <f aca="false">IF(G15&gt;0,H15/G15*10000,"")</f>
        <v>15.7563025210084</v>
      </c>
      <c r="AW15" s="12" t="n">
        <f aca="false">IF(G15&gt;0,W15/G15*10000,"")</f>
        <v>21.0084033613445</v>
      </c>
      <c r="AX15" s="12" t="n">
        <f aca="false">IF(I15&gt;0,K15/I15*100,"")</f>
        <v>15.1408450704225</v>
      </c>
      <c r="AY15" s="9" t="str">
        <f aca="false">IF(AQ15&gt;=100,"ok",IF(AQ15&gt;0,"effectif faible (&lt;100)","aucune association"))</f>
        <v>ok</v>
      </c>
    </row>
    <row r="16" customFormat="false" ht="15" hidden="false" customHeight="false" outlineLevel="0" collapsed="false">
      <c r="A16" s="9" t="s">
        <v>138</v>
      </c>
      <c r="B16" s="9" t="s">
        <v>139</v>
      </c>
      <c r="C16" s="9" t="s">
        <v>140</v>
      </c>
      <c r="D16" s="9" t="s">
        <v>101</v>
      </c>
      <c r="E16" s="9" t="s">
        <v>128</v>
      </c>
      <c r="F16" s="9" t="s">
        <v>117</v>
      </c>
      <c r="G16" s="10" t="n">
        <v>6863</v>
      </c>
      <c r="H16" s="10" t="n">
        <v>6</v>
      </c>
      <c r="I16" s="10" t="n">
        <v>462</v>
      </c>
      <c r="J16" s="10" t="n">
        <v>817</v>
      </c>
      <c r="K16" s="10" t="n">
        <v>112</v>
      </c>
      <c r="L16" s="10" t="n">
        <v>5</v>
      </c>
      <c r="M16" s="10" t="n">
        <v>1</v>
      </c>
      <c r="N16" s="10" t="n">
        <v>3</v>
      </c>
      <c r="O16" s="10" t="n">
        <v>7</v>
      </c>
      <c r="P16" s="10" t="n">
        <v>468</v>
      </c>
      <c r="Q16" s="10" t="n">
        <v>837</v>
      </c>
      <c r="R16" s="10" t="n">
        <v>2</v>
      </c>
      <c r="S16" s="10" t="n">
        <v>443</v>
      </c>
      <c r="T16" s="10" t="n">
        <v>7</v>
      </c>
      <c r="U16" s="10" t="n">
        <v>7</v>
      </c>
      <c r="V16" s="10" t="n">
        <v>2</v>
      </c>
      <c r="W16" s="10" t="n">
        <v>12</v>
      </c>
      <c r="X16" s="10" t="n">
        <v>2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1</v>
      </c>
      <c r="AD16" s="10" t="n">
        <v>0</v>
      </c>
      <c r="AE16" s="10" t="n">
        <v>6</v>
      </c>
      <c r="AF16" s="10" t="n">
        <v>7</v>
      </c>
      <c r="AG16" s="10" t="n">
        <v>8</v>
      </c>
      <c r="AH16" s="10" t="n">
        <v>7</v>
      </c>
      <c r="AI16" s="10" t="n">
        <v>7</v>
      </c>
      <c r="AJ16" s="10" t="n">
        <v>1849</v>
      </c>
      <c r="AK16" s="10" t="n">
        <v>1648</v>
      </c>
      <c r="AL16" s="10" t="n">
        <v>1245</v>
      </c>
      <c r="AM16" s="10" t="n">
        <v>1268</v>
      </c>
      <c r="AN16" s="10" t="n">
        <v>1116</v>
      </c>
      <c r="AO16" s="10" t="n">
        <v>1305</v>
      </c>
      <c r="AP16" s="10" t="n">
        <v>1279</v>
      </c>
      <c r="AQ16" s="10" t="n">
        <f aca="false">I16+J16</f>
        <v>1279</v>
      </c>
      <c r="AR16" s="11" t="n">
        <f aca="false">IF(AQ16&gt;0,I16/AQ16,"")</f>
        <v>0.361219702892885</v>
      </c>
      <c r="AS16" s="11" t="n">
        <f aca="false">IF((P16+Q16)&gt;0,P16/(P16+Q16),"")</f>
        <v>0.358620689655172</v>
      </c>
      <c r="AT16" s="12" t="n">
        <f aca="false">IF(AND(ISNUMBER(AR16),ISNUMBER(AS16)),(AR16-AS16)*100,"")</f>
        <v>0.259901323771267</v>
      </c>
      <c r="AU16" s="12" t="n">
        <f aca="false">IF(G16&gt;0,I16/G16*1000,"")</f>
        <v>67.3174996357278</v>
      </c>
      <c r="AV16" s="12" t="n">
        <f aca="false">IF(G16&gt;0,H16/G16*10000,"")</f>
        <v>8.74253242022439</v>
      </c>
      <c r="AW16" s="12" t="n">
        <f aca="false">IF(G16&gt;0,W16/G16*10000,"")</f>
        <v>17.4850648404488</v>
      </c>
      <c r="AX16" s="12" t="n">
        <f aca="false">IF(I16&gt;0,K16/I16*100,"")</f>
        <v>24.2424242424242</v>
      </c>
      <c r="AY16" s="9" t="str">
        <f aca="false">IF(AQ16&gt;=100,"ok",IF(AQ16&gt;0,"effectif faible (&lt;100)","aucune association"))</f>
        <v>ok</v>
      </c>
    </row>
    <row r="17" customFormat="false" ht="15" hidden="false" customHeight="false" outlineLevel="0" collapsed="false">
      <c r="A17" s="9" t="s">
        <v>141</v>
      </c>
      <c r="B17" s="9" t="s">
        <v>142</v>
      </c>
      <c r="C17" s="9" t="s">
        <v>106</v>
      </c>
      <c r="D17" s="9" t="s">
        <v>101</v>
      </c>
      <c r="E17" s="9" t="s">
        <v>102</v>
      </c>
      <c r="F17" s="9" t="s">
        <v>143</v>
      </c>
      <c r="G17" s="10" t="n">
        <v>871</v>
      </c>
      <c r="H17" s="10" t="n">
        <v>1</v>
      </c>
      <c r="I17" s="10" t="n">
        <v>2</v>
      </c>
      <c r="J17" s="10" t="n">
        <v>45</v>
      </c>
      <c r="K17" s="10" t="n">
        <v>6</v>
      </c>
      <c r="L17" s="10" t="n">
        <v>0</v>
      </c>
      <c r="M17" s="10" t="n">
        <v>1</v>
      </c>
      <c r="N17" s="10" t="n">
        <v>0</v>
      </c>
      <c r="O17" s="10" t="n">
        <v>1</v>
      </c>
      <c r="P17" s="10" t="n">
        <v>2</v>
      </c>
      <c r="Q17" s="10" t="n">
        <v>46</v>
      </c>
      <c r="R17" s="10" t="n">
        <v>0</v>
      </c>
      <c r="S17" s="10" t="n">
        <v>0</v>
      </c>
      <c r="T17" s="10" t="n">
        <v>0</v>
      </c>
      <c r="U17" s="10" t="n">
        <v>1</v>
      </c>
      <c r="V17" s="10" t="n">
        <v>0</v>
      </c>
      <c r="W17" s="10" t="n">
        <v>7</v>
      </c>
      <c r="X17" s="10" t="n">
        <v>1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1</v>
      </c>
      <c r="AF17" s="10" t="n">
        <v>0</v>
      </c>
      <c r="AG17" s="10" t="n">
        <v>0</v>
      </c>
      <c r="AH17" s="10" t="n">
        <v>1</v>
      </c>
      <c r="AI17" s="10" t="n">
        <v>1</v>
      </c>
      <c r="AJ17" s="10" t="n">
        <v>238</v>
      </c>
      <c r="AK17" s="10" t="n">
        <v>0</v>
      </c>
      <c r="AL17" s="10" t="n">
        <v>0</v>
      </c>
      <c r="AM17" s="10" t="n">
        <v>50</v>
      </c>
      <c r="AN17" s="10" t="n">
        <v>53</v>
      </c>
      <c r="AO17" s="10" t="n">
        <v>48</v>
      </c>
      <c r="AP17" s="10" t="n">
        <v>47</v>
      </c>
      <c r="AQ17" s="10" t="n">
        <f aca="false">I17+J17</f>
        <v>47</v>
      </c>
      <c r="AR17" s="11" t="n">
        <f aca="false">IF(AQ17&gt;0,I17/AQ17,"")</f>
        <v>0.0425531914893617</v>
      </c>
      <c r="AS17" s="11" t="n">
        <f aca="false">IF((P17+Q17)&gt;0,P17/(P17+Q17),"")</f>
        <v>0.0416666666666667</v>
      </c>
      <c r="AT17" s="12" t="n">
        <f aca="false">IF(AND(ISNUMBER(AR17),ISNUMBER(AS17)),(AR17-AS17)*100,"")</f>
        <v>0.0886524822695037</v>
      </c>
      <c r="AU17" s="12" t="n">
        <f aca="false">IF(G17&gt;0,I17/G17*1000,"")</f>
        <v>2.29621125143513</v>
      </c>
      <c r="AV17" s="12" t="n">
        <f aca="false">IF(G17&gt;0,H17/G17*10000,"")</f>
        <v>11.4810562571757</v>
      </c>
      <c r="AW17" s="12" t="n">
        <f aca="false">IF(G17&gt;0,W17/G17*10000,"")</f>
        <v>80.3673938002296</v>
      </c>
      <c r="AX17" s="12" t="n">
        <f aca="false">IF(I17&gt;0,K17/I17*100,"")</f>
        <v>300</v>
      </c>
      <c r="AY17" s="9" t="str">
        <f aca="false">IF(AQ17&gt;=100,"ok",IF(AQ17&gt;0,"effectif faible (&lt;100)","aucune association"))</f>
        <v>effectif faible (&lt;100)</v>
      </c>
    </row>
    <row r="18" customFormat="false" ht="15" hidden="false" customHeight="false" outlineLevel="0" collapsed="false">
      <c r="A18" s="9" t="s">
        <v>144</v>
      </c>
      <c r="B18" s="9" t="s">
        <v>145</v>
      </c>
      <c r="C18" s="9" t="s">
        <v>146</v>
      </c>
      <c r="D18" s="9" t="s">
        <v>101</v>
      </c>
      <c r="E18" s="9" t="s">
        <v>134</v>
      </c>
      <c r="F18" s="9" t="s">
        <v>135</v>
      </c>
      <c r="G18" s="10" t="n">
        <v>2021</v>
      </c>
      <c r="H18" s="10" t="n">
        <v>3</v>
      </c>
      <c r="I18" s="10" t="n">
        <v>134</v>
      </c>
      <c r="J18" s="10" t="n">
        <v>182</v>
      </c>
      <c r="K18" s="10" t="n">
        <v>15</v>
      </c>
      <c r="L18" s="10" t="n">
        <v>1</v>
      </c>
      <c r="M18" s="10" t="n">
        <v>0</v>
      </c>
      <c r="N18" s="10" t="n">
        <v>1</v>
      </c>
      <c r="O18" s="10" t="n">
        <v>3</v>
      </c>
      <c r="P18" s="10" t="n">
        <v>183</v>
      </c>
      <c r="Q18" s="10" t="n">
        <v>145</v>
      </c>
      <c r="R18" s="10" t="n">
        <v>0</v>
      </c>
      <c r="S18" s="10" t="n">
        <v>0</v>
      </c>
      <c r="T18" s="10" t="n">
        <v>0</v>
      </c>
      <c r="U18" s="10" t="n">
        <v>2</v>
      </c>
      <c r="V18" s="10" t="n">
        <v>0</v>
      </c>
      <c r="W18" s="10" t="n">
        <v>5</v>
      </c>
      <c r="X18" s="10" t="n">
        <v>0</v>
      </c>
      <c r="Y18" s="10" t="n">
        <v>0</v>
      </c>
      <c r="Z18" s="10" t="n">
        <v>1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2</v>
      </c>
      <c r="AF18" s="10" t="n">
        <v>1</v>
      </c>
      <c r="AG18" s="10" t="n">
        <v>1</v>
      </c>
      <c r="AH18" s="10" t="n">
        <v>2</v>
      </c>
      <c r="AI18" s="10" t="n">
        <v>3</v>
      </c>
      <c r="AJ18" s="10" t="n">
        <v>316</v>
      </c>
      <c r="AK18" s="10" t="n">
        <v>327</v>
      </c>
      <c r="AL18" s="10" t="n">
        <v>319</v>
      </c>
      <c r="AM18" s="10" t="n">
        <v>346</v>
      </c>
      <c r="AN18" s="10" t="n">
        <v>319</v>
      </c>
      <c r="AO18" s="10" t="n">
        <v>328</v>
      </c>
      <c r="AP18" s="10" t="n">
        <v>316</v>
      </c>
      <c r="AQ18" s="10" t="n">
        <f aca="false">I18+J18</f>
        <v>316</v>
      </c>
      <c r="AR18" s="11" t="n">
        <f aca="false">IF(AQ18&gt;0,I18/AQ18,"")</f>
        <v>0.424050632911392</v>
      </c>
      <c r="AS18" s="11" t="n">
        <f aca="false">IF((P18+Q18)&gt;0,P18/(P18+Q18),"")</f>
        <v>0.557926829268293</v>
      </c>
      <c r="AT18" s="12" t="n">
        <f aca="false">IF(AND(ISNUMBER(AR18),ISNUMBER(AS18)),(AR18-AS18)*100,"")</f>
        <v>-13.38761963569</v>
      </c>
      <c r="AU18" s="12" t="n">
        <f aca="false">IF(G18&gt;0,I18/G18*1000,"")</f>
        <v>66.303809995052</v>
      </c>
      <c r="AV18" s="12" t="n">
        <f aca="false">IF(G18&gt;0,H18/G18*10000,"")</f>
        <v>14.8441365660564</v>
      </c>
      <c r="AW18" s="12" t="n">
        <f aca="false">IF(G18&gt;0,W18/G18*10000,"")</f>
        <v>24.740227610094</v>
      </c>
      <c r="AX18" s="12" t="n">
        <f aca="false">IF(I18&gt;0,K18/I18*100,"")</f>
        <v>11.1940298507463</v>
      </c>
      <c r="AY18" s="9" t="str">
        <f aca="false">IF(AQ18&gt;=100,"ok",IF(AQ18&gt;0,"effectif faible (&lt;100)","aucune association"))</f>
        <v>ok</v>
      </c>
    </row>
    <row r="19" customFormat="false" ht="15" hidden="false" customHeight="false" outlineLevel="0" collapsed="false">
      <c r="A19" s="9" t="s">
        <v>147</v>
      </c>
      <c r="B19" s="9" t="s">
        <v>148</v>
      </c>
      <c r="C19" s="9" t="s">
        <v>106</v>
      </c>
      <c r="D19" s="9" t="s">
        <v>107</v>
      </c>
      <c r="E19" s="9" t="s">
        <v>108</v>
      </c>
      <c r="F19" s="9" t="s">
        <v>103</v>
      </c>
      <c r="G19" s="10" t="n">
        <v>146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1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f aca="false">I19+J19</f>
        <v>0</v>
      </c>
      <c r="AR19" s="11" t="str">
        <f aca="false">IF(AQ19&gt;0,I19/AQ19,"")</f>
        <v/>
      </c>
      <c r="AS19" s="11" t="str">
        <f aca="false">IF((P19+Q19)&gt;0,P19/(P19+Q19),"")</f>
        <v/>
      </c>
      <c r="AT19" s="12" t="str">
        <f aca="false">IF(AND(ISNUMBER(AR19),ISNUMBER(AS19)),(AR19-AS19)*100,"")</f>
        <v/>
      </c>
      <c r="AU19" s="12" t="n">
        <f aca="false">IF(G19&gt;0,I19/G19*1000,"")</f>
        <v>0</v>
      </c>
      <c r="AV19" s="12" t="n">
        <f aca="false">IF(G19&gt;0,H19/G19*10000,"")</f>
        <v>0</v>
      </c>
      <c r="AW19" s="12" t="n">
        <f aca="false">IF(G19&gt;0,W19/G19*10000,"")</f>
        <v>68.4931506849315</v>
      </c>
      <c r="AX19" s="12" t="str">
        <f aca="false">IF(I19&gt;0,K19/I19*100,"")</f>
        <v/>
      </c>
      <c r="AY19" s="9" t="str">
        <f aca="false">IF(AQ19&gt;=100,"ok",IF(AQ19&gt;0,"effectif faible (&lt;100)","aucune association"))</f>
        <v>aucune association</v>
      </c>
    </row>
    <row r="20" customFormat="false" ht="15" hidden="false" customHeight="false" outlineLevel="0" collapsed="false">
      <c r="A20" s="9" t="s">
        <v>149</v>
      </c>
      <c r="B20" s="9" t="s">
        <v>150</v>
      </c>
      <c r="C20" s="9" t="s">
        <v>151</v>
      </c>
      <c r="D20" s="9" t="s">
        <v>101</v>
      </c>
      <c r="E20" s="9" t="s">
        <v>152</v>
      </c>
      <c r="F20" s="9" t="s">
        <v>117</v>
      </c>
      <c r="G20" s="10" t="n">
        <v>9849</v>
      </c>
      <c r="H20" s="10" t="n">
        <v>8</v>
      </c>
      <c r="I20" s="10" t="n">
        <v>1086</v>
      </c>
      <c r="J20" s="10" t="n">
        <v>590</v>
      </c>
      <c r="K20" s="10" t="n">
        <v>125</v>
      </c>
      <c r="L20" s="10" t="n">
        <v>36</v>
      </c>
      <c r="M20" s="10" t="n">
        <v>0</v>
      </c>
      <c r="N20" s="10" t="n">
        <v>3</v>
      </c>
      <c r="O20" s="10" t="n">
        <v>9</v>
      </c>
      <c r="P20" s="10" t="n">
        <v>1245</v>
      </c>
      <c r="Q20" s="10" t="n">
        <v>668</v>
      </c>
      <c r="R20" s="10" t="n">
        <v>0</v>
      </c>
      <c r="S20" s="10" t="n">
        <v>0</v>
      </c>
      <c r="T20" s="10" t="n">
        <v>0</v>
      </c>
      <c r="U20" s="10" t="n">
        <v>8</v>
      </c>
      <c r="V20" s="10" t="n">
        <v>0</v>
      </c>
      <c r="W20" s="10" t="n">
        <v>9</v>
      </c>
      <c r="X20" s="10" t="n">
        <v>4</v>
      </c>
      <c r="Y20" s="10" t="n">
        <v>0</v>
      </c>
      <c r="Z20" s="10" t="n">
        <v>0</v>
      </c>
      <c r="AA20" s="10" t="n">
        <v>0</v>
      </c>
      <c r="AB20" s="10" t="n">
        <v>1</v>
      </c>
      <c r="AC20" s="10" t="n">
        <v>0</v>
      </c>
      <c r="AD20" s="10" t="n">
        <v>0</v>
      </c>
      <c r="AE20" s="10" t="n">
        <v>7</v>
      </c>
      <c r="AF20" s="10" t="n">
        <v>7</v>
      </c>
      <c r="AG20" s="10" t="n">
        <v>7</v>
      </c>
      <c r="AH20" s="10" t="n">
        <v>7</v>
      </c>
      <c r="AI20" s="10" t="n">
        <v>8</v>
      </c>
      <c r="AJ20" s="10" t="n">
        <v>1267</v>
      </c>
      <c r="AK20" s="10" t="n">
        <v>1220</v>
      </c>
      <c r="AL20" s="10" t="n">
        <v>1049</v>
      </c>
      <c r="AM20" s="10" t="n">
        <v>1020</v>
      </c>
      <c r="AN20" s="10" t="n">
        <v>1139</v>
      </c>
      <c r="AO20" s="10" t="n">
        <v>1913</v>
      </c>
      <c r="AP20" s="10" t="n">
        <v>1676</v>
      </c>
      <c r="AQ20" s="10" t="n">
        <f aca="false">I20+J20</f>
        <v>1676</v>
      </c>
      <c r="AR20" s="11" t="n">
        <f aca="false">IF(AQ20&gt;0,I20/AQ20,"")</f>
        <v>0.647971360381862</v>
      </c>
      <c r="AS20" s="11" t="n">
        <f aca="false">IF((P20+Q20)&gt;0,P20/(P20+Q20),"")</f>
        <v>0.650810245687402</v>
      </c>
      <c r="AT20" s="12" t="n">
        <f aca="false">IF(AND(ISNUMBER(AR20),ISNUMBER(AS20)),(AR20-AS20)*100,"")</f>
        <v>-0.283888530554044</v>
      </c>
      <c r="AU20" s="12" t="n">
        <f aca="false">IF(G20&gt;0,I20/G20*1000,"")</f>
        <v>110.265001522997</v>
      </c>
      <c r="AV20" s="12" t="n">
        <f aca="false">IF(G20&gt;0,H20/G20*10000,"")</f>
        <v>8.12265204589298</v>
      </c>
      <c r="AW20" s="12" t="n">
        <f aca="false">IF(G20&gt;0,W20/G20*10000,"")</f>
        <v>9.13798355162961</v>
      </c>
      <c r="AX20" s="12" t="n">
        <f aca="false">IF(I20&gt;0,K20/I20*100,"")</f>
        <v>11.5101289134438</v>
      </c>
      <c r="AY20" s="9" t="str">
        <f aca="false">IF(AQ20&gt;=100,"ok",IF(AQ20&gt;0,"effectif faible (&lt;100)","aucune association"))</f>
        <v>ok</v>
      </c>
    </row>
    <row r="21" customFormat="false" ht="15" hidden="false" customHeight="false" outlineLevel="0" collapsed="false">
      <c r="A21" s="9" t="s">
        <v>153</v>
      </c>
      <c r="B21" s="9" t="s">
        <v>154</v>
      </c>
      <c r="C21" s="9" t="s">
        <v>155</v>
      </c>
      <c r="D21" s="9" t="s">
        <v>101</v>
      </c>
      <c r="E21" s="9" t="s">
        <v>156</v>
      </c>
      <c r="F21" s="9" t="s">
        <v>157</v>
      </c>
      <c r="G21" s="10" t="n">
        <v>10232</v>
      </c>
      <c r="H21" s="10" t="n">
        <v>11</v>
      </c>
      <c r="I21" s="10" t="n">
        <v>1031</v>
      </c>
      <c r="J21" s="10" t="n">
        <v>1702</v>
      </c>
      <c r="K21" s="10" t="n">
        <v>218</v>
      </c>
      <c r="L21" s="10" t="n">
        <v>15</v>
      </c>
      <c r="M21" s="10" t="n">
        <v>3</v>
      </c>
      <c r="N21" s="10" t="n">
        <v>0</v>
      </c>
      <c r="O21" s="10" t="n">
        <v>10</v>
      </c>
      <c r="P21" s="10" t="n">
        <v>841</v>
      </c>
      <c r="Q21" s="10" t="n">
        <v>1428</v>
      </c>
      <c r="R21" s="10" t="n">
        <v>2</v>
      </c>
      <c r="S21" s="10" t="n">
        <v>158</v>
      </c>
      <c r="T21" s="10" t="n">
        <v>7</v>
      </c>
      <c r="U21" s="10" t="n">
        <v>12</v>
      </c>
      <c r="V21" s="10" t="n">
        <v>2</v>
      </c>
      <c r="W21" s="10" t="n">
        <v>25</v>
      </c>
      <c r="X21" s="10" t="n">
        <v>8</v>
      </c>
      <c r="Y21" s="10" t="n">
        <v>1</v>
      </c>
      <c r="Z21" s="10" t="n">
        <v>0</v>
      </c>
      <c r="AA21" s="10" t="n">
        <v>1</v>
      </c>
      <c r="AB21" s="10" t="n">
        <v>1</v>
      </c>
      <c r="AC21" s="10" t="n">
        <v>0</v>
      </c>
      <c r="AD21" s="10" t="n">
        <v>0</v>
      </c>
      <c r="AE21" s="10" t="n">
        <v>8</v>
      </c>
      <c r="AF21" s="10" t="n">
        <v>10</v>
      </c>
      <c r="AG21" s="10" t="n">
        <v>12</v>
      </c>
      <c r="AH21" s="10" t="n">
        <v>10</v>
      </c>
      <c r="AI21" s="10" t="n">
        <v>10</v>
      </c>
      <c r="AJ21" s="10" t="n">
        <v>1449</v>
      </c>
      <c r="AK21" s="10" t="n">
        <v>1613</v>
      </c>
      <c r="AL21" s="10" t="n">
        <v>1883</v>
      </c>
      <c r="AM21" s="10" t="n">
        <v>1851</v>
      </c>
      <c r="AN21" s="10" t="n">
        <v>2059</v>
      </c>
      <c r="AO21" s="10" t="n">
        <v>2269</v>
      </c>
      <c r="AP21" s="10" t="n">
        <v>2733</v>
      </c>
      <c r="AQ21" s="10" t="n">
        <f aca="false">I21+J21</f>
        <v>2733</v>
      </c>
      <c r="AR21" s="11" t="n">
        <f aca="false">IF(AQ21&gt;0,I21/AQ21,"")</f>
        <v>0.377241126966703</v>
      </c>
      <c r="AS21" s="11" t="n">
        <f aca="false">IF((P21+Q21)&gt;0,P21/(P21+Q21),"")</f>
        <v>0.370647862494491</v>
      </c>
      <c r="AT21" s="12" t="n">
        <f aca="false">IF(AND(ISNUMBER(AR21),ISNUMBER(AS21)),(AR21-AS21)*100,"")</f>
        <v>0.659326447221231</v>
      </c>
      <c r="AU21" s="12" t="n">
        <f aca="false">IF(G21&gt;0,I21/G21*1000,"")</f>
        <v>100.762314308053</v>
      </c>
      <c r="AV21" s="12" t="n">
        <f aca="false">IF(G21&gt;0,H21/G21*10000,"")</f>
        <v>10.7505863956216</v>
      </c>
      <c r="AW21" s="12" t="n">
        <f aca="false">IF(G21&gt;0,W21/G21*10000,"")</f>
        <v>24.43315089914</v>
      </c>
      <c r="AX21" s="12" t="n">
        <f aca="false">IF(I21&gt;0,K21/I21*100,"")</f>
        <v>21.1445198836081</v>
      </c>
      <c r="AY21" s="9" t="str">
        <f aca="false">IF(AQ21&gt;=100,"ok",IF(AQ21&gt;0,"effectif faible (&lt;100)","aucune association"))</f>
        <v>ok</v>
      </c>
    </row>
    <row r="22" customFormat="false" ht="15" hidden="false" customHeight="false" outlineLevel="0" collapsed="false">
      <c r="A22" s="9" t="s">
        <v>158</v>
      </c>
      <c r="B22" s="9" t="s">
        <v>159</v>
      </c>
      <c r="C22" s="9" t="s">
        <v>133</v>
      </c>
      <c r="D22" s="9" t="s">
        <v>101</v>
      </c>
      <c r="E22" s="9" t="s">
        <v>134</v>
      </c>
      <c r="F22" s="9" t="s">
        <v>143</v>
      </c>
      <c r="G22" s="10" t="n">
        <v>474</v>
      </c>
      <c r="H22" s="10" t="n">
        <v>1</v>
      </c>
      <c r="I22" s="10" t="n">
        <v>3</v>
      </c>
      <c r="J22" s="10" t="n">
        <v>55</v>
      </c>
      <c r="K22" s="10" t="n">
        <v>62</v>
      </c>
      <c r="L22" s="10" t="n">
        <v>0</v>
      </c>
      <c r="M22" s="10" t="n">
        <v>1</v>
      </c>
      <c r="N22" s="10" t="n">
        <v>0</v>
      </c>
      <c r="O22" s="10" t="n">
        <v>1</v>
      </c>
      <c r="P22" s="10" t="n">
        <v>4</v>
      </c>
      <c r="Q22" s="10" t="n">
        <v>61</v>
      </c>
      <c r="R22" s="10" t="n">
        <v>0</v>
      </c>
      <c r="S22" s="10" t="n">
        <v>0</v>
      </c>
      <c r="T22" s="10" t="n">
        <v>0</v>
      </c>
      <c r="U22" s="10" t="n">
        <v>1</v>
      </c>
      <c r="V22" s="10" t="n">
        <v>0</v>
      </c>
      <c r="W22" s="10" t="n">
        <v>5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1</v>
      </c>
      <c r="AF22" s="10" t="n">
        <v>0</v>
      </c>
      <c r="AG22" s="10" t="n">
        <v>0</v>
      </c>
      <c r="AH22" s="10" t="n">
        <v>1</v>
      </c>
      <c r="AI22" s="10" t="n">
        <v>1</v>
      </c>
      <c r="AJ22" s="10" t="n">
        <v>78</v>
      </c>
      <c r="AK22" s="10" t="n">
        <v>0</v>
      </c>
      <c r="AL22" s="10" t="n">
        <v>0</v>
      </c>
      <c r="AM22" s="10" t="n">
        <v>67</v>
      </c>
      <c r="AN22" s="10" t="n">
        <v>45</v>
      </c>
      <c r="AO22" s="10" t="n">
        <v>65</v>
      </c>
      <c r="AP22" s="10" t="n">
        <v>58</v>
      </c>
      <c r="AQ22" s="10" t="n">
        <f aca="false">I22+J22</f>
        <v>58</v>
      </c>
      <c r="AR22" s="11" t="n">
        <f aca="false">IF(AQ22&gt;0,I22/AQ22,"")</f>
        <v>0.0517241379310345</v>
      </c>
      <c r="AS22" s="11" t="n">
        <f aca="false">IF((P22+Q22)&gt;0,P22/(P22+Q22),"")</f>
        <v>0.0615384615384615</v>
      </c>
      <c r="AT22" s="12" t="n">
        <f aca="false">IF(AND(ISNUMBER(AR22),ISNUMBER(AS22)),(AR22-AS22)*100,"")</f>
        <v>-0.981432360742706</v>
      </c>
      <c r="AU22" s="12" t="n">
        <f aca="false">IF(G22&gt;0,I22/G22*1000,"")</f>
        <v>6.32911392405063</v>
      </c>
      <c r="AV22" s="12" t="n">
        <f aca="false">IF(G22&gt;0,H22/G22*10000,"")</f>
        <v>21.0970464135021</v>
      </c>
      <c r="AW22" s="12" t="n">
        <f aca="false">IF(G22&gt;0,W22/G22*10000,"")</f>
        <v>105.485232067511</v>
      </c>
      <c r="AX22" s="12" t="n">
        <f aca="false">IF(I22&gt;0,K22/I22*100,"")</f>
        <v>2066.66666666667</v>
      </c>
      <c r="AY22" s="9" t="str">
        <f aca="false">IF(AQ22&gt;=100,"ok",IF(AQ22&gt;0,"effectif faible (&lt;100)","aucune association"))</f>
        <v>effectif faible (&lt;100)</v>
      </c>
    </row>
    <row r="23" customFormat="false" ht="15" hidden="false" customHeight="false" outlineLevel="0" collapsed="false">
      <c r="A23" s="9" t="s">
        <v>160</v>
      </c>
      <c r="B23" s="9" t="s">
        <v>161</v>
      </c>
      <c r="C23" s="9" t="s">
        <v>133</v>
      </c>
      <c r="D23" s="9" t="s">
        <v>101</v>
      </c>
      <c r="E23" s="9" t="s">
        <v>134</v>
      </c>
      <c r="F23" s="9" t="s">
        <v>143</v>
      </c>
      <c r="G23" s="10" t="n">
        <v>2250</v>
      </c>
      <c r="H23" s="10" t="n">
        <v>3</v>
      </c>
      <c r="I23" s="10" t="n">
        <v>100</v>
      </c>
      <c r="J23" s="10" t="n">
        <v>495</v>
      </c>
      <c r="K23" s="10" t="n">
        <v>82</v>
      </c>
      <c r="L23" s="10" t="n">
        <v>0</v>
      </c>
      <c r="M23" s="10" t="n">
        <v>3</v>
      </c>
      <c r="N23" s="10" t="n">
        <v>0</v>
      </c>
      <c r="O23" s="10" t="n">
        <v>3</v>
      </c>
      <c r="P23" s="10" t="n">
        <v>102</v>
      </c>
      <c r="Q23" s="10" t="n">
        <v>654</v>
      </c>
      <c r="R23" s="10" t="n">
        <v>0</v>
      </c>
      <c r="S23" s="10" t="n">
        <v>0</v>
      </c>
      <c r="T23" s="10" t="n">
        <v>0</v>
      </c>
      <c r="U23" s="10" t="n">
        <v>4</v>
      </c>
      <c r="V23" s="10" t="n">
        <v>0</v>
      </c>
      <c r="W23" s="10" t="n">
        <v>3</v>
      </c>
      <c r="X23" s="10" t="n">
        <v>1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3</v>
      </c>
      <c r="AF23" s="10" t="n">
        <v>3</v>
      </c>
      <c r="AG23" s="10" t="n">
        <v>3</v>
      </c>
      <c r="AH23" s="10" t="n">
        <v>3</v>
      </c>
      <c r="AI23" s="10" t="n">
        <v>3</v>
      </c>
      <c r="AJ23" s="10" t="n">
        <v>702</v>
      </c>
      <c r="AK23" s="10" t="n">
        <v>605</v>
      </c>
      <c r="AL23" s="10" t="n">
        <v>520</v>
      </c>
      <c r="AM23" s="10" t="n">
        <v>591</v>
      </c>
      <c r="AN23" s="10" t="n">
        <v>574</v>
      </c>
      <c r="AO23" s="10" t="n">
        <v>756</v>
      </c>
      <c r="AP23" s="10" t="n">
        <v>595</v>
      </c>
      <c r="AQ23" s="10" t="n">
        <f aca="false">I23+J23</f>
        <v>595</v>
      </c>
      <c r="AR23" s="11" t="n">
        <f aca="false">IF(AQ23&gt;0,I23/AQ23,"")</f>
        <v>0.168067226890756</v>
      </c>
      <c r="AS23" s="11" t="n">
        <f aca="false">IF((P23+Q23)&gt;0,P23/(P23+Q23),"")</f>
        <v>0.134920634920635</v>
      </c>
      <c r="AT23" s="12" t="n">
        <f aca="false">IF(AND(ISNUMBER(AR23),ISNUMBER(AS23)),(AR23-AS23)*100,"")</f>
        <v>3.31465919701214</v>
      </c>
      <c r="AU23" s="12" t="n">
        <f aca="false">IF(G23&gt;0,I23/G23*1000,"")</f>
        <v>44.4444444444444</v>
      </c>
      <c r="AV23" s="12" t="n">
        <f aca="false">IF(G23&gt;0,H23/G23*10000,"")</f>
        <v>13.3333333333333</v>
      </c>
      <c r="AW23" s="12" t="n">
        <f aca="false">IF(G23&gt;0,W23/G23*10000,"")</f>
        <v>13.3333333333333</v>
      </c>
      <c r="AX23" s="12" t="n">
        <f aca="false">IF(I23&gt;0,K23/I23*100,"")</f>
        <v>82</v>
      </c>
      <c r="AY23" s="9" t="str">
        <f aca="false">IF(AQ23&gt;=100,"ok",IF(AQ23&gt;0,"effectif faible (&lt;100)","aucune association"))</f>
        <v>ok</v>
      </c>
    </row>
    <row r="24" customFormat="false" ht="15" hidden="false" customHeight="false" outlineLevel="0" collapsed="false">
      <c r="A24" s="9" t="s">
        <v>162</v>
      </c>
      <c r="B24" s="9" t="s">
        <v>163</v>
      </c>
      <c r="C24" s="9" t="s">
        <v>155</v>
      </c>
      <c r="D24" s="9" t="s">
        <v>101</v>
      </c>
      <c r="E24" s="9" t="s">
        <v>156</v>
      </c>
      <c r="F24" s="9" t="s">
        <v>157</v>
      </c>
      <c r="G24" s="10" t="n">
        <v>2684</v>
      </c>
      <c r="H24" s="10" t="n">
        <v>3</v>
      </c>
      <c r="I24" s="10" t="n">
        <v>54</v>
      </c>
      <c r="J24" s="10" t="n">
        <v>196</v>
      </c>
      <c r="K24" s="10" t="n">
        <v>204</v>
      </c>
      <c r="L24" s="10" t="n">
        <v>3</v>
      </c>
      <c r="M24" s="10" t="n">
        <v>1</v>
      </c>
      <c r="N24" s="10" t="n">
        <v>1</v>
      </c>
      <c r="O24" s="10" t="n">
        <v>5</v>
      </c>
      <c r="P24" s="10" t="n">
        <v>321</v>
      </c>
      <c r="Q24" s="10" t="n">
        <v>583</v>
      </c>
      <c r="R24" s="10" t="n">
        <v>0</v>
      </c>
      <c r="S24" s="10" t="n">
        <v>0</v>
      </c>
      <c r="T24" s="10" t="n">
        <v>0</v>
      </c>
      <c r="U24" s="10" t="n">
        <v>3</v>
      </c>
      <c r="V24" s="10" t="n">
        <v>0</v>
      </c>
      <c r="W24" s="10" t="n">
        <v>6</v>
      </c>
      <c r="X24" s="10" t="n">
        <v>1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6</v>
      </c>
      <c r="AF24" s="10" t="n">
        <v>4</v>
      </c>
      <c r="AG24" s="10" t="n">
        <v>4</v>
      </c>
      <c r="AH24" s="10" t="n">
        <v>4</v>
      </c>
      <c r="AI24" s="10" t="n">
        <v>5</v>
      </c>
      <c r="AJ24" s="10" t="n">
        <v>670</v>
      </c>
      <c r="AK24" s="10" t="n">
        <v>604</v>
      </c>
      <c r="AL24" s="10" t="n">
        <v>502</v>
      </c>
      <c r="AM24" s="10" t="n">
        <v>489</v>
      </c>
      <c r="AN24" s="10" t="n">
        <v>527</v>
      </c>
      <c r="AO24" s="10" t="n">
        <v>904</v>
      </c>
      <c r="AP24" s="10" t="n">
        <v>250</v>
      </c>
      <c r="AQ24" s="10" t="n">
        <f aca="false">I24+J24</f>
        <v>250</v>
      </c>
      <c r="AR24" s="11" t="n">
        <f aca="false">IF(AQ24&gt;0,I24/AQ24,"")</f>
        <v>0.216</v>
      </c>
      <c r="AS24" s="11" t="n">
        <f aca="false">IF((P24+Q24)&gt;0,P24/(P24+Q24),"")</f>
        <v>0.355088495575221</v>
      </c>
      <c r="AT24" s="12" t="n">
        <f aca="false">IF(AND(ISNUMBER(AR24),ISNUMBER(AS24)),(AR24-AS24)*100,"")</f>
        <v>-13.9088495575221</v>
      </c>
      <c r="AU24" s="12" t="n">
        <f aca="false">IF(G24&gt;0,I24/G24*1000,"")</f>
        <v>20.1192250372578</v>
      </c>
      <c r="AV24" s="12" t="n">
        <f aca="false">IF(G24&gt;0,H24/G24*10000,"")</f>
        <v>11.177347242921</v>
      </c>
      <c r="AW24" s="12" t="n">
        <f aca="false">IF(G24&gt;0,W24/G24*10000,"")</f>
        <v>22.354694485842</v>
      </c>
      <c r="AX24" s="12" t="n">
        <f aca="false">IF(I24&gt;0,K24/I24*100,"")</f>
        <v>377.777777777778</v>
      </c>
      <c r="AY24" s="9" t="str">
        <f aca="false">IF(AQ24&gt;=100,"ok",IF(AQ24&gt;0,"effectif faible (&lt;100)","aucune association"))</f>
        <v>ok</v>
      </c>
    </row>
    <row r="25" customFormat="false" ht="15" hidden="false" customHeight="false" outlineLevel="0" collapsed="false">
      <c r="A25" s="9" t="s">
        <v>164</v>
      </c>
      <c r="B25" s="9" t="s">
        <v>165</v>
      </c>
      <c r="C25" s="9" t="s">
        <v>100</v>
      </c>
      <c r="D25" s="9" t="s">
        <v>107</v>
      </c>
      <c r="E25" s="9" t="s">
        <v>102</v>
      </c>
      <c r="F25" s="9" t="s">
        <v>103</v>
      </c>
      <c r="G25" s="10" t="n">
        <v>374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1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0</v>
      </c>
      <c r="AG25" s="10" t="n">
        <v>0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0</v>
      </c>
      <c r="AM25" s="10" t="n">
        <v>0</v>
      </c>
      <c r="AN25" s="10" t="n">
        <v>0</v>
      </c>
      <c r="AO25" s="10" t="n">
        <v>0</v>
      </c>
      <c r="AP25" s="10" t="n">
        <v>0</v>
      </c>
      <c r="AQ25" s="10" t="n">
        <f aca="false">I25+J25</f>
        <v>0</v>
      </c>
      <c r="AR25" s="11" t="str">
        <f aca="false">IF(AQ25&gt;0,I25/AQ25,"")</f>
        <v/>
      </c>
      <c r="AS25" s="11" t="str">
        <f aca="false">IF((P25+Q25)&gt;0,P25/(P25+Q25),"")</f>
        <v/>
      </c>
      <c r="AT25" s="12" t="str">
        <f aca="false">IF(AND(ISNUMBER(AR25),ISNUMBER(AS25)),(AR25-AS25)*100,"")</f>
        <v/>
      </c>
      <c r="AU25" s="12" t="n">
        <f aca="false">IF(G25&gt;0,I25/G25*1000,"")</f>
        <v>0</v>
      </c>
      <c r="AV25" s="12" t="n">
        <f aca="false">IF(G25&gt;0,H25/G25*10000,"")</f>
        <v>0</v>
      </c>
      <c r="AW25" s="12" t="n">
        <f aca="false">IF(G25&gt;0,W25/G25*10000,"")</f>
        <v>26.7379679144385</v>
      </c>
      <c r="AX25" s="12" t="str">
        <f aca="false">IF(I25&gt;0,K25/I25*100,"")</f>
        <v/>
      </c>
      <c r="AY25" s="9" t="str">
        <f aca="false">IF(AQ25&gt;=100,"ok",IF(AQ25&gt;0,"effectif faible (&lt;100)","aucune association"))</f>
        <v>aucune association</v>
      </c>
    </row>
    <row r="26" customFormat="false" ht="15" hidden="false" customHeight="false" outlineLevel="0" collapsed="false">
      <c r="A26" s="9" t="s">
        <v>166</v>
      </c>
      <c r="B26" s="9" t="s">
        <v>167</v>
      </c>
      <c r="C26" s="9" t="s">
        <v>151</v>
      </c>
      <c r="D26" s="9" t="s">
        <v>101</v>
      </c>
      <c r="E26" s="9" t="s">
        <v>152</v>
      </c>
      <c r="F26" s="9" t="s">
        <v>117</v>
      </c>
      <c r="G26" s="10" t="n">
        <v>8869</v>
      </c>
      <c r="H26" s="10" t="n">
        <v>2</v>
      </c>
      <c r="I26" s="10" t="n">
        <v>71</v>
      </c>
      <c r="J26" s="10" t="n">
        <v>192</v>
      </c>
      <c r="K26" s="10" t="n">
        <v>7</v>
      </c>
      <c r="L26" s="10" t="n">
        <v>4</v>
      </c>
      <c r="M26" s="10" t="n">
        <v>0</v>
      </c>
      <c r="N26" s="10" t="n">
        <v>0</v>
      </c>
      <c r="O26" s="10" t="n">
        <v>2</v>
      </c>
      <c r="P26" s="10" t="n">
        <v>72</v>
      </c>
      <c r="Q26" s="10" t="n">
        <v>177</v>
      </c>
      <c r="R26" s="10" t="n">
        <v>1</v>
      </c>
      <c r="S26" s="10" t="n">
        <v>115</v>
      </c>
      <c r="T26" s="10" t="n">
        <v>3</v>
      </c>
      <c r="U26" s="10" t="n">
        <v>2</v>
      </c>
      <c r="V26" s="10" t="n">
        <v>1</v>
      </c>
      <c r="W26" s="10" t="n">
        <v>6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1</v>
      </c>
      <c r="AF26" s="10" t="n">
        <v>2</v>
      </c>
      <c r="AG26" s="10" t="n">
        <v>1</v>
      </c>
      <c r="AH26" s="10" t="n">
        <v>1</v>
      </c>
      <c r="AI26" s="10" t="n">
        <v>1</v>
      </c>
      <c r="AJ26" s="10" t="n">
        <v>98</v>
      </c>
      <c r="AK26" s="10" t="n">
        <v>267</v>
      </c>
      <c r="AL26" s="10" t="n">
        <v>54</v>
      </c>
      <c r="AM26" s="10" t="n">
        <v>66</v>
      </c>
      <c r="AN26" s="10" t="n">
        <v>74</v>
      </c>
      <c r="AO26" s="10" t="n">
        <v>249</v>
      </c>
      <c r="AP26" s="10" t="n">
        <v>263</v>
      </c>
      <c r="AQ26" s="10" t="n">
        <f aca="false">I26+J26</f>
        <v>263</v>
      </c>
      <c r="AR26" s="11" t="n">
        <f aca="false">IF(AQ26&gt;0,I26/AQ26,"")</f>
        <v>0.269961977186312</v>
      </c>
      <c r="AS26" s="11" t="n">
        <f aca="false">IF((P26+Q26)&gt;0,P26/(P26+Q26),"")</f>
        <v>0.289156626506024</v>
      </c>
      <c r="AT26" s="12" t="n">
        <f aca="false">IF(AND(ISNUMBER(AR26),ISNUMBER(AS26)),(AR26-AS26)*100,"")</f>
        <v>-1.91946493197123</v>
      </c>
      <c r="AU26" s="12" t="n">
        <f aca="false">IF(G26&gt;0,I26/G26*1000,"")</f>
        <v>8.00541210959522</v>
      </c>
      <c r="AV26" s="12" t="n">
        <f aca="false">IF(G26&gt;0,H26/G26*10000,"")</f>
        <v>2.25504566467471</v>
      </c>
      <c r="AW26" s="12" t="n">
        <f aca="false">IF(G26&gt;0,W26/G26*10000,"")</f>
        <v>6.76513699402413</v>
      </c>
      <c r="AX26" s="12" t="n">
        <f aca="false">IF(I26&gt;0,K26/I26*100,"")</f>
        <v>9.85915492957746</v>
      </c>
      <c r="AY26" s="9" t="str">
        <f aca="false">IF(AQ26&gt;=100,"ok",IF(AQ26&gt;0,"effectif faible (&lt;100)","aucune association"))</f>
        <v>ok</v>
      </c>
    </row>
    <row r="27" customFormat="false" ht="15" hidden="false" customHeight="false" outlineLevel="0" collapsed="false">
      <c r="A27" s="9" t="s">
        <v>168</v>
      </c>
      <c r="B27" s="9" t="s">
        <v>169</v>
      </c>
      <c r="C27" s="9" t="s">
        <v>120</v>
      </c>
      <c r="D27" s="9" t="s">
        <v>101</v>
      </c>
      <c r="E27" s="9" t="s">
        <v>170</v>
      </c>
      <c r="F27" s="9" t="s">
        <v>117</v>
      </c>
      <c r="G27" s="10" t="n">
        <v>36434</v>
      </c>
      <c r="H27" s="10" t="n">
        <v>2</v>
      </c>
      <c r="I27" s="10" t="n">
        <v>1246</v>
      </c>
      <c r="J27" s="10" t="n">
        <v>1833</v>
      </c>
      <c r="K27" s="10" t="n">
        <v>310</v>
      </c>
      <c r="L27" s="10" t="n">
        <v>22</v>
      </c>
      <c r="M27" s="10" t="n">
        <v>1</v>
      </c>
      <c r="N27" s="10" t="n">
        <v>0</v>
      </c>
      <c r="O27" s="10" t="n">
        <v>2</v>
      </c>
      <c r="P27" s="10" t="n">
        <v>1087</v>
      </c>
      <c r="Q27" s="10" t="n">
        <v>1906</v>
      </c>
      <c r="R27" s="10" t="n">
        <v>1</v>
      </c>
      <c r="S27" s="10" t="n">
        <v>234</v>
      </c>
      <c r="T27" s="10" t="n">
        <v>7</v>
      </c>
      <c r="U27" s="10" t="n">
        <v>2</v>
      </c>
      <c r="V27" s="10" t="n">
        <v>1</v>
      </c>
      <c r="W27" s="10" t="n">
        <v>22</v>
      </c>
      <c r="X27" s="10" t="n">
        <v>3</v>
      </c>
      <c r="Y27" s="10" t="n">
        <v>0</v>
      </c>
      <c r="Z27" s="10" t="n">
        <v>1</v>
      </c>
      <c r="AA27" s="10" t="n">
        <v>1</v>
      </c>
      <c r="AB27" s="10" t="n">
        <v>1</v>
      </c>
      <c r="AC27" s="10" t="n">
        <v>1</v>
      </c>
      <c r="AD27" s="10" t="n">
        <v>0</v>
      </c>
      <c r="AE27" s="10" t="n">
        <v>3</v>
      </c>
      <c r="AF27" s="10" t="n">
        <v>2</v>
      </c>
      <c r="AG27" s="10" t="n">
        <v>2</v>
      </c>
      <c r="AH27" s="10" t="n">
        <v>1</v>
      </c>
      <c r="AI27" s="10" t="n">
        <v>2</v>
      </c>
      <c r="AJ27" s="10" t="n">
        <v>2334</v>
      </c>
      <c r="AK27" s="10" t="n">
        <v>2196</v>
      </c>
      <c r="AL27" s="10" t="n">
        <v>1861</v>
      </c>
      <c r="AM27" s="10" t="n">
        <v>2216</v>
      </c>
      <c r="AN27" s="10" t="n">
        <v>2310</v>
      </c>
      <c r="AO27" s="10" t="n">
        <v>2993</v>
      </c>
      <c r="AP27" s="10" t="n">
        <v>3079</v>
      </c>
      <c r="AQ27" s="10" t="n">
        <f aca="false">I27+J27</f>
        <v>3079</v>
      </c>
      <c r="AR27" s="11" t="n">
        <f aca="false">IF(AQ27&gt;0,I27/AQ27,"")</f>
        <v>0.404676843130887</v>
      </c>
      <c r="AS27" s="11" t="n">
        <f aca="false">IF((P27+Q27)&gt;0,P27/(P27+Q27),"")</f>
        <v>0.363180755095222</v>
      </c>
      <c r="AT27" s="12" t="n">
        <f aca="false">IF(AND(ISNUMBER(AR27),ISNUMBER(AS27)),(AR27-AS27)*100,"")</f>
        <v>4.14960880356645</v>
      </c>
      <c r="AU27" s="12" t="n">
        <f aca="false">IF(G27&gt;0,I27/G27*1000,"")</f>
        <v>34.1988252730966</v>
      </c>
      <c r="AV27" s="12" t="n">
        <f aca="false">IF(G27&gt;0,H27/G27*10000,"")</f>
        <v>0.548937805346654</v>
      </c>
      <c r="AW27" s="12" t="n">
        <f aca="false">IF(G27&gt;0,W27/G27*10000,"")</f>
        <v>6.0383158588132</v>
      </c>
      <c r="AX27" s="12" t="n">
        <f aca="false">IF(I27&gt;0,K27/I27*100,"")</f>
        <v>24.8796147672552</v>
      </c>
      <c r="AY27" s="9" t="str">
        <f aca="false">IF(AQ27&gt;=100,"ok",IF(AQ27&gt;0,"effectif faible (&lt;100)","aucune association"))</f>
        <v>ok</v>
      </c>
    </row>
    <row r="28" customFormat="false" ht="15" hidden="false" customHeight="false" outlineLevel="0" collapsed="false">
      <c r="A28" s="9" t="s">
        <v>171</v>
      </c>
      <c r="B28" s="9" t="s">
        <v>172</v>
      </c>
      <c r="C28" s="9" t="s">
        <v>106</v>
      </c>
      <c r="D28" s="9" t="s">
        <v>107</v>
      </c>
      <c r="E28" s="9" t="s">
        <v>173</v>
      </c>
      <c r="F28" s="9" t="s">
        <v>117</v>
      </c>
      <c r="G28" s="10" t="n">
        <v>892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5</v>
      </c>
      <c r="X28" s="10" t="n">
        <v>1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f aca="false">I28+J28</f>
        <v>0</v>
      </c>
      <c r="AR28" s="11" t="str">
        <f aca="false">IF(AQ28&gt;0,I28/AQ28,"")</f>
        <v/>
      </c>
      <c r="AS28" s="11" t="str">
        <f aca="false">IF((P28+Q28)&gt;0,P28/(P28+Q28),"")</f>
        <v/>
      </c>
      <c r="AT28" s="12" t="str">
        <f aca="false">IF(AND(ISNUMBER(AR28),ISNUMBER(AS28)),(AR28-AS28)*100,"")</f>
        <v/>
      </c>
      <c r="AU28" s="12" t="n">
        <f aca="false">IF(G28&gt;0,I28/G28*1000,"")</f>
        <v>0</v>
      </c>
      <c r="AV28" s="12" t="n">
        <f aca="false">IF(G28&gt;0,H28/G28*10000,"")</f>
        <v>0</v>
      </c>
      <c r="AW28" s="12" t="n">
        <f aca="false">IF(G28&gt;0,W28/G28*10000,"")</f>
        <v>56.0538116591928</v>
      </c>
      <c r="AX28" s="12" t="str">
        <f aca="false">IF(I28&gt;0,K28/I28*100,"")</f>
        <v/>
      </c>
      <c r="AY28" s="9" t="str">
        <f aca="false">IF(AQ28&gt;=100,"ok",IF(AQ28&gt;0,"effectif faible (&lt;100)","aucune association"))</f>
        <v>aucune association</v>
      </c>
    </row>
    <row r="29" customFormat="false" ht="15" hidden="false" customHeight="false" outlineLevel="0" collapsed="false">
      <c r="A29" s="9" t="s">
        <v>174</v>
      </c>
      <c r="B29" s="9" t="s">
        <v>175</v>
      </c>
      <c r="C29" s="9" t="s">
        <v>100</v>
      </c>
      <c r="D29" s="9" t="s">
        <v>101</v>
      </c>
      <c r="E29" s="9" t="s">
        <v>102</v>
      </c>
      <c r="F29" s="9" t="s">
        <v>135</v>
      </c>
      <c r="G29" s="10" t="n">
        <v>2120</v>
      </c>
      <c r="H29" s="10" t="n">
        <v>3</v>
      </c>
      <c r="I29" s="10" t="n">
        <v>43</v>
      </c>
      <c r="J29" s="10" t="n">
        <v>276</v>
      </c>
      <c r="K29" s="10" t="n">
        <v>21</v>
      </c>
      <c r="L29" s="10" t="n">
        <v>2</v>
      </c>
      <c r="M29" s="10" t="n">
        <v>2</v>
      </c>
      <c r="N29" s="10" t="n">
        <v>0</v>
      </c>
      <c r="O29" s="10" t="n">
        <v>3</v>
      </c>
      <c r="P29" s="10" t="n">
        <v>46</v>
      </c>
      <c r="Q29" s="10" t="n">
        <v>295</v>
      </c>
      <c r="R29" s="10" t="n">
        <v>0</v>
      </c>
      <c r="S29" s="10" t="n">
        <v>0</v>
      </c>
      <c r="T29" s="10" t="n">
        <v>0</v>
      </c>
      <c r="U29" s="10" t="n">
        <v>3</v>
      </c>
      <c r="V29" s="10" t="n">
        <v>0</v>
      </c>
      <c r="W29" s="10" t="n">
        <v>7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4</v>
      </c>
      <c r="AF29" s="10" t="n">
        <v>4</v>
      </c>
      <c r="AG29" s="10" t="n">
        <v>3</v>
      </c>
      <c r="AH29" s="10" t="n">
        <v>3</v>
      </c>
      <c r="AI29" s="10" t="n">
        <v>2</v>
      </c>
      <c r="AJ29" s="10" t="n">
        <v>444</v>
      </c>
      <c r="AK29" s="10" t="n">
        <v>445</v>
      </c>
      <c r="AL29" s="10" t="n">
        <v>321</v>
      </c>
      <c r="AM29" s="10" t="n">
        <v>337</v>
      </c>
      <c r="AN29" s="10" t="n">
        <v>224</v>
      </c>
      <c r="AO29" s="10" t="n">
        <v>341</v>
      </c>
      <c r="AP29" s="10" t="n">
        <v>319</v>
      </c>
      <c r="AQ29" s="10" t="n">
        <f aca="false">I29+J29</f>
        <v>319</v>
      </c>
      <c r="AR29" s="11" t="n">
        <f aca="false">IF(AQ29&gt;0,I29/AQ29,"")</f>
        <v>0.134796238244514</v>
      </c>
      <c r="AS29" s="11" t="n">
        <f aca="false">IF((P29+Q29)&gt;0,P29/(P29+Q29),"")</f>
        <v>0.134897360703812</v>
      </c>
      <c r="AT29" s="12" t="n">
        <f aca="false">IF(AND(ISNUMBER(AR29),ISNUMBER(AS29)),(AR29-AS29)*100,"")</f>
        <v>-0.0101122459298192</v>
      </c>
      <c r="AU29" s="12" t="n">
        <f aca="false">IF(G29&gt;0,I29/G29*1000,"")</f>
        <v>20.2830188679245</v>
      </c>
      <c r="AV29" s="12" t="n">
        <f aca="false">IF(G29&gt;0,H29/G29*10000,"")</f>
        <v>14.1509433962264</v>
      </c>
      <c r="AW29" s="12" t="n">
        <f aca="false">IF(G29&gt;0,W29/G29*10000,"")</f>
        <v>33.0188679245283</v>
      </c>
      <c r="AX29" s="12" t="n">
        <f aca="false">IF(I29&gt;0,K29/I29*100,"")</f>
        <v>48.8372093023256</v>
      </c>
      <c r="AY29" s="9" t="str">
        <f aca="false">IF(AQ29&gt;=100,"ok",IF(AQ29&gt;0,"effectif faible (&lt;100)","aucune association"))</f>
        <v>ok</v>
      </c>
    </row>
    <row r="30" customFormat="false" ht="15" hidden="false" customHeight="false" outlineLevel="0" collapsed="false">
      <c r="A30" s="9" t="s">
        <v>176</v>
      </c>
      <c r="B30" s="9" t="s">
        <v>177</v>
      </c>
      <c r="C30" s="9" t="s">
        <v>124</v>
      </c>
      <c r="D30" s="9" t="s">
        <v>107</v>
      </c>
      <c r="E30" s="9" t="s">
        <v>125</v>
      </c>
      <c r="F30" s="9" t="s">
        <v>117</v>
      </c>
      <c r="G30" s="10" t="n">
        <v>1185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4</v>
      </c>
      <c r="X30" s="10" t="n">
        <v>1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f aca="false">I30+J30</f>
        <v>0</v>
      </c>
      <c r="AR30" s="11" t="str">
        <f aca="false">IF(AQ30&gt;0,I30/AQ30,"")</f>
        <v/>
      </c>
      <c r="AS30" s="11" t="str">
        <f aca="false">IF((P30+Q30)&gt;0,P30/(P30+Q30),"")</f>
        <v/>
      </c>
      <c r="AT30" s="12" t="str">
        <f aca="false">IF(AND(ISNUMBER(AR30),ISNUMBER(AS30)),(AR30-AS30)*100,"")</f>
        <v/>
      </c>
      <c r="AU30" s="12" t="n">
        <f aca="false">IF(G30&gt;0,I30/G30*1000,"")</f>
        <v>0</v>
      </c>
      <c r="AV30" s="12" t="n">
        <f aca="false">IF(G30&gt;0,H30/G30*10000,"")</f>
        <v>0</v>
      </c>
      <c r="AW30" s="12" t="n">
        <f aca="false">IF(G30&gt;0,W30/G30*10000,"")</f>
        <v>33.7552742616034</v>
      </c>
      <c r="AX30" s="12" t="str">
        <f aca="false">IF(I30&gt;0,K30/I30*100,"")</f>
        <v/>
      </c>
      <c r="AY30" s="9" t="str">
        <f aca="false">IF(AQ30&gt;=100,"ok",IF(AQ30&gt;0,"effectif faible (&lt;100)","aucune association"))</f>
        <v>aucune association</v>
      </c>
    </row>
    <row r="31" customFormat="false" ht="15" hidden="false" customHeight="false" outlineLevel="0" collapsed="false">
      <c r="A31" s="9" t="s">
        <v>178</v>
      </c>
      <c r="B31" s="9" t="s">
        <v>179</v>
      </c>
      <c r="C31" s="9" t="s">
        <v>146</v>
      </c>
      <c r="D31" s="9" t="s">
        <v>101</v>
      </c>
      <c r="E31" s="9" t="s">
        <v>116</v>
      </c>
      <c r="F31" s="9" t="s">
        <v>117</v>
      </c>
      <c r="G31" s="10" t="n">
        <v>6593</v>
      </c>
      <c r="H31" s="10" t="n">
        <v>6</v>
      </c>
      <c r="I31" s="10" t="n">
        <v>692</v>
      </c>
      <c r="J31" s="10" t="n">
        <v>524</v>
      </c>
      <c r="K31" s="10" t="n">
        <v>99</v>
      </c>
      <c r="L31" s="10" t="n">
        <v>11</v>
      </c>
      <c r="M31" s="10" t="n">
        <v>0</v>
      </c>
      <c r="N31" s="10" t="n">
        <v>2</v>
      </c>
      <c r="O31" s="10" t="n">
        <v>5</v>
      </c>
      <c r="P31" s="10" t="n">
        <v>617</v>
      </c>
      <c r="Q31" s="10" t="n">
        <v>487</v>
      </c>
      <c r="R31" s="10" t="n">
        <v>1</v>
      </c>
      <c r="S31" s="10" t="n">
        <v>76</v>
      </c>
      <c r="T31" s="10" t="n">
        <v>4</v>
      </c>
      <c r="U31" s="10" t="n">
        <v>5</v>
      </c>
      <c r="V31" s="10" t="n">
        <v>1</v>
      </c>
      <c r="W31" s="10" t="n">
        <v>10</v>
      </c>
      <c r="X31" s="10" t="n">
        <v>0</v>
      </c>
      <c r="Y31" s="10" t="n">
        <v>0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5</v>
      </c>
      <c r="AF31" s="10" t="n">
        <v>4</v>
      </c>
      <c r="AG31" s="10" t="n">
        <v>5</v>
      </c>
      <c r="AH31" s="10" t="n">
        <v>4</v>
      </c>
      <c r="AI31" s="10" t="n">
        <v>3</v>
      </c>
      <c r="AJ31" s="10" t="n">
        <v>602</v>
      </c>
      <c r="AK31" s="10" t="n">
        <v>527</v>
      </c>
      <c r="AL31" s="10" t="n">
        <v>621</v>
      </c>
      <c r="AM31" s="10" t="n">
        <v>567</v>
      </c>
      <c r="AN31" s="10" t="n">
        <v>499</v>
      </c>
      <c r="AO31" s="10" t="n">
        <v>1104</v>
      </c>
      <c r="AP31" s="10" t="n">
        <v>1216</v>
      </c>
      <c r="AQ31" s="10" t="n">
        <f aca="false">I31+J31</f>
        <v>1216</v>
      </c>
      <c r="AR31" s="11" t="n">
        <f aca="false">IF(AQ31&gt;0,I31/AQ31,"")</f>
        <v>0.569078947368421</v>
      </c>
      <c r="AS31" s="11" t="n">
        <f aca="false">IF((P31+Q31)&gt;0,P31/(P31+Q31),"")</f>
        <v>0.558876811594203</v>
      </c>
      <c r="AT31" s="12" t="n">
        <f aca="false">IF(AND(ISNUMBER(AR31),ISNUMBER(AS31)),(AR31-AS31)*100,"")</f>
        <v>1.02021357742181</v>
      </c>
      <c r="AU31" s="12" t="n">
        <f aca="false">IF(G31&gt;0,I31/G31*1000,"")</f>
        <v>104.959805854694</v>
      </c>
      <c r="AV31" s="12" t="n">
        <f aca="false">IF(G31&gt;0,H31/G31*10000,"")</f>
        <v>9.10056120127408</v>
      </c>
      <c r="AW31" s="12" t="n">
        <f aca="false">IF(G31&gt;0,W31/G31*10000,"")</f>
        <v>15.1676020021235</v>
      </c>
      <c r="AX31" s="12" t="n">
        <f aca="false">IF(I31&gt;0,K31/I31*100,"")</f>
        <v>14.3063583815029</v>
      </c>
      <c r="AY31" s="9" t="str">
        <f aca="false">IF(AQ31&gt;=100,"ok",IF(AQ31&gt;0,"effectif faible (&lt;100)","aucune association"))</f>
        <v>ok</v>
      </c>
    </row>
    <row r="32" customFormat="false" ht="15" hidden="false" customHeight="false" outlineLevel="0" collapsed="false">
      <c r="A32" s="9" t="s">
        <v>180</v>
      </c>
      <c r="B32" s="9" t="s">
        <v>181</v>
      </c>
      <c r="C32" s="9" t="s">
        <v>182</v>
      </c>
      <c r="D32" s="9" t="s">
        <v>101</v>
      </c>
      <c r="E32" s="9" t="s">
        <v>125</v>
      </c>
      <c r="F32" s="9" t="s">
        <v>103</v>
      </c>
      <c r="G32" s="10" t="n">
        <v>314</v>
      </c>
      <c r="H32" s="10" t="n">
        <v>1</v>
      </c>
      <c r="I32" s="10" t="n">
        <v>72</v>
      </c>
      <c r="J32" s="10" t="n">
        <v>20</v>
      </c>
      <c r="K32" s="10" t="n">
        <v>7</v>
      </c>
      <c r="L32" s="10" t="n">
        <v>0</v>
      </c>
      <c r="M32" s="10" t="n">
        <v>0</v>
      </c>
      <c r="N32" s="10" t="n">
        <v>1</v>
      </c>
      <c r="O32" s="10" t="n">
        <v>1</v>
      </c>
      <c r="P32" s="10" t="n">
        <v>60</v>
      </c>
      <c r="Q32" s="10" t="n">
        <v>20</v>
      </c>
      <c r="R32" s="10" t="n">
        <v>0</v>
      </c>
      <c r="S32" s="10" t="n">
        <v>0</v>
      </c>
      <c r="T32" s="10" t="n">
        <v>0</v>
      </c>
      <c r="U32" s="10" t="n">
        <v>1</v>
      </c>
      <c r="V32" s="10" t="n">
        <v>0</v>
      </c>
      <c r="W32" s="10" t="n">
        <v>3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1</v>
      </c>
      <c r="AI32" s="10" t="n">
        <v>1</v>
      </c>
      <c r="AJ32" s="10" t="n">
        <v>0</v>
      </c>
      <c r="AK32" s="10" t="n">
        <v>0</v>
      </c>
      <c r="AL32" s="10" t="n">
        <v>0</v>
      </c>
      <c r="AM32" s="10" t="n">
        <v>6</v>
      </c>
      <c r="AN32" s="10" t="n">
        <v>12</v>
      </c>
      <c r="AO32" s="10" t="n">
        <v>80</v>
      </c>
      <c r="AP32" s="10" t="n">
        <v>92</v>
      </c>
      <c r="AQ32" s="10" t="n">
        <f aca="false">I32+J32</f>
        <v>92</v>
      </c>
      <c r="AR32" s="11" t="n">
        <f aca="false">IF(AQ32&gt;0,I32/AQ32,"")</f>
        <v>0.782608695652174</v>
      </c>
      <c r="AS32" s="11" t="n">
        <f aca="false">IF((P32+Q32)&gt;0,P32/(P32+Q32),"")</f>
        <v>0.75</v>
      </c>
      <c r="AT32" s="12" t="n">
        <f aca="false">IF(AND(ISNUMBER(AR32),ISNUMBER(AS32)),(AR32-AS32)*100,"")</f>
        <v>3.26086956521739</v>
      </c>
      <c r="AU32" s="12" t="n">
        <f aca="false">IF(G32&gt;0,I32/G32*1000,"")</f>
        <v>229.299363057325</v>
      </c>
      <c r="AV32" s="12" t="n">
        <f aca="false">IF(G32&gt;0,H32/G32*10000,"")</f>
        <v>31.8471337579618</v>
      </c>
      <c r="AW32" s="12" t="n">
        <f aca="false">IF(G32&gt;0,W32/G32*10000,"")</f>
        <v>95.5414012738853</v>
      </c>
      <c r="AX32" s="12" t="n">
        <f aca="false">IF(I32&gt;0,K32/I32*100,"")</f>
        <v>9.72222222222222</v>
      </c>
      <c r="AY32" s="9" t="str">
        <f aca="false">IF(AQ32&gt;=100,"ok",IF(AQ32&gt;0,"effectif faible (&lt;100)","aucune association"))</f>
        <v>effectif faible (&lt;100)</v>
      </c>
    </row>
    <row r="33" customFormat="false" ht="15" hidden="false" customHeight="false" outlineLevel="0" collapsed="false">
      <c r="A33" s="9" t="s">
        <v>183</v>
      </c>
      <c r="B33" s="9" t="s">
        <v>184</v>
      </c>
      <c r="C33" s="9" t="s">
        <v>106</v>
      </c>
      <c r="D33" s="9" t="s">
        <v>101</v>
      </c>
      <c r="E33" s="9" t="s">
        <v>108</v>
      </c>
      <c r="F33" s="9" t="s">
        <v>143</v>
      </c>
      <c r="G33" s="10" t="n">
        <v>954</v>
      </c>
      <c r="H33" s="10" t="n">
        <v>1</v>
      </c>
      <c r="I33" s="10" t="n">
        <v>17</v>
      </c>
      <c r="J33" s="10" t="n">
        <v>23</v>
      </c>
      <c r="K33" s="10" t="n">
        <v>8</v>
      </c>
      <c r="L33" s="10" t="n">
        <v>3</v>
      </c>
      <c r="M33" s="10" t="n">
        <v>0</v>
      </c>
      <c r="N33" s="10" t="n">
        <v>0</v>
      </c>
      <c r="O33" s="10" t="n">
        <v>2</v>
      </c>
      <c r="P33" s="10" t="n">
        <v>74</v>
      </c>
      <c r="Q33" s="10" t="n">
        <v>56</v>
      </c>
      <c r="R33" s="10" t="n">
        <v>0</v>
      </c>
      <c r="S33" s="10" t="n">
        <v>0</v>
      </c>
      <c r="T33" s="10" t="n">
        <v>0</v>
      </c>
      <c r="U33" s="10" t="n">
        <v>1</v>
      </c>
      <c r="V33" s="10" t="n">
        <v>0</v>
      </c>
      <c r="W33" s="10" t="n">
        <v>5</v>
      </c>
      <c r="X33" s="10" t="n">
        <v>2</v>
      </c>
      <c r="Y33" s="10" t="n">
        <v>0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2</v>
      </c>
      <c r="AF33" s="10" t="n">
        <v>2</v>
      </c>
      <c r="AG33" s="10" t="n">
        <v>2</v>
      </c>
      <c r="AH33" s="10" t="n">
        <v>2</v>
      </c>
      <c r="AI33" s="10" t="n">
        <v>2</v>
      </c>
      <c r="AJ33" s="10" t="n">
        <v>132</v>
      </c>
      <c r="AK33" s="10" t="n">
        <v>103</v>
      </c>
      <c r="AL33" s="10" t="n">
        <v>47</v>
      </c>
      <c r="AM33" s="10" t="n">
        <v>76</v>
      </c>
      <c r="AN33" s="10" t="n">
        <v>93</v>
      </c>
      <c r="AO33" s="10" t="n">
        <v>130</v>
      </c>
      <c r="AP33" s="10" t="n">
        <v>40</v>
      </c>
      <c r="AQ33" s="10" t="n">
        <f aca="false">I33+J33</f>
        <v>40</v>
      </c>
      <c r="AR33" s="11" t="n">
        <f aca="false">IF(AQ33&gt;0,I33/AQ33,"")</f>
        <v>0.425</v>
      </c>
      <c r="AS33" s="11" t="n">
        <f aca="false">IF((P33+Q33)&gt;0,P33/(P33+Q33),"")</f>
        <v>0.569230769230769</v>
      </c>
      <c r="AT33" s="12" t="n">
        <f aca="false">IF(AND(ISNUMBER(AR33),ISNUMBER(AS33)),(AR33-AS33)*100,"")</f>
        <v>-14.4230769230769</v>
      </c>
      <c r="AU33" s="12" t="n">
        <f aca="false">IF(G33&gt;0,I33/G33*1000,"")</f>
        <v>17.8197064989518</v>
      </c>
      <c r="AV33" s="12" t="n">
        <f aca="false">IF(G33&gt;0,H33/G33*10000,"")</f>
        <v>10.482180293501</v>
      </c>
      <c r="AW33" s="12" t="n">
        <f aca="false">IF(G33&gt;0,W33/G33*10000,"")</f>
        <v>52.4109014675052</v>
      </c>
      <c r="AX33" s="12" t="n">
        <f aca="false">IF(I33&gt;0,K33/I33*100,"")</f>
        <v>47.0588235294118</v>
      </c>
      <c r="AY33" s="9" t="str">
        <f aca="false">IF(AQ33&gt;=100,"ok",IF(AQ33&gt;0,"effectif faible (&lt;100)","aucune association"))</f>
        <v>effectif faible (&lt;100)</v>
      </c>
    </row>
    <row r="34" customFormat="false" ht="15" hidden="false" customHeight="false" outlineLevel="0" collapsed="false">
      <c r="A34" s="9" t="s">
        <v>185</v>
      </c>
      <c r="B34" s="9" t="s">
        <v>186</v>
      </c>
      <c r="C34" s="9" t="s">
        <v>100</v>
      </c>
      <c r="D34" s="9" t="s">
        <v>107</v>
      </c>
      <c r="E34" s="9" t="s">
        <v>102</v>
      </c>
      <c r="F34" s="9" t="s">
        <v>103</v>
      </c>
      <c r="G34" s="10" t="n">
        <v>262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2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f aca="false">I34+J34</f>
        <v>0</v>
      </c>
      <c r="AR34" s="11" t="str">
        <f aca="false">IF(AQ34&gt;0,I34/AQ34,"")</f>
        <v/>
      </c>
      <c r="AS34" s="11" t="str">
        <f aca="false">IF((P34+Q34)&gt;0,P34/(P34+Q34),"")</f>
        <v/>
      </c>
      <c r="AT34" s="12" t="str">
        <f aca="false">IF(AND(ISNUMBER(AR34),ISNUMBER(AS34)),(AR34-AS34)*100,"")</f>
        <v/>
      </c>
      <c r="AU34" s="12" t="n">
        <f aca="false">IF(G34&gt;0,I34/G34*1000,"")</f>
        <v>0</v>
      </c>
      <c r="AV34" s="12" t="n">
        <f aca="false">IF(G34&gt;0,H34/G34*10000,"")</f>
        <v>0</v>
      </c>
      <c r="AW34" s="12" t="n">
        <f aca="false">IF(G34&gt;0,W34/G34*10000,"")</f>
        <v>76.3358778625954</v>
      </c>
      <c r="AX34" s="12" t="str">
        <f aca="false">IF(I34&gt;0,K34/I34*100,"")</f>
        <v/>
      </c>
      <c r="AY34" s="9" t="str">
        <f aca="false">IF(AQ34&gt;=100,"ok",IF(AQ34&gt;0,"effectif faible (&lt;100)","aucune association"))</f>
        <v>aucune association</v>
      </c>
    </row>
    <row r="35" customFormat="false" ht="15" hidden="false" customHeight="false" outlineLevel="0" collapsed="false">
      <c r="A35" s="9" t="s">
        <v>187</v>
      </c>
      <c r="B35" s="9" t="s">
        <v>188</v>
      </c>
      <c r="C35" s="9" t="s">
        <v>155</v>
      </c>
      <c r="D35" s="9" t="s">
        <v>101</v>
      </c>
      <c r="E35" s="9" t="s">
        <v>156</v>
      </c>
      <c r="F35" s="9" t="s">
        <v>135</v>
      </c>
      <c r="G35" s="10" t="n">
        <v>4921</v>
      </c>
      <c r="H35" s="10" t="n">
        <v>2</v>
      </c>
      <c r="I35" s="10" t="n">
        <v>28</v>
      </c>
      <c r="J35" s="10" t="n">
        <v>235</v>
      </c>
      <c r="K35" s="10" t="n">
        <v>30</v>
      </c>
      <c r="L35" s="10" t="n">
        <v>0</v>
      </c>
      <c r="M35" s="10" t="n">
        <v>1</v>
      </c>
      <c r="N35" s="10" t="n">
        <v>0</v>
      </c>
      <c r="O35" s="10" t="n">
        <v>2</v>
      </c>
      <c r="P35" s="10" t="n">
        <v>24</v>
      </c>
      <c r="Q35" s="10" t="n">
        <v>237</v>
      </c>
      <c r="R35" s="10" t="n">
        <v>0</v>
      </c>
      <c r="S35" s="10" t="n">
        <v>0</v>
      </c>
      <c r="T35" s="10" t="n">
        <v>0</v>
      </c>
      <c r="U35" s="10" t="n">
        <v>2</v>
      </c>
      <c r="V35" s="10" t="n">
        <v>0</v>
      </c>
      <c r="W35" s="10" t="n">
        <v>7</v>
      </c>
      <c r="X35" s="10" t="n">
        <v>1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2</v>
      </c>
      <c r="AF35" s="10" t="n">
        <v>2</v>
      </c>
      <c r="AG35" s="10" t="n">
        <v>2</v>
      </c>
      <c r="AH35" s="10" t="n">
        <v>2</v>
      </c>
      <c r="AI35" s="10" t="n">
        <v>2</v>
      </c>
      <c r="AJ35" s="10" t="n">
        <v>328</v>
      </c>
      <c r="AK35" s="10" t="n">
        <v>309</v>
      </c>
      <c r="AL35" s="10" t="n">
        <v>321</v>
      </c>
      <c r="AM35" s="10" t="n">
        <v>297</v>
      </c>
      <c r="AN35" s="10" t="n">
        <v>235</v>
      </c>
      <c r="AO35" s="10" t="n">
        <v>261</v>
      </c>
      <c r="AP35" s="10" t="n">
        <v>263</v>
      </c>
      <c r="AQ35" s="10" t="n">
        <f aca="false">I35+J35</f>
        <v>263</v>
      </c>
      <c r="AR35" s="11" t="n">
        <f aca="false">IF(AQ35&gt;0,I35/AQ35,"")</f>
        <v>0.106463878326996</v>
      </c>
      <c r="AS35" s="11" t="n">
        <f aca="false">IF((P35+Q35)&gt;0,P35/(P35+Q35),"")</f>
        <v>0.0919540229885058</v>
      </c>
      <c r="AT35" s="12" t="n">
        <f aca="false">IF(AND(ISNUMBER(AR35),ISNUMBER(AS35)),(AR35-AS35)*100,"")</f>
        <v>1.45098553384904</v>
      </c>
      <c r="AU35" s="12" t="n">
        <f aca="false">IF(G35&gt;0,I35/G35*1000,"")</f>
        <v>5.68990042674253</v>
      </c>
      <c r="AV35" s="12" t="n">
        <f aca="false">IF(G35&gt;0,H35/G35*10000,"")</f>
        <v>4.06421459053038</v>
      </c>
      <c r="AW35" s="12" t="n">
        <f aca="false">IF(G35&gt;0,W35/G35*10000,"")</f>
        <v>14.2247510668563</v>
      </c>
      <c r="AX35" s="12" t="n">
        <f aca="false">IF(I35&gt;0,K35/I35*100,"")</f>
        <v>107.142857142857</v>
      </c>
      <c r="AY35" s="9" t="str">
        <f aca="false">IF(AQ35&gt;=100,"ok",IF(AQ35&gt;0,"effectif faible (&lt;100)","aucune association"))</f>
        <v>ok</v>
      </c>
    </row>
    <row r="36" customFormat="false" ht="15" hidden="false" customHeight="false" outlineLevel="0" collapsed="false">
      <c r="A36" s="9" t="s">
        <v>189</v>
      </c>
      <c r="B36" s="9" t="s">
        <v>190</v>
      </c>
      <c r="C36" s="9" t="s">
        <v>100</v>
      </c>
      <c r="D36" s="9" t="s">
        <v>107</v>
      </c>
      <c r="E36" s="9" t="s">
        <v>102</v>
      </c>
      <c r="F36" s="9" t="s">
        <v>103</v>
      </c>
      <c r="G36" s="10" t="n">
        <v>432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2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f aca="false">I36+J36</f>
        <v>0</v>
      </c>
      <c r="AR36" s="11" t="str">
        <f aca="false">IF(AQ36&gt;0,I36/AQ36,"")</f>
        <v/>
      </c>
      <c r="AS36" s="11" t="str">
        <f aca="false">IF((P36+Q36)&gt;0,P36/(P36+Q36),"")</f>
        <v/>
      </c>
      <c r="AT36" s="12" t="str">
        <f aca="false">IF(AND(ISNUMBER(AR36),ISNUMBER(AS36)),(AR36-AS36)*100,"")</f>
        <v/>
      </c>
      <c r="AU36" s="12" t="n">
        <f aca="false">IF(G36&gt;0,I36/G36*1000,"")</f>
        <v>0</v>
      </c>
      <c r="AV36" s="12" t="n">
        <f aca="false">IF(G36&gt;0,H36/G36*10000,"")</f>
        <v>0</v>
      </c>
      <c r="AW36" s="12" t="n">
        <f aca="false">IF(G36&gt;0,W36/G36*10000,"")</f>
        <v>46.2962962962963</v>
      </c>
      <c r="AX36" s="12" t="str">
        <f aca="false">IF(I36&gt;0,K36/I36*100,"")</f>
        <v/>
      </c>
      <c r="AY36" s="9" t="str">
        <f aca="false">IF(AQ36&gt;=100,"ok",IF(AQ36&gt;0,"effectif faible (&lt;100)","aucune association"))</f>
        <v>aucune association</v>
      </c>
    </row>
    <row r="37" customFormat="false" ht="15" hidden="false" customHeight="false" outlineLevel="0" collapsed="false">
      <c r="A37" s="9" t="s">
        <v>191</v>
      </c>
      <c r="B37" s="9" t="s">
        <v>192</v>
      </c>
      <c r="C37" s="9" t="s">
        <v>106</v>
      </c>
      <c r="D37" s="9" t="s">
        <v>107</v>
      </c>
      <c r="E37" s="9" t="s">
        <v>108</v>
      </c>
      <c r="F37" s="9" t="s">
        <v>103</v>
      </c>
      <c r="G37" s="10" t="n">
        <v>329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1</v>
      </c>
      <c r="X37" s="10" t="n">
        <v>0</v>
      </c>
      <c r="Y37" s="10" t="n">
        <v>0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f aca="false">I37+J37</f>
        <v>0</v>
      </c>
      <c r="AR37" s="11" t="str">
        <f aca="false">IF(AQ37&gt;0,I37/AQ37,"")</f>
        <v/>
      </c>
      <c r="AS37" s="11" t="str">
        <f aca="false">IF((P37+Q37)&gt;0,P37/(P37+Q37),"")</f>
        <v/>
      </c>
      <c r="AT37" s="12" t="str">
        <f aca="false">IF(AND(ISNUMBER(AR37),ISNUMBER(AS37)),(AR37-AS37)*100,"")</f>
        <v/>
      </c>
      <c r="AU37" s="12" t="n">
        <f aca="false">IF(G37&gt;0,I37/G37*1000,"")</f>
        <v>0</v>
      </c>
      <c r="AV37" s="12" t="n">
        <f aca="false">IF(G37&gt;0,H37/G37*10000,"")</f>
        <v>0</v>
      </c>
      <c r="AW37" s="12" t="n">
        <f aca="false">IF(G37&gt;0,W37/G37*10000,"")</f>
        <v>30.3951367781155</v>
      </c>
      <c r="AX37" s="12" t="str">
        <f aca="false">IF(I37&gt;0,K37/I37*100,"")</f>
        <v/>
      </c>
      <c r="AY37" s="9" t="str">
        <f aca="false">IF(AQ37&gt;=100,"ok",IF(AQ37&gt;0,"effectif faible (&lt;100)","aucune association"))</f>
        <v>aucune association</v>
      </c>
    </row>
    <row r="38" customFormat="false" ht="15" hidden="false" customHeight="false" outlineLevel="0" collapsed="false">
      <c r="A38" s="9" t="s">
        <v>193</v>
      </c>
      <c r="B38" s="9" t="s">
        <v>194</v>
      </c>
      <c r="C38" s="9" t="s">
        <v>140</v>
      </c>
      <c r="D38" s="9" t="s">
        <v>101</v>
      </c>
      <c r="E38" s="9" t="s">
        <v>128</v>
      </c>
      <c r="F38" s="9" t="s">
        <v>135</v>
      </c>
      <c r="G38" s="10" t="n">
        <v>2252</v>
      </c>
      <c r="H38" s="10" t="n">
        <v>1</v>
      </c>
      <c r="I38" s="10" t="n">
        <v>49</v>
      </c>
      <c r="J38" s="10" t="n">
        <v>73</v>
      </c>
      <c r="K38" s="10" t="n">
        <v>15</v>
      </c>
      <c r="L38" s="10" t="n">
        <v>1</v>
      </c>
      <c r="M38" s="10" t="n">
        <v>0</v>
      </c>
      <c r="N38" s="10" t="n">
        <v>0</v>
      </c>
      <c r="O38" s="10" t="n">
        <v>1</v>
      </c>
      <c r="P38" s="10" t="n">
        <v>61</v>
      </c>
      <c r="Q38" s="10" t="n">
        <v>94</v>
      </c>
      <c r="R38" s="10" t="n">
        <v>0</v>
      </c>
      <c r="S38" s="10" t="n">
        <v>0</v>
      </c>
      <c r="T38" s="10" t="n">
        <v>0</v>
      </c>
      <c r="U38" s="10" t="n">
        <v>1</v>
      </c>
      <c r="V38" s="10" t="n">
        <v>0</v>
      </c>
      <c r="W38" s="10" t="n">
        <v>7</v>
      </c>
      <c r="X38" s="10" t="n">
        <v>2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3</v>
      </c>
      <c r="AF38" s="10" t="n">
        <v>2</v>
      </c>
      <c r="AG38" s="10" t="n">
        <v>0</v>
      </c>
      <c r="AH38" s="10" t="n">
        <v>0</v>
      </c>
      <c r="AI38" s="10" t="n">
        <v>1</v>
      </c>
      <c r="AJ38" s="10" t="n">
        <v>239</v>
      </c>
      <c r="AK38" s="10" t="n">
        <v>137</v>
      </c>
      <c r="AL38" s="10" t="n">
        <v>0</v>
      </c>
      <c r="AM38" s="10" t="n">
        <v>0</v>
      </c>
      <c r="AN38" s="10" t="n">
        <v>141</v>
      </c>
      <c r="AO38" s="10" t="n">
        <v>155</v>
      </c>
      <c r="AP38" s="10" t="n">
        <v>122</v>
      </c>
      <c r="AQ38" s="10" t="n">
        <f aca="false">I38+J38</f>
        <v>122</v>
      </c>
      <c r="AR38" s="11" t="n">
        <f aca="false">IF(AQ38&gt;0,I38/AQ38,"")</f>
        <v>0.401639344262295</v>
      </c>
      <c r="AS38" s="11" t="n">
        <f aca="false">IF((P38+Q38)&gt;0,P38/(P38+Q38),"")</f>
        <v>0.393548387096774</v>
      </c>
      <c r="AT38" s="12" t="n">
        <f aca="false">IF(AND(ISNUMBER(AR38),ISNUMBER(AS38)),(AR38-AS38)*100,"")</f>
        <v>0.809095716552089</v>
      </c>
      <c r="AU38" s="12" t="n">
        <f aca="false">IF(G38&gt;0,I38/G38*1000,"")</f>
        <v>21.7584369449378</v>
      </c>
      <c r="AV38" s="12" t="n">
        <f aca="false">IF(G38&gt;0,H38/G38*10000,"")</f>
        <v>4.4404973357016</v>
      </c>
      <c r="AW38" s="12" t="n">
        <f aca="false">IF(G38&gt;0,W38/G38*10000,"")</f>
        <v>31.0834813499112</v>
      </c>
      <c r="AX38" s="12" t="n">
        <f aca="false">IF(I38&gt;0,K38/I38*100,"")</f>
        <v>30.6122448979592</v>
      </c>
      <c r="AY38" s="9" t="str">
        <f aca="false">IF(AQ38&gt;=100,"ok",IF(AQ38&gt;0,"effectif faible (&lt;100)","aucune association"))</f>
        <v>ok</v>
      </c>
    </row>
    <row r="39" customFormat="false" ht="15" hidden="false" customHeight="false" outlineLevel="0" collapsed="false">
      <c r="A39" s="9" t="s">
        <v>195</v>
      </c>
      <c r="B39" s="9" t="s">
        <v>196</v>
      </c>
      <c r="C39" s="9" t="s">
        <v>155</v>
      </c>
      <c r="D39" s="9" t="s">
        <v>107</v>
      </c>
      <c r="E39" s="9" t="s">
        <v>197</v>
      </c>
      <c r="F39" s="9" t="s">
        <v>135</v>
      </c>
      <c r="G39" s="10" t="n">
        <v>435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3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0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f aca="false">I39+J39</f>
        <v>0</v>
      </c>
      <c r="AR39" s="11" t="str">
        <f aca="false">IF(AQ39&gt;0,I39/AQ39,"")</f>
        <v/>
      </c>
      <c r="AS39" s="11" t="str">
        <f aca="false">IF((P39+Q39)&gt;0,P39/(P39+Q39),"")</f>
        <v/>
      </c>
      <c r="AT39" s="12" t="str">
        <f aca="false">IF(AND(ISNUMBER(AR39),ISNUMBER(AS39)),(AR39-AS39)*100,"")</f>
        <v/>
      </c>
      <c r="AU39" s="12" t="n">
        <f aca="false">IF(G39&gt;0,I39/G39*1000,"")</f>
        <v>0</v>
      </c>
      <c r="AV39" s="12" t="n">
        <f aca="false">IF(G39&gt;0,H39/G39*10000,"")</f>
        <v>0</v>
      </c>
      <c r="AW39" s="12" t="n">
        <f aca="false">IF(G39&gt;0,W39/G39*10000,"")</f>
        <v>68.9655172413793</v>
      </c>
      <c r="AX39" s="12" t="str">
        <f aca="false">IF(I39&gt;0,K39/I39*100,"")</f>
        <v/>
      </c>
      <c r="AY39" s="9" t="str">
        <f aca="false">IF(AQ39&gt;=100,"ok",IF(AQ39&gt;0,"effectif faible (&lt;100)","aucune association"))</f>
        <v>aucune association</v>
      </c>
    </row>
    <row r="40" customFormat="false" ht="15" hidden="false" customHeight="false" outlineLevel="0" collapsed="false">
      <c r="A40" s="9" t="s">
        <v>198</v>
      </c>
      <c r="B40" s="9" t="s">
        <v>199</v>
      </c>
      <c r="C40" s="9" t="s">
        <v>200</v>
      </c>
      <c r="D40" s="9" t="s">
        <v>101</v>
      </c>
      <c r="E40" s="9" t="s">
        <v>173</v>
      </c>
      <c r="F40" s="9" t="s">
        <v>117</v>
      </c>
      <c r="G40" s="10" t="n">
        <v>70906</v>
      </c>
      <c r="H40" s="10" t="n">
        <v>26</v>
      </c>
      <c r="I40" s="10" t="n">
        <v>4719</v>
      </c>
      <c r="J40" s="10" t="n">
        <v>4176</v>
      </c>
      <c r="K40" s="10" t="n">
        <v>479</v>
      </c>
      <c r="L40" s="10" t="n">
        <v>53</v>
      </c>
      <c r="M40" s="10" t="n">
        <v>4</v>
      </c>
      <c r="N40" s="10" t="n">
        <v>6</v>
      </c>
      <c r="O40" s="10" t="n">
        <v>27</v>
      </c>
      <c r="P40" s="10" t="n">
        <v>4161</v>
      </c>
      <c r="Q40" s="10" t="n">
        <v>3761</v>
      </c>
      <c r="R40" s="10" t="n">
        <v>6</v>
      </c>
      <c r="S40" s="10" t="n">
        <v>990</v>
      </c>
      <c r="T40" s="10" t="n">
        <v>44</v>
      </c>
      <c r="U40" s="10" t="n">
        <v>27</v>
      </c>
      <c r="V40" s="10" t="n">
        <v>7</v>
      </c>
      <c r="W40" s="10" t="n">
        <v>60</v>
      </c>
      <c r="X40" s="10" t="n">
        <v>21</v>
      </c>
      <c r="Y40" s="10" t="n">
        <v>2</v>
      </c>
      <c r="Z40" s="10" t="n">
        <v>1</v>
      </c>
      <c r="AA40" s="10" t="n">
        <v>2</v>
      </c>
      <c r="AB40" s="10" t="n">
        <v>5</v>
      </c>
      <c r="AC40" s="10" t="n">
        <v>3</v>
      </c>
      <c r="AD40" s="10" t="n">
        <v>0</v>
      </c>
      <c r="AE40" s="10" t="n">
        <v>27</v>
      </c>
      <c r="AF40" s="10" t="n">
        <v>26</v>
      </c>
      <c r="AG40" s="10" t="n">
        <v>25</v>
      </c>
      <c r="AH40" s="10" t="n">
        <v>26</v>
      </c>
      <c r="AI40" s="10" t="n">
        <v>24</v>
      </c>
      <c r="AJ40" s="10" t="n">
        <v>5248</v>
      </c>
      <c r="AK40" s="10" t="n">
        <v>4943</v>
      </c>
      <c r="AL40" s="10" t="n">
        <v>4168</v>
      </c>
      <c r="AM40" s="10" t="n">
        <v>4045</v>
      </c>
      <c r="AN40" s="10" t="n">
        <v>5076</v>
      </c>
      <c r="AO40" s="10" t="n">
        <v>7922</v>
      </c>
      <c r="AP40" s="10" t="n">
        <v>8895</v>
      </c>
      <c r="AQ40" s="10" t="n">
        <f aca="false">I40+J40</f>
        <v>8895</v>
      </c>
      <c r="AR40" s="11" t="n">
        <f aca="false">IF(AQ40&gt;0,I40/AQ40,"")</f>
        <v>0.530522765598651</v>
      </c>
      <c r="AS40" s="11" t="n">
        <f aca="false">IF((P40+Q40)&gt;0,P40/(P40+Q40),"")</f>
        <v>0.525246149962131</v>
      </c>
      <c r="AT40" s="12" t="n">
        <f aca="false">IF(AND(ISNUMBER(AR40),ISNUMBER(AS40)),(AR40-AS40)*100,"")</f>
        <v>0.527661563652015</v>
      </c>
      <c r="AU40" s="12" t="n">
        <f aca="false">IF(G40&gt;0,I40/G40*1000,"")</f>
        <v>66.5529010238908</v>
      </c>
      <c r="AV40" s="12" t="n">
        <f aca="false">IF(G40&gt;0,H40/G40*10000,"")</f>
        <v>3.66682650269371</v>
      </c>
      <c r="AW40" s="12" t="n">
        <f aca="false">IF(G40&gt;0,W40/G40*10000,"")</f>
        <v>8.46190731390855</v>
      </c>
      <c r="AX40" s="12" t="n">
        <f aca="false">IF(I40&gt;0,K40/I40*100,"")</f>
        <v>10.1504556050011</v>
      </c>
      <c r="AY40" s="9" t="str">
        <f aca="false">IF(AQ40&gt;=100,"ok",IF(AQ40&gt;0,"effectif faible (&lt;100)","aucune association"))</f>
        <v>ok</v>
      </c>
    </row>
    <row r="41" customFormat="false" ht="15" hidden="false" customHeight="false" outlineLevel="0" collapsed="false">
      <c r="A41" s="9" t="s">
        <v>201</v>
      </c>
      <c r="B41" s="9" t="s">
        <v>202</v>
      </c>
      <c r="C41" s="9" t="s">
        <v>155</v>
      </c>
      <c r="D41" s="9" t="s">
        <v>101</v>
      </c>
      <c r="E41" s="9" t="s">
        <v>156</v>
      </c>
      <c r="F41" s="9" t="s">
        <v>135</v>
      </c>
      <c r="G41" s="10" t="n">
        <v>5036</v>
      </c>
      <c r="H41" s="10" t="n">
        <v>3</v>
      </c>
      <c r="I41" s="10" t="n">
        <v>55</v>
      </c>
      <c r="J41" s="10" t="n">
        <v>183</v>
      </c>
      <c r="K41" s="10" t="n">
        <v>16</v>
      </c>
      <c r="L41" s="10" t="n">
        <v>3</v>
      </c>
      <c r="M41" s="10" t="n">
        <v>1</v>
      </c>
      <c r="N41" s="10" t="n">
        <v>0</v>
      </c>
      <c r="O41" s="10" t="n">
        <v>1</v>
      </c>
      <c r="P41" s="10" t="n">
        <v>52</v>
      </c>
      <c r="Q41" s="10" t="n">
        <v>133</v>
      </c>
      <c r="R41" s="10" t="n">
        <v>0</v>
      </c>
      <c r="S41" s="10" t="n">
        <v>0</v>
      </c>
      <c r="T41" s="10" t="n">
        <v>0</v>
      </c>
      <c r="U41" s="10" t="n">
        <v>3</v>
      </c>
      <c r="V41" s="10" t="n">
        <v>0</v>
      </c>
      <c r="W41" s="10" t="n">
        <v>9</v>
      </c>
      <c r="X41" s="10" t="n">
        <v>3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2</v>
      </c>
      <c r="AF41" s="10" t="n">
        <v>2</v>
      </c>
      <c r="AG41" s="10" t="n">
        <v>2</v>
      </c>
      <c r="AH41" s="10" t="n">
        <v>2</v>
      </c>
      <c r="AI41" s="10" t="n">
        <v>2</v>
      </c>
      <c r="AJ41" s="10" t="n">
        <v>268</v>
      </c>
      <c r="AK41" s="10" t="n">
        <v>205</v>
      </c>
      <c r="AL41" s="10" t="n">
        <v>162</v>
      </c>
      <c r="AM41" s="10" t="n">
        <v>171</v>
      </c>
      <c r="AN41" s="10" t="n">
        <v>151</v>
      </c>
      <c r="AO41" s="10" t="n">
        <v>185</v>
      </c>
      <c r="AP41" s="10" t="n">
        <v>238</v>
      </c>
      <c r="AQ41" s="10" t="n">
        <f aca="false">I41+J41</f>
        <v>238</v>
      </c>
      <c r="AR41" s="11" t="n">
        <f aca="false">IF(AQ41&gt;0,I41/AQ41,"")</f>
        <v>0.23109243697479</v>
      </c>
      <c r="AS41" s="11" t="n">
        <f aca="false">IF((P41+Q41)&gt;0,P41/(P41+Q41),"")</f>
        <v>0.281081081081081</v>
      </c>
      <c r="AT41" s="12" t="n">
        <f aca="false">IF(AND(ISNUMBER(AR41),ISNUMBER(AS41)),(AR41-AS41)*100,"")</f>
        <v>-4.99886441062912</v>
      </c>
      <c r="AU41" s="12" t="n">
        <f aca="false">IF(G41&gt;0,I41/G41*1000,"")</f>
        <v>10.9213661636219</v>
      </c>
      <c r="AV41" s="12" t="n">
        <f aca="false">IF(G41&gt;0,H41/G41*10000,"")</f>
        <v>5.95710881652105</v>
      </c>
      <c r="AW41" s="12" t="n">
        <f aca="false">IF(G41&gt;0,W41/G41*10000,"")</f>
        <v>17.8713264495631</v>
      </c>
      <c r="AX41" s="12" t="n">
        <f aca="false">IF(I41&gt;0,K41/I41*100,"")</f>
        <v>29.0909090909091</v>
      </c>
      <c r="AY41" s="9" t="str">
        <f aca="false">IF(AQ41&gt;=100,"ok",IF(AQ41&gt;0,"effectif faible (&lt;100)","aucune association"))</f>
        <v>ok</v>
      </c>
    </row>
    <row r="42" customFormat="false" ht="15" hidden="false" customHeight="false" outlineLevel="0" collapsed="false">
      <c r="A42" s="9" t="s">
        <v>203</v>
      </c>
      <c r="B42" s="9" t="s">
        <v>204</v>
      </c>
      <c r="C42" s="9" t="s">
        <v>106</v>
      </c>
      <c r="D42" s="9" t="s">
        <v>107</v>
      </c>
      <c r="E42" s="9" t="s">
        <v>108</v>
      </c>
      <c r="F42" s="9"/>
      <c r="G42" s="10" t="n">
        <v>32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f aca="false">I42+J42</f>
        <v>0</v>
      </c>
      <c r="AR42" s="11" t="str">
        <f aca="false">IF(AQ42&gt;0,I42/AQ42,"")</f>
        <v/>
      </c>
      <c r="AS42" s="11" t="str">
        <f aca="false">IF((P42+Q42)&gt;0,P42/(P42+Q42),"")</f>
        <v/>
      </c>
      <c r="AT42" s="12" t="str">
        <f aca="false">IF(AND(ISNUMBER(AR42),ISNUMBER(AS42)),(AR42-AS42)*100,"")</f>
        <v/>
      </c>
      <c r="AU42" s="12" t="n">
        <f aca="false">IF(G42&gt;0,I42/G42*1000,"")</f>
        <v>0</v>
      </c>
      <c r="AV42" s="12" t="n">
        <f aca="false">IF(G42&gt;0,H42/G42*10000,"")</f>
        <v>0</v>
      </c>
      <c r="AW42" s="12" t="n">
        <f aca="false">IF(G42&gt;0,W42/G42*10000,"")</f>
        <v>0</v>
      </c>
      <c r="AX42" s="12" t="str">
        <f aca="false">IF(I42&gt;0,K42/I42*100,"")</f>
        <v/>
      </c>
      <c r="AY42" s="9" t="str">
        <f aca="false">IF(AQ42&gt;=100,"ok",IF(AQ42&gt;0,"effectif faible (&lt;100)","aucune association"))</f>
        <v>aucune association</v>
      </c>
    </row>
    <row r="43" customFormat="false" ht="15" hidden="false" customHeight="false" outlineLevel="0" collapsed="false">
      <c r="A43" s="9" t="s">
        <v>205</v>
      </c>
      <c r="B43" s="9" t="s">
        <v>206</v>
      </c>
      <c r="C43" s="9" t="s">
        <v>100</v>
      </c>
      <c r="D43" s="9" t="s">
        <v>101</v>
      </c>
      <c r="E43" s="9" t="s">
        <v>102</v>
      </c>
      <c r="F43" s="9" t="s">
        <v>143</v>
      </c>
      <c r="G43" s="10" t="n">
        <v>2006</v>
      </c>
      <c r="H43" s="10" t="n">
        <v>2</v>
      </c>
      <c r="I43" s="10" t="n">
        <v>30</v>
      </c>
      <c r="J43" s="10" t="n">
        <v>90</v>
      </c>
      <c r="K43" s="10" t="n">
        <v>45</v>
      </c>
      <c r="L43" s="10" t="n">
        <v>0</v>
      </c>
      <c r="M43" s="10" t="n">
        <v>1</v>
      </c>
      <c r="N43" s="10" t="n">
        <v>0</v>
      </c>
      <c r="O43" s="10" t="n">
        <v>2</v>
      </c>
      <c r="P43" s="10" t="n">
        <v>34</v>
      </c>
      <c r="Q43" s="10" t="n">
        <v>87</v>
      </c>
      <c r="R43" s="10" t="n">
        <v>1</v>
      </c>
      <c r="S43" s="10" t="n">
        <v>159</v>
      </c>
      <c r="T43" s="10" t="n">
        <v>20</v>
      </c>
      <c r="U43" s="10" t="n">
        <v>2</v>
      </c>
      <c r="V43" s="10" t="n">
        <v>1</v>
      </c>
      <c r="W43" s="10" t="n">
        <v>5</v>
      </c>
      <c r="X43" s="10" t="n">
        <v>1</v>
      </c>
      <c r="Y43" s="10" t="n">
        <v>0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1</v>
      </c>
      <c r="AF43" s="10" t="n">
        <v>1</v>
      </c>
      <c r="AG43" s="10" t="n">
        <v>1</v>
      </c>
      <c r="AH43" s="10" t="n">
        <v>1</v>
      </c>
      <c r="AI43" s="10" t="n">
        <v>2</v>
      </c>
      <c r="AJ43" s="10" t="n">
        <v>17</v>
      </c>
      <c r="AK43" s="10" t="n">
        <v>22</v>
      </c>
      <c r="AL43" s="10" t="n">
        <v>18</v>
      </c>
      <c r="AM43" s="10" t="n">
        <v>19</v>
      </c>
      <c r="AN43" s="10" t="n">
        <v>75</v>
      </c>
      <c r="AO43" s="10" t="n">
        <v>121</v>
      </c>
      <c r="AP43" s="10" t="n">
        <v>120</v>
      </c>
      <c r="AQ43" s="10" t="n">
        <f aca="false">I43+J43</f>
        <v>120</v>
      </c>
      <c r="AR43" s="11" t="n">
        <f aca="false">IF(AQ43&gt;0,I43/AQ43,"")</f>
        <v>0.25</v>
      </c>
      <c r="AS43" s="11" t="n">
        <f aca="false">IF((P43+Q43)&gt;0,P43/(P43+Q43),"")</f>
        <v>0.28099173553719</v>
      </c>
      <c r="AT43" s="12" t="n">
        <f aca="false">IF(AND(ISNUMBER(AR43),ISNUMBER(AS43)),(AR43-AS43)*100,"")</f>
        <v>-3.09917355371901</v>
      </c>
      <c r="AU43" s="12" t="n">
        <f aca="false">IF(G43&gt;0,I43/G43*1000,"")</f>
        <v>14.9551345962114</v>
      </c>
      <c r="AV43" s="12" t="n">
        <f aca="false">IF(G43&gt;0,H43/G43*10000,"")</f>
        <v>9.97008973080758</v>
      </c>
      <c r="AW43" s="12" t="n">
        <f aca="false">IF(G43&gt;0,W43/G43*10000,"")</f>
        <v>24.9252243270189</v>
      </c>
      <c r="AX43" s="12" t="n">
        <f aca="false">IF(I43&gt;0,K43/I43*100,"")</f>
        <v>150</v>
      </c>
      <c r="AY43" s="9" t="str">
        <f aca="false">IF(AQ43&gt;=100,"ok",IF(AQ43&gt;0,"effectif faible (&lt;100)","aucune association"))</f>
        <v>ok</v>
      </c>
    </row>
    <row r="44" customFormat="false" ht="15" hidden="false" customHeight="false" outlineLevel="0" collapsed="false">
      <c r="A44" s="9" t="s">
        <v>207</v>
      </c>
      <c r="B44" s="9" t="s">
        <v>208</v>
      </c>
      <c r="C44" s="9" t="s">
        <v>133</v>
      </c>
      <c r="D44" s="9" t="s">
        <v>101</v>
      </c>
      <c r="E44" s="9" t="s">
        <v>134</v>
      </c>
      <c r="F44" s="9" t="s">
        <v>209</v>
      </c>
      <c r="G44" s="10" t="n">
        <v>3332</v>
      </c>
      <c r="H44" s="10" t="n">
        <v>3</v>
      </c>
      <c r="I44" s="10" t="n">
        <v>347</v>
      </c>
      <c r="J44" s="10" t="n">
        <v>106</v>
      </c>
      <c r="K44" s="10" t="n">
        <v>8</v>
      </c>
      <c r="L44" s="10" t="n">
        <v>4</v>
      </c>
      <c r="M44" s="10" t="n">
        <v>2</v>
      </c>
      <c r="N44" s="10" t="n">
        <v>1</v>
      </c>
      <c r="O44" s="10" t="n">
        <v>4</v>
      </c>
      <c r="P44" s="10" t="n">
        <v>442</v>
      </c>
      <c r="Q44" s="10" t="n">
        <v>117</v>
      </c>
      <c r="R44" s="10" t="n">
        <v>0</v>
      </c>
      <c r="S44" s="10" t="n">
        <v>0</v>
      </c>
      <c r="T44" s="10" t="n">
        <v>0</v>
      </c>
      <c r="U44" s="10" t="n">
        <v>3</v>
      </c>
      <c r="V44" s="10" t="n">
        <v>0</v>
      </c>
      <c r="W44" s="10" t="n">
        <v>5</v>
      </c>
      <c r="X44" s="10" t="n">
        <v>1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4</v>
      </c>
      <c r="AF44" s="10" t="n">
        <v>3</v>
      </c>
      <c r="AG44" s="10" t="n">
        <v>4</v>
      </c>
      <c r="AH44" s="10" t="n">
        <v>4</v>
      </c>
      <c r="AI44" s="10" t="n">
        <v>3</v>
      </c>
      <c r="AJ44" s="10" t="n">
        <v>543</v>
      </c>
      <c r="AK44" s="10" t="n">
        <v>497</v>
      </c>
      <c r="AL44" s="10" t="n">
        <v>549</v>
      </c>
      <c r="AM44" s="10" t="n">
        <v>525</v>
      </c>
      <c r="AN44" s="10" t="n">
        <v>469</v>
      </c>
      <c r="AO44" s="10" t="n">
        <v>559</v>
      </c>
      <c r="AP44" s="10" t="n">
        <v>453</v>
      </c>
      <c r="AQ44" s="10" t="n">
        <f aca="false">I44+J44</f>
        <v>453</v>
      </c>
      <c r="AR44" s="11" t="n">
        <f aca="false">IF(AQ44&gt;0,I44/AQ44,"")</f>
        <v>0.766004415011038</v>
      </c>
      <c r="AS44" s="11" t="n">
        <f aca="false">IF((P44+Q44)&gt;0,P44/(P44+Q44),"")</f>
        <v>0.790697674418605</v>
      </c>
      <c r="AT44" s="12" t="n">
        <f aca="false">IF(AND(ISNUMBER(AR44),ISNUMBER(AS44)),(AR44-AS44)*100,"")</f>
        <v>-2.46932594075671</v>
      </c>
      <c r="AU44" s="12" t="n">
        <f aca="false">IF(G44&gt;0,I44/G44*1000,"")</f>
        <v>104.141656662665</v>
      </c>
      <c r="AV44" s="12" t="n">
        <f aca="false">IF(G44&gt;0,H44/G44*10000,"")</f>
        <v>9.00360144057623</v>
      </c>
      <c r="AW44" s="12" t="n">
        <f aca="false">IF(G44&gt;0,W44/G44*10000,"")</f>
        <v>15.0060024009604</v>
      </c>
      <c r="AX44" s="12" t="n">
        <f aca="false">IF(I44&gt;0,K44/I44*100,"")</f>
        <v>2.30547550432277</v>
      </c>
      <c r="AY44" s="9" t="str">
        <f aca="false">IF(AQ44&gt;=100,"ok",IF(AQ44&gt;0,"effectif faible (&lt;100)","aucune association"))</f>
        <v>ok</v>
      </c>
    </row>
    <row r="45" customFormat="false" ht="15" hidden="false" customHeight="false" outlineLevel="0" collapsed="false">
      <c r="A45" s="9" t="s">
        <v>210</v>
      </c>
      <c r="B45" s="9" t="s">
        <v>211</v>
      </c>
      <c r="C45" s="9" t="s">
        <v>106</v>
      </c>
      <c r="D45" s="9" t="s">
        <v>101</v>
      </c>
      <c r="E45" s="9" t="s">
        <v>108</v>
      </c>
      <c r="F45" s="9" t="s">
        <v>103</v>
      </c>
      <c r="G45" s="10" t="n">
        <v>631</v>
      </c>
      <c r="H45" s="10" t="n">
        <v>1</v>
      </c>
      <c r="I45" s="10" t="n">
        <v>82</v>
      </c>
      <c r="J45" s="10" t="n">
        <v>223</v>
      </c>
      <c r="K45" s="10" t="n">
        <v>8</v>
      </c>
      <c r="L45" s="10" t="n">
        <v>10</v>
      </c>
      <c r="M45" s="10" t="n">
        <v>0</v>
      </c>
      <c r="N45" s="10" t="n">
        <v>0</v>
      </c>
      <c r="O45" s="10" t="n">
        <v>1</v>
      </c>
      <c r="P45" s="10" t="n">
        <v>92</v>
      </c>
      <c r="Q45" s="10" t="n">
        <v>218</v>
      </c>
      <c r="R45" s="10" t="n">
        <v>1</v>
      </c>
      <c r="S45" s="10" t="n">
        <v>69</v>
      </c>
      <c r="T45" s="10" t="n">
        <v>10</v>
      </c>
      <c r="U45" s="10" t="n">
        <v>1</v>
      </c>
      <c r="V45" s="10" t="n">
        <v>1</v>
      </c>
      <c r="W45" s="10" t="n">
        <v>5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1</v>
      </c>
      <c r="AF45" s="10" t="n">
        <v>1</v>
      </c>
      <c r="AG45" s="10" t="n">
        <v>1</v>
      </c>
      <c r="AH45" s="10" t="n">
        <v>1</v>
      </c>
      <c r="AI45" s="10" t="n">
        <v>1</v>
      </c>
      <c r="AJ45" s="10" t="n">
        <v>512</v>
      </c>
      <c r="AK45" s="10" t="n">
        <v>350</v>
      </c>
      <c r="AL45" s="10" t="n">
        <v>340</v>
      </c>
      <c r="AM45" s="10" t="n">
        <v>340</v>
      </c>
      <c r="AN45" s="10" t="n">
        <v>297</v>
      </c>
      <c r="AO45" s="10" t="n">
        <v>310</v>
      </c>
      <c r="AP45" s="10" t="n">
        <v>305</v>
      </c>
      <c r="AQ45" s="10" t="n">
        <f aca="false">I45+J45</f>
        <v>305</v>
      </c>
      <c r="AR45" s="11" t="n">
        <f aca="false">IF(AQ45&gt;0,I45/AQ45,"")</f>
        <v>0.268852459016393</v>
      </c>
      <c r="AS45" s="11" t="n">
        <f aca="false">IF((P45+Q45)&gt;0,P45/(P45+Q45),"")</f>
        <v>0.296774193548387</v>
      </c>
      <c r="AT45" s="12" t="n">
        <f aca="false">IF(AND(ISNUMBER(AR45),ISNUMBER(AS45)),(AR45-AS45)*100,"")</f>
        <v>-2.79217345319936</v>
      </c>
      <c r="AU45" s="12" t="n">
        <f aca="false">IF(G45&gt;0,I45/G45*1000,"")</f>
        <v>129.952456418384</v>
      </c>
      <c r="AV45" s="12" t="n">
        <f aca="false">IF(G45&gt;0,H45/G45*10000,"")</f>
        <v>15.8478605388273</v>
      </c>
      <c r="AW45" s="12" t="n">
        <f aca="false">IF(G45&gt;0,W45/G45*10000,"")</f>
        <v>79.2393026941363</v>
      </c>
      <c r="AX45" s="12" t="n">
        <f aca="false">IF(I45&gt;0,K45/I45*100,"")</f>
        <v>9.75609756097561</v>
      </c>
      <c r="AY45" s="9" t="str">
        <f aca="false">IF(AQ45&gt;=100,"ok",IF(AQ45&gt;0,"effectif faible (&lt;100)","aucune association"))</f>
        <v>ok</v>
      </c>
    </row>
    <row r="46" customFormat="false" ht="15" hidden="false" customHeight="false" outlineLevel="0" collapsed="false">
      <c r="A46" s="9" t="s">
        <v>212</v>
      </c>
      <c r="B46" s="9" t="s">
        <v>213</v>
      </c>
      <c r="C46" s="9" t="s">
        <v>146</v>
      </c>
      <c r="D46" s="9" t="s">
        <v>107</v>
      </c>
      <c r="E46" s="9" t="s">
        <v>197</v>
      </c>
      <c r="F46" s="9" t="s">
        <v>103</v>
      </c>
      <c r="G46" s="10" t="n">
        <v>297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1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f aca="false">I46+J46</f>
        <v>0</v>
      </c>
      <c r="AR46" s="11" t="str">
        <f aca="false">IF(AQ46&gt;0,I46/AQ46,"")</f>
        <v/>
      </c>
      <c r="AS46" s="11" t="str">
        <f aca="false">IF((P46+Q46)&gt;0,P46/(P46+Q46),"")</f>
        <v/>
      </c>
      <c r="AT46" s="12" t="str">
        <f aca="false">IF(AND(ISNUMBER(AR46),ISNUMBER(AS46)),(AR46-AS46)*100,"")</f>
        <v/>
      </c>
      <c r="AU46" s="12" t="n">
        <f aca="false">IF(G46&gt;0,I46/G46*1000,"")</f>
        <v>0</v>
      </c>
      <c r="AV46" s="12" t="n">
        <f aca="false">IF(G46&gt;0,H46/G46*10000,"")</f>
        <v>0</v>
      </c>
      <c r="AW46" s="12" t="n">
        <f aca="false">IF(G46&gt;0,W46/G46*10000,"")</f>
        <v>33.6700336700337</v>
      </c>
      <c r="AX46" s="12" t="str">
        <f aca="false">IF(I46&gt;0,K46/I46*100,"")</f>
        <v/>
      </c>
      <c r="AY46" s="9" t="str">
        <f aca="false">IF(AQ46&gt;=100,"ok",IF(AQ46&gt;0,"effectif faible (&lt;100)","aucune association"))</f>
        <v>aucune association</v>
      </c>
    </row>
    <row r="47" customFormat="false" ht="15" hidden="false" customHeight="false" outlineLevel="0" collapsed="false">
      <c r="A47" s="9" t="s">
        <v>214</v>
      </c>
      <c r="B47" s="9" t="s">
        <v>215</v>
      </c>
      <c r="C47" s="9" t="s">
        <v>216</v>
      </c>
      <c r="D47" s="9" t="s">
        <v>107</v>
      </c>
      <c r="E47" s="9" t="s">
        <v>125</v>
      </c>
      <c r="F47" s="9" t="s">
        <v>103</v>
      </c>
      <c r="G47" s="10" t="n">
        <v>282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2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f aca="false">I47+J47</f>
        <v>0</v>
      </c>
      <c r="AR47" s="11" t="str">
        <f aca="false">IF(AQ47&gt;0,I47/AQ47,"")</f>
        <v/>
      </c>
      <c r="AS47" s="11" t="str">
        <f aca="false">IF((P47+Q47)&gt;0,P47/(P47+Q47),"")</f>
        <v/>
      </c>
      <c r="AT47" s="12" t="str">
        <f aca="false">IF(AND(ISNUMBER(AR47),ISNUMBER(AS47)),(AR47-AS47)*100,"")</f>
        <v/>
      </c>
      <c r="AU47" s="12" t="n">
        <f aca="false">IF(G47&gt;0,I47/G47*1000,"")</f>
        <v>0</v>
      </c>
      <c r="AV47" s="12" t="n">
        <f aca="false">IF(G47&gt;0,H47/G47*10000,"")</f>
        <v>0</v>
      </c>
      <c r="AW47" s="12" t="n">
        <f aca="false">IF(G47&gt;0,W47/G47*10000,"")</f>
        <v>70.9219858156028</v>
      </c>
      <c r="AX47" s="12" t="str">
        <f aca="false">IF(I47&gt;0,K47/I47*100,"")</f>
        <v/>
      </c>
      <c r="AY47" s="9" t="str">
        <f aca="false">IF(AQ47&gt;=100,"ok",IF(AQ47&gt;0,"effectif faible (&lt;100)","aucune association"))</f>
        <v>aucune association</v>
      </c>
    </row>
    <row r="48" customFormat="false" ht="15" hidden="false" customHeight="false" outlineLevel="0" collapsed="false">
      <c r="A48" s="9" t="s">
        <v>217</v>
      </c>
      <c r="B48" s="9" t="s">
        <v>218</v>
      </c>
      <c r="C48" s="9" t="s">
        <v>133</v>
      </c>
      <c r="D48" s="9" t="s">
        <v>107</v>
      </c>
      <c r="E48" s="9" t="s">
        <v>134</v>
      </c>
      <c r="F48" s="9"/>
      <c r="G48" s="10" t="n">
        <v>68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f aca="false">I48+J48</f>
        <v>0</v>
      </c>
      <c r="AR48" s="11" t="str">
        <f aca="false">IF(AQ48&gt;0,I48/AQ48,"")</f>
        <v/>
      </c>
      <c r="AS48" s="11" t="str">
        <f aca="false">IF((P48+Q48)&gt;0,P48/(P48+Q48),"")</f>
        <v/>
      </c>
      <c r="AT48" s="12" t="str">
        <f aca="false">IF(AND(ISNUMBER(AR48),ISNUMBER(AS48)),(AR48-AS48)*100,"")</f>
        <v/>
      </c>
      <c r="AU48" s="12" t="n">
        <f aca="false">IF(G48&gt;0,I48/G48*1000,"")</f>
        <v>0</v>
      </c>
      <c r="AV48" s="12" t="n">
        <f aca="false">IF(G48&gt;0,H48/G48*10000,"")</f>
        <v>0</v>
      </c>
      <c r="AW48" s="12" t="n">
        <f aca="false">IF(G48&gt;0,W48/G48*10000,"")</f>
        <v>0</v>
      </c>
      <c r="AX48" s="12" t="str">
        <f aca="false">IF(I48&gt;0,K48/I48*100,"")</f>
        <v/>
      </c>
      <c r="AY48" s="9" t="str">
        <f aca="false">IF(AQ48&gt;=100,"ok",IF(AQ48&gt;0,"effectif faible (&lt;100)","aucune association"))</f>
        <v>aucune association</v>
      </c>
    </row>
    <row r="49" customFormat="false" ht="15" hidden="false" customHeight="false" outlineLevel="0" collapsed="false">
      <c r="A49" s="9" t="s">
        <v>219</v>
      </c>
      <c r="B49" s="9" t="s">
        <v>220</v>
      </c>
      <c r="C49" s="9" t="s">
        <v>106</v>
      </c>
      <c r="D49" s="9" t="s">
        <v>101</v>
      </c>
      <c r="E49" s="9" t="s">
        <v>108</v>
      </c>
      <c r="F49" s="9" t="s">
        <v>103</v>
      </c>
      <c r="G49" s="10" t="n">
        <v>137</v>
      </c>
      <c r="H49" s="10" t="n">
        <v>1</v>
      </c>
      <c r="I49" s="10" t="n">
        <v>75</v>
      </c>
      <c r="J49" s="10" t="n">
        <v>188</v>
      </c>
      <c r="K49" s="10" t="n">
        <v>141</v>
      </c>
      <c r="L49" s="10" t="n">
        <v>3</v>
      </c>
      <c r="M49" s="10" t="n">
        <v>0</v>
      </c>
      <c r="N49" s="10" t="n">
        <v>0</v>
      </c>
      <c r="O49" s="10" t="n">
        <v>1</v>
      </c>
      <c r="P49" s="10" t="n">
        <v>73</v>
      </c>
      <c r="Q49" s="10" t="n">
        <v>210</v>
      </c>
      <c r="R49" s="10" t="n">
        <v>0</v>
      </c>
      <c r="S49" s="10" t="n">
        <v>0</v>
      </c>
      <c r="T49" s="10" t="n">
        <v>0</v>
      </c>
      <c r="U49" s="10" t="n">
        <v>1</v>
      </c>
      <c r="V49" s="10" t="n">
        <v>0</v>
      </c>
      <c r="W49" s="10" t="n">
        <v>3</v>
      </c>
      <c r="X49" s="10" t="n">
        <v>0</v>
      </c>
      <c r="Y49" s="10" t="n">
        <v>0</v>
      </c>
      <c r="Z49" s="10" t="n">
        <v>1</v>
      </c>
      <c r="AA49" s="10" t="n">
        <v>0</v>
      </c>
      <c r="AB49" s="10" t="n">
        <v>1</v>
      </c>
      <c r="AC49" s="10" t="n">
        <v>0</v>
      </c>
      <c r="AD49" s="10" t="n">
        <v>0</v>
      </c>
      <c r="AE49" s="10" t="n">
        <v>1</v>
      </c>
      <c r="AF49" s="10" t="n">
        <v>1</v>
      </c>
      <c r="AG49" s="10" t="n">
        <v>1</v>
      </c>
      <c r="AH49" s="10" t="n">
        <v>1</v>
      </c>
      <c r="AI49" s="10" t="n">
        <v>1</v>
      </c>
      <c r="AJ49" s="10" t="n">
        <v>236</v>
      </c>
      <c r="AK49" s="10" t="n">
        <v>256</v>
      </c>
      <c r="AL49" s="10" t="n">
        <v>293</v>
      </c>
      <c r="AM49" s="10" t="n">
        <v>243</v>
      </c>
      <c r="AN49" s="10" t="n">
        <v>272</v>
      </c>
      <c r="AO49" s="10" t="n">
        <v>283</v>
      </c>
      <c r="AP49" s="10" t="n">
        <v>263</v>
      </c>
      <c r="AQ49" s="10" t="n">
        <f aca="false">I49+J49</f>
        <v>263</v>
      </c>
      <c r="AR49" s="11" t="n">
        <f aca="false">IF(AQ49&gt;0,I49/AQ49,"")</f>
        <v>0.285171102661597</v>
      </c>
      <c r="AS49" s="11" t="n">
        <f aca="false">IF((P49+Q49)&gt;0,P49/(P49+Q49),"")</f>
        <v>0.257950530035336</v>
      </c>
      <c r="AT49" s="12" t="n">
        <f aca="false">IF(AND(ISNUMBER(AR49),ISNUMBER(AS49)),(AR49-AS49)*100,"")</f>
        <v>2.72205726262613</v>
      </c>
      <c r="AU49" s="12" t="n">
        <f aca="false">IF(G49&gt;0,I49/G49*1000,"")</f>
        <v>547.445255474453</v>
      </c>
      <c r="AV49" s="12" t="n">
        <f aca="false">IF(G49&gt;0,H49/G49*10000,"")</f>
        <v>72.992700729927</v>
      </c>
      <c r="AW49" s="12" t="n">
        <f aca="false">IF(G49&gt;0,W49/G49*10000,"")</f>
        <v>218.978102189781</v>
      </c>
      <c r="AX49" s="12" t="n">
        <f aca="false">IF(I49&gt;0,K49/I49*100,"")</f>
        <v>188</v>
      </c>
      <c r="AY49" s="9" t="str">
        <f aca="false">IF(AQ49&gt;=100,"ok",IF(AQ49&gt;0,"effectif faible (&lt;100)","aucune association"))</f>
        <v>ok</v>
      </c>
    </row>
    <row r="50" customFormat="false" ht="15" hidden="false" customHeight="false" outlineLevel="0" collapsed="false">
      <c r="A50" s="9" t="s">
        <v>221</v>
      </c>
      <c r="B50" s="9" t="s">
        <v>222</v>
      </c>
      <c r="C50" s="9" t="s">
        <v>106</v>
      </c>
      <c r="D50" s="9" t="s">
        <v>101</v>
      </c>
      <c r="E50" s="9" t="s">
        <v>102</v>
      </c>
      <c r="F50" s="9" t="s">
        <v>103</v>
      </c>
      <c r="G50" s="10" t="n">
        <v>476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1</v>
      </c>
      <c r="P50" s="10" t="n">
        <v>72</v>
      </c>
      <c r="Q50" s="10" t="n">
        <v>118</v>
      </c>
      <c r="R50" s="10" t="n">
        <v>1</v>
      </c>
      <c r="S50" s="10" t="n">
        <v>45</v>
      </c>
      <c r="T50" s="10" t="n">
        <v>1</v>
      </c>
      <c r="U50" s="10" t="n">
        <v>1</v>
      </c>
      <c r="V50" s="10" t="n">
        <v>1</v>
      </c>
      <c r="W50" s="10" t="n">
        <v>1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1</v>
      </c>
      <c r="AF50" s="10" t="n">
        <v>1</v>
      </c>
      <c r="AG50" s="10" t="n">
        <v>1</v>
      </c>
      <c r="AH50" s="10" t="n">
        <v>1</v>
      </c>
      <c r="AI50" s="10" t="n">
        <v>1</v>
      </c>
      <c r="AJ50" s="10" t="n">
        <v>14</v>
      </c>
      <c r="AK50" s="10" t="n">
        <v>18</v>
      </c>
      <c r="AL50" s="10" t="n">
        <v>13</v>
      </c>
      <c r="AM50" s="10" t="n">
        <v>18</v>
      </c>
      <c r="AN50" s="10" t="n">
        <v>20</v>
      </c>
      <c r="AO50" s="10" t="n">
        <v>190</v>
      </c>
      <c r="AP50" s="10" t="n">
        <v>0</v>
      </c>
      <c r="AQ50" s="10" t="n">
        <f aca="false">I50+J50</f>
        <v>0</v>
      </c>
      <c r="AR50" s="11" t="str">
        <f aca="false">IF(AQ50&gt;0,I50/AQ50,"")</f>
        <v/>
      </c>
      <c r="AS50" s="11" t="n">
        <f aca="false">IF((P50+Q50)&gt;0,P50/(P50+Q50),"")</f>
        <v>0.378947368421053</v>
      </c>
      <c r="AT50" s="12" t="str">
        <f aca="false">IF(AND(ISNUMBER(AR50),ISNUMBER(AS50)),(AR50-AS50)*100,"")</f>
        <v/>
      </c>
      <c r="AU50" s="12" t="n">
        <f aca="false">IF(G50&gt;0,I50/G50*1000,"")</f>
        <v>0</v>
      </c>
      <c r="AV50" s="12" t="n">
        <f aca="false">IF(G50&gt;0,H50/G50*10000,"")</f>
        <v>0</v>
      </c>
      <c r="AW50" s="12" t="n">
        <f aca="false">IF(G50&gt;0,W50/G50*10000,"")</f>
        <v>21.0084033613445</v>
      </c>
      <c r="AX50" s="12" t="str">
        <f aca="false">IF(I50&gt;0,K50/I50*100,"")</f>
        <v/>
      </c>
      <c r="AY50" s="9" t="str">
        <f aca="false">IF(AQ50&gt;=100,"ok",IF(AQ50&gt;0,"effectif faible (&lt;100)","aucune association"))</f>
        <v>aucune association</v>
      </c>
    </row>
    <row r="51" customFormat="false" ht="15" hidden="false" customHeight="false" outlineLevel="0" collapsed="false">
      <c r="A51" s="9" t="s">
        <v>223</v>
      </c>
      <c r="B51" s="9" t="s">
        <v>224</v>
      </c>
      <c r="C51" s="9" t="s">
        <v>106</v>
      </c>
      <c r="D51" s="9" t="s">
        <v>107</v>
      </c>
      <c r="E51" s="9" t="s">
        <v>102</v>
      </c>
      <c r="F51" s="9" t="s">
        <v>103</v>
      </c>
      <c r="G51" s="10" t="n">
        <v>646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5</v>
      </c>
      <c r="X51" s="10" t="n">
        <v>1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f aca="false">I51+J51</f>
        <v>0</v>
      </c>
      <c r="AR51" s="11" t="str">
        <f aca="false">IF(AQ51&gt;0,I51/AQ51,"")</f>
        <v/>
      </c>
      <c r="AS51" s="11" t="str">
        <f aca="false">IF((P51+Q51)&gt;0,P51/(P51+Q51),"")</f>
        <v/>
      </c>
      <c r="AT51" s="12" t="str">
        <f aca="false">IF(AND(ISNUMBER(AR51),ISNUMBER(AS51)),(AR51-AS51)*100,"")</f>
        <v/>
      </c>
      <c r="AU51" s="12" t="n">
        <f aca="false">IF(G51&gt;0,I51/G51*1000,"")</f>
        <v>0</v>
      </c>
      <c r="AV51" s="12" t="n">
        <f aca="false">IF(G51&gt;0,H51/G51*10000,"")</f>
        <v>0</v>
      </c>
      <c r="AW51" s="12" t="n">
        <f aca="false">IF(G51&gt;0,W51/G51*10000,"")</f>
        <v>77.3993808049536</v>
      </c>
      <c r="AX51" s="12" t="str">
        <f aca="false">IF(I51&gt;0,K51/I51*100,"")</f>
        <v/>
      </c>
      <c r="AY51" s="9" t="str">
        <f aca="false">IF(AQ51&gt;=100,"ok",IF(AQ51&gt;0,"effectif faible (&lt;100)","aucune association"))</f>
        <v>aucune association</v>
      </c>
    </row>
    <row r="52" customFormat="false" ht="15" hidden="false" customHeight="false" outlineLevel="0" collapsed="false">
      <c r="A52" s="9" t="s">
        <v>225</v>
      </c>
      <c r="B52" s="9" t="s">
        <v>226</v>
      </c>
      <c r="C52" s="9" t="s">
        <v>106</v>
      </c>
      <c r="D52" s="9" t="s">
        <v>107</v>
      </c>
      <c r="E52" s="9" t="s">
        <v>102</v>
      </c>
      <c r="F52" s="9" t="s">
        <v>103</v>
      </c>
      <c r="G52" s="10" t="n">
        <v>564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2</v>
      </c>
      <c r="X52" s="10" t="n">
        <v>1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f aca="false">I52+J52</f>
        <v>0</v>
      </c>
      <c r="AR52" s="11" t="str">
        <f aca="false">IF(AQ52&gt;0,I52/AQ52,"")</f>
        <v/>
      </c>
      <c r="AS52" s="11" t="str">
        <f aca="false">IF((P52+Q52)&gt;0,P52/(P52+Q52),"")</f>
        <v/>
      </c>
      <c r="AT52" s="12" t="str">
        <f aca="false">IF(AND(ISNUMBER(AR52),ISNUMBER(AS52)),(AR52-AS52)*100,"")</f>
        <v/>
      </c>
      <c r="AU52" s="12" t="n">
        <f aca="false">IF(G52&gt;0,I52/G52*1000,"")</f>
        <v>0</v>
      </c>
      <c r="AV52" s="12" t="n">
        <f aca="false">IF(G52&gt;0,H52/G52*10000,"")</f>
        <v>0</v>
      </c>
      <c r="AW52" s="12" t="n">
        <f aca="false">IF(G52&gt;0,W52/G52*10000,"")</f>
        <v>35.4609929078014</v>
      </c>
      <c r="AX52" s="12" t="str">
        <f aca="false">IF(I52&gt;0,K52/I52*100,"")</f>
        <v/>
      </c>
      <c r="AY52" s="9" t="str">
        <f aca="false">IF(AQ52&gt;=100,"ok",IF(AQ52&gt;0,"effectif faible (&lt;100)","aucune association"))</f>
        <v>aucune association</v>
      </c>
    </row>
    <row r="53" customFormat="false" ht="15" hidden="false" customHeight="false" outlineLevel="0" collapsed="false">
      <c r="A53" s="9" t="s">
        <v>227</v>
      </c>
      <c r="B53" s="9" t="s">
        <v>228</v>
      </c>
      <c r="C53" s="9" t="s">
        <v>229</v>
      </c>
      <c r="D53" s="9" t="s">
        <v>101</v>
      </c>
      <c r="E53" s="9" t="s">
        <v>152</v>
      </c>
      <c r="F53" s="9" t="s">
        <v>117</v>
      </c>
      <c r="G53" s="10" t="n">
        <v>27292</v>
      </c>
      <c r="H53" s="10" t="n">
        <v>1</v>
      </c>
      <c r="I53" s="10" t="n">
        <v>3779</v>
      </c>
      <c r="J53" s="10" t="n">
        <v>2055</v>
      </c>
      <c r="K53" s="10" t="n">
        <v>203</v>
      </c>
      <c r="L53" s="10" t="n">
        <v>46</v>
      </c>
      <c r="M53" s="10" t="n">
        <v>0</v>
      </c>
      <c r="N53" s="10" t="n">
        <v>1</v>
      </c>
      <c r="O53" s="10" t="n">
        <v>2</v>
      </c>
      <c r="P53" s="10" t="n">
        <v>3683</v>
      </c>
      <c r="Q53" s="10" t="n">
        <v>2055</v>
      </c>
      <c r="R53" s="10" t="n">
        <v>1</v>
      </c>
      <c r="S53" s="10" t="n">
        <v>155</v>
      </c>
      <c r="T53" s="10" t="n">
        <v>3</v>
      </c>
      <c r="U53" s="10" t="n">
        <v>1</v>
      </c>
      <c r="V53" s="10" t="n">
        <v>1</v>
      </c>
      <c r="W53" s="10" t="n">
        <v>28</v>
      </c>
      <c r="X53" s="10" t="n">
        <v>10</v>
      </c>
      <c r="Y53" s="10" t="n">
        <v>1</v>
      </c>
      <c r="Z53" s="10" t="n">
        <v>0</v>
      </c>
      <c r="AA53" s="10" t="n">
        <v>0</v>
      </c>
      <c r="AB53" s="10" t="n">
        <v>0</v>
      </c>
      <c r="AC53" s="10" t="n">
        <v>1</v>
      </c>
      <c r="AD53" s="10" t="n">
        <v>0</v>
      </c>
      <c r="AE53" s="10" t="n">
        <v>1</v>
      </c>
      <c r="AF53" s="10" t="n">
        <v>2</v>
      </c>
      <c r="AG53" s="10" t="n">
        <v>2</v>
      </c>
      <c r="AH53" s="10" t="n">
        <v>2</v>
      </c>
      <c r="AI53" s="10" t="n">
        <v>2</v>
      </c>
      <c r="AJ53" s="10" t="n">
        <v>3399</v>
      </c>
      <c r="AK53" s="10" t="n">
        <v>4103</v>
      </c>
      <c r="AL53" s="10" t="n">
        <v>4063</v>
      </c>
      <c r="AM53" s="10" t="n">
        <v>3294</v>
      </c>
      <c r="AN53" s="10" t="n">
        <v>5033</v>
      </c>
      <c r="AO53" s="10" t="n">
        <v>5738</v>
      </c>
      <c r="AP53" s="10" t="n">
        <v>5834</v>
      </c>
      <c r="AQ53" s="10" t="n">
        <f aca="false">I53+J53</f>
        <v>5834</v>
      </c>
      <c r="AR53" s="11" t="n">
        <f aca="false">IF(AQ53&gt;0,I53/AQ53,"")</f>
        <v>0.647754542338019</v>
      </c>
      <c r="AS53" s="11" t="n">
        <f aca="false">IF((P53+Q53)&gt;0,P53/(P53+Q53),"")</f>
        <v>0.641861275705821</v>
      </c>
      <c r="AT53" s="12" t="n">
        <f aca="false">IF(AND(ISNUMBER(AR53),ISNUMBER(AS53)),(AR53-AS53)*100,"")</f>
        <v>0.589326663219769</v>
      </c>
      <c r="AU53" s="12" t="n">
        <f aca="false">IF(G53&gt;0,I53/G53*1000,"")</f>
        <v>138.46548439103</v>
      </c>
      <c r="AV53" s="12" t="n">
        <f aca="false">IF(G53&gt;0,H53/G53*10000,"")</f>
        <v>0.366407738531438</v>
      </c>
      <c r="AW53" s="12" t="n">
        <f aca="false">IF(G53&gt;0,W53/G53*10000,"")</f>
        <v>10.2594166788803</v>
      </c>
      <c r="AX53" s="12" t="n">
        <f aca="false">IF(I53&gt;0,K53/I53*100,"")</f>
        <v>5.37179147922731</v>
      </c>
      <c r="AY53" s="9" t="str">
        <f aca="false">IF(AQ53&gt;=100,"ok",IF(AQ53&gt;0,"effectif faible (&lt;100)","aucune association"))</f>
        <v>ok</v>
      </c>
    </row>
    <row r="54" customFormat="false" ht="15" hidden="false" customHeight="false" outlineLevel="0" collapsed="false">
      <c r="A54" s="9" t="s">
        <v>230</v>
      </c>
      <c r="B54" s="9" t="s">
        <v>231</v>
      </c>
      <c r="C54" s="9" t="s">
        <v>100</v>
      </c>
      <c r="D54" s="9" t="s">
        <v>107</v>
      </c>
      <c r="E54" s="9" t="s">
        <v>102</v>
      </c>
      <c r="F54" s="9" t="s">
        <v>143</v>
      </c>
      <c r="G54" s="10" t="n">
        <v>1297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6</v>
      </c>
      <c r="X54" s="10" t="n">
        <v>1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f aca="false">I54+J54</f>
        <v>0</v>
      </c>
      <c r="AR54" s="11" t="str">
        <f aca="false">IF(AQ54&gt;0,I54/AQ54,"")</f>
        <v/>
      </c>
      <c r="AS54" s="11" t="str">
        <f aca="false">IF((P54+Q54)&gt;0,P54/(P54+Q54),"")</f>
        <v/>
      </c>
      <c r="AT54" s="12" t="str">
        <f aca="false">IF(AND(ISNUMBER(AR54),ISNUMBER(AS54)),(AR54-AS54)*100,"")</f>
        <v/>
      </c>
      <c r="AU54" s="12" t="n">
        <f aca="false">IF(G54&gt;0,I54/G54*1000,"")</f>
        <v>0</v>
      </c>
      <c r="AV54" s="12" t="n">
        <f aca="false">IF(G54&gt;0,H54/G54*10000,"")</f>
        <v>0</v>
      </c>
      <c r="AW54" s="12" t="n">
        <f aca="false">IF(G54&gt;0,W54/G54*10000,"")</f>
        <v>46.260601387818</v>
      </c>
      <c r="AX54" s="12" t="str">
        <f aca="false">IF(I54&gt;0,K54/I54*100,"")</f>
        <v/>
      </c>
      <c r="AY54" s="9" t="str">
        <f aca="false">IF(AQ54&gt;=100,"ok",IF(AQ54&gt;0,"effectif faible (&lt;100)","aucune association"))</f>
        <v>aucune association</v>
      </c>
    </row>
    <row r="55" customFormat="false" ht="15" hidden="false" customHeight="false" outlineLevel="0" collapsed="false">
      <c r="A55" s="9" t="s">
        <v>232</v>
      </c>
      <c r="B55" s="9" t="s">
        <v>233</v>
      </c>
      <c r="C55" s="9" t="s">
        <v>100</v>
      </c>
      <c r="D55" s="9" t="s">
        <v>107</v>
      </c>
      <c r="E55" s="9" t="s">
        <v>102</v>
      </c>
      <c r="F55" s="9" t="s">
        <v>103</v>
      </c>
      <c r="G55" s="10" t="n">
        <v>310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2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f aca="false">I55+J55</f>
        <v>0</v>
      </c>
      <c r="AR55" s="11" t="str">
        <f aca="false">IF(AQ55&gt;0,I55/AQ55,"")</f>
        <v/>
      </c>
      <c r="AS55" s="11" t="str">
        <f aca="false">IF((P55+Q55)&gt;0,P55/(P55+Q55),"")</f>
        <v/>
      </c>
      <c r="AT55" s="12" t="str">
        <f aca="false">IF(AND(ISNUMBER(AR55),ISNUMBER(AS55)),(AR55-AS55)*100,"")</f>
        <v/>
      </c>
      <c r="AU55" s="12" t="n">
        <f aca="false">IF(G55&gt;0,I55/G55*1000,"")</f>
        <v>0</v>
      </c>
      <c r="AV55" s="12" t="n">
        <f aca="false">IF(G55&gt;0,H55/G55*10000,"")</f>
        <v>0</v>
      </c>
      <c r="AW55" s="12" t="n">
        <f aca="false">IF(G55&gt;0,W55/G55*10000,"")</f>
        <v>64.5161290322581</v>
      </c>
      <c r="AX55" s="12" t="str">
        <f aca="false">IF(I55&gt;0,K55/I55*100,"")</f>
        <v/>
      </c>
      <c r="AY55" s="9" t="str">
        <f aca="false">IF(AQ55&gt;=100,"ok",IF(AQ55&gt;0,"effectif faible (&lt;100)","aucune association"))</f>
        <v>aucune association</v>
      </c>
    </row>
    <row r="56" customFormat="false" ht="15" hidden="false" customHeight="false" outlineLevel="0" collapsed="false">
      <c r="A56" s="9" t="s">
        <v>234</v>
      </c>
      <c r="B56" s="9" t="s">
        <v>235</v>
      </c>
      <c r="C56" s="9" t="s">
        <v>106</v>
      </c>
      <c r="D56" s="9" t="s">
        <v>101</v>
      </c>
      <c r="E56" s="9" t="s">
        <v>173</v>
      </c>
      <c r="F56" s="9" t="s">
        <v>117</v>
      </c>
      <c r="G56" s="10" t="n">
        <v>7311</v>
      </c>
      <c r="H56" s="10" t="n">
        <v>4</v>
      </c>
      <c r="I56" s="10" t="n">
        <v>333</v>
      </c>
      <c r="J56" s="10" t="n">
        <v>645</v>
      </c>
      <c r="K56" s="10" t="n">
        <v>59</v>
      </c>
      <c r="L56" s="10" t="n">
        <v>11</v>
      </c>
      <c r="M56" s="10" t="n">
        <v>1</v>
      </c>
      <c r="N56" s="10" t="n">
        <v>2</v>
      </c>
      <c r="O56" s="10" t="n">
        <v>5</v>
      </c>
      <c r="P56" s="10" t="n">
        <v>343</v>
      </c>
      <c r="Q56" s="10" t="n">
        <v>682</v>
      </c>
      <c r="R56" s="10" t="n">
        <v>1</v>
      </c>
      <c r="S56" s="10" t="n">
        <v>416</v>
      </c>
      <c r="T56" s="10" t="n">
        <v>20</v>
      </c>
      <c r="U56" s="10" t="n">
        <v>5</v>
      </c>
      <c r="V56" s="10" t="n">
        <v>1</v>
      </c>
      <c r="W56" s="10" t="n">
        <v>7</v>
      </c>
      <c r="X56" s="10" t="n">
        <v>2</v>
      </c>
      <c r="Y56" s="10" t="n">
        <v>0</v>
      </c>
      <c r="Z56" s="10" t="n">
        <v>0</v>
      </c>
      <c r="AA56" s="10" t="n">
        <v>0</v>
      </c>
      <c r="AB56" s="10" t="n">
        <v>1</v>
      </c>
      <c r="AC56" s="10" t="n">
        <v>0</v>
      </c>
      <c r="AD56" s="10" t="n">
        <v>0</v>
      </c>
      <c r="AE56" s="10" t="n">
        <v>4</v>
      </c>
      <c r="AF56" s="10" t="n">
        <v>5</v>
      </c>
      <c r="AG56" s="10" t="n">
        <v>5</v>
      </c>
      <c r="AH56" s="10" t="n">
        <v>4</v>
      </c>
      <c r="AI56" s="10" t="n">
        <v>5</v>
      </c>
      <c r="AJ56" s="10" t="n">
        <v>494</v>
      </c>
      <c r="AK56" s="10" t="n">
        <v>996</v>
      </c>
      <c r="AL56" s="10" t="n">
        <v>952</v>
      </c>
      <c r="AM56" s="10" t="n">
        <v>757</v>
      </c>
      <c r="AN56" s="10" t="n">
        <v>918</v>
      </c>
      <c r="AO56" s="10" t="n">
        <v>1025</v>
      </c>
      <c r="AP56" s="10" t="n">
        <v>978</v>
      </c>
      <c r="AQ56" s="10" t="n">
        <f aca="false">I56+J56</f>
        <v>978</v>
      </c>
      <c r="AR56" s="11" t="n">
        <f aca="false">IF(AQ56&gt;0,I56/AQ56,"")</f>
        <v>0.340490797546012</v>
      </c>
      <c r="AS56" s="11" t="n">
        <f aca="false">IF((P56+Q56)&gt;0,P56/(P56+Q56),"")</f>
        <v>0.334634146341463</v>
      </c>
      <c r="AT56" s="12" t="n">
        <f aca="false">IF(AND(ISNUMBER(AR56),ISNUMBER(AS56)),(AR56-AS56)*100,"")</f>
        <v>0.585665120454881</v>
      </c>
      <c r="AU56" s="12" t="n">
        <f aca="false">IF(G56&gt;0,I56/G56*1000,"")</f>
        <v>45.5478046778826</v>
      </c>
      <c r="AV56" s="12" t="n">
        <f aca="false">IF(G56&gt;0,H56/G56*10000,"")</f>
        <v>5.47120776911503</v>
      </c>
      <c r="AW56" s="12" t="n">
        <f aca="false">IF(G56&gt;0,W56/G56*10000,"")</f>
        <v>9.57461359595131</v>
      </c>
      <c r="AX56" s="12" t="n">
        <f aca="false">IF(I56&gt;0,K56/I56*100,"")</f>
        <v>17.7177177177177</v>
      </c>
      <c r="AY56" s="9" t="str">
        <f aca="false">IF(AQ56&gt;=100,"ok",IF(AQ56&gt;0,"effectif faible (&lt;100)","aucune association"))</f>
        <v>ok</v>
      </c>
    </row>
    <row r="57" customFormat="false" ht="15" hidden="false" customHeight="false" outlineLevel="0" collapsed="false">
      <c r="A57" s="9" t="s">
        <v>236</v>
      </c>
      <c r="B57" s="9" t="s">
        <v>237</v>
      </c>
      <c r="C57" s="9" t="s">
        <v>237</v>
      </c>
      <c r="D57" s="9" t="s">
        <v>101</v>
      </c>
      <c r="E57" s="9" t="s">
        <v>116</v>
      </c>
      <c r="F57" s="9" t="s">
        <v>117</v>
      </c>
      <c r="G57" s="10" t="n">
        <v>23099</v>
      </c>
      <c r="H57" s="10" t="n">
        <v>6</v>
      </c>
      <c r="I57" s="10" t="n">
        <v>1140</v>
      </c>
      <c r="J57" s="10" t="n">
        <v>1428</v>
      </c>
      <c r="K57" s="10" t="n">
        <v>134</v>
      </c>
      <c r="L57" s="10" t="n">
        <v>16</v>
      </c>
      <c r="M57" s="10" t="n">
        <v>1</v>
      </c>
      <c r="N57" s="10" t="n">
        <v>2</v>
      </c>
      <c r="O57" s="10" t="n">
        <v>8</v>
      </c>
      <c r="P57" s="10" t="n">
        <v>1365</v>
      </c>
      <c r="Q57" s="10" t="n">
        <v>1771</v>
      </c>
      <c r="R57" s="10" t="n">
        <v>2</v>
      </c>
      <c r="S57" s="10" t="n">
        <v>236</v>
      </c>
      <c r="T57" s="10" t="n">
        <v>7</v>
      </c>
      <c r="U57" s="10" t="n">
        <v>6</v>
      </c>
      <c r="V57" s="10" t="n">
        <v>2</v>
      </c>
      <c r="W57" s="10" t="n">
        <v>19</v>
      </c>
      <c r="X57" s="10" t="n">
        <v>10</v>
      </c>
      <c r="Y57" s="10" t="n">
        <v>0</v>
      </c>
      <c r="Z57" s="10" t="n">
        <v>0</v>
      </c>
      <c r="AA57" s="10" t="n">
        <v>1</v>
      </c>
      <c r="AB57" s="10" t="n">
        <v>0</v>
      </c>
      <c r="AC57" s="10" t="n">
        <v>0</v>
      </c>
      <c r="AD57" s="10" t="n">
        <v>0</v>
      </c>
      <c r="AE57" s="10" t="n">
        <v>8</v>
      </c>
      <c r="AF57" s="10" t="n">
        <v>9</v>
      </c>
      <c r="AG57" s="10" t="n">
        <v>9</v>
      </c>
      <c r="AH57" s="10" t="n">
        <v>8</v>
      </c>
      <c r="AI57" s="10" t="n">
        <v>8</v>
      </c>
      <c r="AJ57" s="10" t="n">
        <v>2377</v>
      </c>
      <c r="AK57" s="10" t="n">
        <v>3056</v>
      </c>
      <c r="AL57" s="10" t="n">
        <v>2952</v>
      </c>
      <c r="AM57" s="10" t="n">
        <v>2643</v>
      </c>
      <c r="AN57" s="10" t="n">
        <v>3079</v>
      </c>
      <c r="AO57" s="10" t="n">
        <v>3136</v>
      </c>
      <c r="AP57" s="10" t="n">
        <v>2568</v>
      </c>
      <c r="AQ57" s="10" t="n">
        <f aca="false">I57+J57</f>
        <v>2568</v>
      </c>
      <c r="AR57" s="11" t="n">
        <f aca="false">IF(AQ57&gt;0,I57/AQ57,"")</f>
        <v>0.44392523364486</v>
      </c>
      <c r="AS57" s="11" t="n">
        <f aca="false">IF((P57+Q57)&gt;0,P57/(P57+Q57),"")</f>
        <v>0.435267857142857</v>
      </c>
      <c r="AT57" s="12" t="n">
        <f aca="false">IF(AND(ISNUMBER(AR57),ISNUMBER(AS57)),(AR57-AS57)*100,"")</f>
        <v>0.865737650200266</v>
      </c>
      <c r="AU57" s="12" t="n">
        <f aca="false">IF(G57&gt;0,I57/G57*1000,"")</f>
        <v>49.3527858348846</v>
      </c>
      <c r="AV57" s="12" t="n">
        <f aca="false">IF(G57&gt;0,H57/G57*10000,"")</f>
        <v>2.5975150439413</v>
      </c>
      <c r="AW57" s="12" t="n">
        <f aca="false">IF(G57&gt;0,W57/G57*10000,"")</f>
        <v>8.2254643058141</v>
      </c>
      <c r="AX57" s="12" t="n">
        <f aca="false">IF(I57&gt;0,K57/I57*100,"")</f>
        <v>11.7543859649123</v>
      </c>
      <c r="AY57" s="9" t="str">
        <f aca="false">IF(AQ57&gt;=100,"ok",IF(AQ57&gt;0,"effectif faible (&lt;100)","aucune association"))</f>
        <v>ok</v>
      </c>
    </row>
    <row r="58" customFormat="false" ht="15" hidden="false" customHeight="false" outlineLevel="0" collapsed="false">
      <c r="A58" s="9" t="s">
        <v>238</v>
      </c>
      <c r="B58" s="9" t="s">
        <v>146</v>
      </c>
      <c r="C58" s="9" t="s">
        <v>146</v>
      </c>
      <c r="D58" s="9" t="s">
        <v>101</v>
      </c>
      <c r="E58" s="9" t="s">
        <v>116</v>
      </c>
      <c r="F58" s="9" t="s">
        <v>117</v>
      </c>
      <c r="G58" s="10" t="n">
        <v>16065</v>
      </c>
      <c r="H58" s="10" t="n">
        <v>12</v>
      </c>
      <c r="I58" s="10" t="n">
        <v>892</v>
      </c>
      <c r="J58" s="10" t="n">
        <v>1742</v>
      </c>
      <c r="K58" s="10" t="n">
        <v>230</v>
      </c>
      <c r="L58" s="10" t="n">
        <v>28</v>
      </c>
      <c r="M58" s="10" t="n">
        <v>3</v>
      </c>
      <c r="N58" s="10" t="n">
        <v>1</v>
      </c>
      <c r="O58" s="10" t="n">
        <v>12</v>
      </c>
      <c r="P58" s="10" t="n">
        <v>842</v>
      </c>
      <c r="Q58" s="10" t="n">
        <v>1616</v>
      </c>
      <c r="R58" s="10" t="n">
        <v>2</v>
      </c>
      <c r="S58" s="10" t="n">
        <v>401</v>
      </c>
      <c r="T58" s="10" t="n">
        <v>10</v>
      </c>
      <c r="U58" s="10" t="n">
        <v>13</v>
      </c>
      <c r="V58" s="10" t="n">
        <v>2</v>
      </c>
      <c r="W58" s="10" t="n">
        <v>13</v>
      </c>
      <c r="X58" s="10" t="n">
        <v>2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10</v>
      </c>
      <c r="AF58" s="10" t="n">
        <v>11</v>
      </c>
      <c r="AG58" s="10" t="n">
        <v>13</v>
      </c>
      <c r="AH58" s="10" t="n">
        <v>12</v>
      </c>
      <c r="AI58" s="10" t="n">
        <v>11</v>
      </c>
      <c r="AJ58" s="10" t="n">
        <v>2052</v>
      </c>
      <c r="AK58" s="10" t="n">
        <v>2020</v>
      </c>
      <c r="AL58" s="10" t="n">
        <v>2497</v>
      </c>
      <c r="AM58" s="10" t="n">
        <v>2621</v>
      </c>
      <c r="AN58" s="10" t="n">
        <v>2414</v>
      </c>
      <c r="AO58" s="10" t="n">
        <v>2458</v>
      </c>
      <c r="AP58" s="10" t="n">
        <v>2634</v>
      </c>
      <c r="AQ58" s="10" t="n">
        <f aca="false">I58+J58</f>
        <v>2634</v>
      </c>
      <c r="AR58" s="11" t="n">
        <f aca="false">IF(AQ58&gt;0,I58/AQ58,"")</f>
        <v>0.338648443432043</v>
      </c>
      <c r="AS58" s="11" t="n">
        <f aca="false">IF((P58+Q58)&gt;0,P58/(P58+Q58),"")</f>
        <v>0.342554922701383</v>
      </c>
      <c r="AT58" s="12" t="n">
        <f aca="false">IF(AND(ISNUMBER(AR58),ISNUMBER(AS58)),(AR58-AS58)*100,"")</f>
        <v>-0.390647926934068</v>
      </c>
      <c r="AU58" s="12" t="n">
        <f aca="false">IF(G58&gt;0,I58/G58*1000,"")</f>
        <v>55.5244319950202</v>
      </c>
      <c r="AV58" s="12" t="n">
        <f aca="false">IF(G58&gt;0,H58/G58*10000,"")</f>
        <v>7.46965452847806</v>
      </c>
      <c r="AW58" s="12" t="n">
        <f aca="false">IF(G58&gt;0,W58/G58*10000,"")</f>
        <v>8.09212573918456</v>
      </c>
      <c r="AX58" s="12" t="n">
        <f aca="false">IF(I58&gt;0,K58/I58*100,"")</f>
        <v>25.7847533632287</v>
      </c>
      <c r="AY58" s="9" t="str">
        <f aca="false">IF(AQ58&gt;=100,"ok",IF(AQ58&gt;0,"effectif faible (&lt;100)","aucune association"))</f>
        <v>ok</v>
      </c>
    </row>
    <row r="59" customFormat="false" ht="15" hidden="false" customHeight="false" outlineLevel="0" collapsed="false">
      <c r="A59" s="9" t="s">
        <v>239</v>
      </c>
      <c r="B59" s="9" t="s">
        <v>240</v>
      </c>
      <c r="C59" s="9" t="s">
        <v>241</v>
      </c>
      <c r="D59" s="9" t="s">
        <v>101</v>
      </c>
      <c r="E59" s="9" t="s">
        <v>152</v>
      </c>
      <c r="F59" s="9" t="s">
        <v>117</v>
      </c>
      <c r="G59" s="10" t="n">
        <v>26211</v>
      </c>
      <c r="H59" s="10" t="n">
        <v>7</v>
      </c>
      <c r="I59" s="10" t="n">
        <v>1011</v>
      </c>
      <c r="J59" s="10" t="n">
        <v>583</v>
      </c>
      <c r="K59" s="10" t="n">
        <v>114</v>
      </c>
      <c r="L59" s="10" t="n">
        <v>23</v>
      </c>
      <c r="M59" s="10" t="n">
        <v>0</v>
      </c>
      <c r="N59" s="10" t="n">
        <v>3</v>
      </c>
      <c r="O59" s="10" t="n">
        <v>7</v>
      </c>
      <c r="P59" s="10" t="n">
        <v>1114</v>
      </c>
      <c r="Q59" s="10" t="n">
        <v>516</v>
      </c>
      <c r="R59" s="10" t="n">
        <v>1</v>
      </c>
      <c r="S59" s="10" t="n">
        <v>109</v>
      </c>
      <c r="T59" s="10" t="n">
        <v>4</v>
      </c>
      <c r="U59" s="10" t="n">
        <v>8</v>
      </c>
      <c r="V59" s="10" t="n">
        <v>1</v>
      </c>
      <c r="W59" s="10" t="n">
        <v>20</v>
      </c>
      <c r="X59" s="10" t="n">
        <v>0</v>
      </c>
      <c r="Y59" s="10" t="n">
        <v>1</v>
      </c>
      <c r="Z59" s="10" t="n">
        <v>4</v>
      </c>
      <c r="AA59" s="10" t="n">
        <v>1</v>
      </c>
      <c r="AB59" s="10" t="n">
        <v>4</v>
      </c>
      <c r="AC59" s="10" t="n">
        <v>0</v>
      </c>
      <c r="AD59" s="10" t="n">
        <v>0</v>
      </c>
      <c r="AE59" s="10" t="n">
        <v>6</v>
      </c>
      <c r="AF59" s="10" t="n">
        <v>6</v>
      </c>
      <c r="AG59" s="10" t="n">
        <v>7</v>
      </c>
      <c r="AH59" s="10" t="n">
        <v>7</v>
      </c>
      <c r="AI59" s="10" t="n">
        <v>6</v>
      </c>
      <c r="AJ59" s="10" t="n">
        <v>4317</v>
      </c>
      <c r="AK59" s="10" t="n">
        <v>4382</v>
      </c>
      <c r="AL59" s="10" t="n">
        <v>3698</v>
      </c>
      <c r="AM59" s="10" t="n">
        <v>1253</v>
      </c>
      <c r="AN59" s="10" t="n">
        <v>779</v>
      </c>
      <c r="AO59" s="10" t="n">
        <v>1630</v>
      </c>
      <c r="AP59" s="10" t="n">
        <v>1594</v>
      </c>
      <c r="AQ59" s="10" t="n">
        <f aca="false">I59+J59</f>
        <v>1594</v>
      </c>
      <c r="AR59" s="11" t="n">
        <f aca="false">IF(AQ59&gt;0,I59/AQ59,"")</f>
        <v>0.634253450439147</v>
      </c>
      <c r="AS59" s="11" t="n">
        <f aca="false">IF((P59+Q59)&gt;0,P59/(P59+Q59),"")</f>
        <v>0.683435582822086</v>
      </c>
      <c r="AT59" s="12" t="n">
        <f aca="false">IF(AND(ISNUMBER(AR59),ISNUMBER(AS59)),(AR59-AS59)*100,"")</f>
        <v>-4.91821323829391</v>
      </c>
      <c r="AU59" s="12" t="n">
        <f aca="false">IF(G59&gt;0,I59/G59*1000,"")</f>
        <v>38.5715920796612</v>
      </c>
      <c r="AV59" s="12" t="n">
        <f aca="false">IF(G59&gt;0,H59/G59*10000,"")</f>
        <v>2.67063446644539</v>
      </c>
      <c r="AW59" s="12" t="n">
        <f aca="false">IF(G59&gt;0,W59/G59*10000,"")</f>
        <v>7.63038418984396</v>
      </c>
      <c r="AX59" s="12" t="n">
        <f aca="false">IF(I59&gt;0,K59/I59*100,"")</f>
        <v>11.2759643916914</v>
      </c>
      <c r="AY59" s="9" t="str">
        <f aca="false">IF(AQ59&gt;=100,"ok",IF(AQ59&gt;0,"effectif faible (&lt;100)","aucune association"))</f>
        <v>ok</v>
      </c>
    </row>
    <row r="60" customFormat="false" ht="15" hidden="false" customHeight="false" outlineLevel="0" collapsed="false">
      <c r="A60" s="9" t="s">
        <v>242</v>
      </c>
      <c r="B60" s="9" t="s">
        <v>243</v>
      </c>
      <c r="C60" s="9" t="s">
        <v>115</v>
      </c>
      <c r="D60" s="9" t="s">
        <v>101</v>
      </c>
      <c r="E60" s="9" t="s">
        <v>116</v>
      </c>
      <c r="F60" s="9" t="s">
        <v>117</v>
      </c>
      <c r="G60" s="10" t="n">
        <v>11432</v>
      </c>
      <c r="H60" s="10" t="n">
        <v>8</v>
      </c>
      <c r="I60" s="10" t="n">
        <v>748</v>
      </c>
      <c r="J60" s="10" t="n">
        <v>624</v>
      </c>
      <c r="K60" s="10" t="n">
        <v>180</v>
      </c>
      <c r="L60" s="10" t="n">
        <v>14</v>
      </c>
      <c r="M60" s="10" t="n">
        <v>3</v>
      </c>
      <c r="N60" s="10" t="n">
        <v>3</v>
      </c>
      <c r="O60" s="10" t="n">
        <v>8</v>
      </c>
      <c r="P60" s="10" t="n">
        <v>769</v>
      </c>
      <c r="Q60" s="10" t="n">
        <v>602</v>
      </c>
      <c r="R60" s="10" t="n">
        <v>0</v>
      </c>
      <c r="S60" s="10" t="n">
        <v>0</v>
      </c>
      <c r="T60" s="10" t="n">
        <v>0</v>
      </c>
      <c r="U60" s="10" t="n">
        <v>9</v>
      </c>
      <c r="V60" s="10" t="n">
        <v>0</v>
      </c>
      <c r="W60" s="10" t="n">
        <v>19</v>
      </c>
      <c r="X60" s="10" t="n">
        <v>7</v>
      </c>
      <c r="Y60" s="10" t="n">
        <v>0</v>
      </c>
      <c r="Z60" s="10" t="n">
        <v>0</v>
      </c>
      <c r="AA60" s="10" t="n">
        <v>0</v>
      </c>
      <c r="AB60" s="10" t="n">
        <v>2</v>
      </c>
      <c r="AC60" s="10" t="n">
        <v>1</v>
      </c>
      <c r="AD60" s="10" t="n">
        <v>0</v>
      </c>
      <c r="AE60" s="10" t="n">
        <v>6</v>
      </c>
      <c r="AF60" s="10" t="n">
        <v>7</v>
      </c>
      <c r="AG60" s="10" t="n">
        <v>7</v>
      </c>
      <c r="AH60" s="10" t="n">
        <v>8</v>
      </c>
      <c r="AI60" s="10" t="n">
        <v>9</v>
      </c>
      <c r="AJ60" s="10" t="n">
        <v>841</v>
      </c>
      <c r="AK60" s="10" t="n">
        <v>1028</v>
      </c>
      <c r="AL60" s="10" t="n">
        <v>783</v>
      </c>
      <c r="AM60" s="10" t="n">
        <v>1055</v>
      </c>
      <c r="AN60" s="10" t="n">
        <v>1221</v>
      </c>
      <c r="AO60" s="10" t="n">
        <v>1371</v>
      </c>
      <c r="AP60" s="10" t="n">
        <v>1372</v>
      </c>
      <c r="AQ60" s="10" t="n">
        <f aca="false">I60+J60</f>
        <v>1372</v>
      </c>
      <c r="AR60" s="11" t="n">
        <f aca="false">IF(AQ60&gt;0,I60/AQ60,"")</f>
        <v>0.545189504373178</v>
      </c>
      <c r="AS60" s="11" t="n">
        <f aca="false">IF((P60+Q60)&gt;0,P60/(P60+Q60),"")</f>
        <v>0.560904449307075</v>
      </c>
      <c r="AT60" s="12" t="n">
        <f aca="false">IF(AND(ISNUMBER(AR60),ISNUMBER(AS60)),(AR60-AS60)*100,"")</f>
        <v>-1.57149449338974</v>
      </c>
      <c r="AU60" s="12" t="n">
        <f aca="false">IF(G60&gt;0,I60/G60*1000,"")</f>
        <v>65.4303708887334</v>
      </c>
      <c r="AV60" s="12" t="n">
        <f aca="false">IF(G60&gt;0,H60/G60*10000,"")</f>
        <v>6.99790062981106</v>
      </c>
      <c r="AW60" s="12" t="n">
        <f aca="false">IF(G60&gt;0,W60/G60*10000,"")</f>
        <v>16.6200139958013</v>
      </c>
      <c r="AX60" s="12" t="n">
        <f aca="false">IF(I60&gt;0,K60/I60*100,"")</f>
        <v>24.0641711229947</v>
      </c>
      <c r="AY60" s="9" t="str">
        <f aca="false">IF(AQ60&gt;=100,"ok",IF(AQ60&gt;0,"effectif faible (&lt;100)","aucune association"))</f>
        <v>ok</v>
      </c>
    </row>
    <row r="61" customFormat="false" ht="15" hidden="false" customHeight="false" outlineLevel="0" collapsed="false">
      <c r="A61" s="9" t="s">
        <v>244</v>
      </c>
      <c r="B61" s="9" t="s">
        <v>245</v>
      </c>
      <c r="C61" s="9" t="s">
        <v>100</v>
      </c>
      <c r="D61" s="9" t="s">
        <v>101</v>
      </c>
      <c r="E61" s="9" t="s">
        <v>128</v>
      </c>
      <c r="F61" s="9" t="s">
        <v>117</v>
      </c>
      <c r="G61" s="10" t="n">
        <v>2243</v>
      </c>
      <c r="H61" s="10" t="n">
        <v>4</v>
      </c>
      <c r="I61" s="10" t="n">
        <v>176</v>
      </c>
      <c r="J61" s="10" t="n">
        <v>396</v>
      </c>
      <c r="K61" s="10" t="n">
        <v>50</v>
      </c>
      <c r="L61" s="10" t="n">
        <v>9</v>
      </c>
      <c r="M61" s="10" t="n">
        <v>1</v>
      </c>
      <c r="N61" s="10" t="n">
        <v>0</v>
      </c>
      <c r="O61" s="10" t="n">
        <v>4</v>
      </c>
      <c r="P61" s="10" t="n">
        <v>177</v>
      </c>
      <c r="Q61" s="10" t="n">
        <v>339</v>
      </c>
      <c r="R61" s="10" t="n">
        <v>0</v>
      </c>
      <c r="S61" s="10" t="n">
        <v>0</v>
      </c>
      <c r="T61" s="10" t="n">
        <v>0</v>
      </c>
      <c r="U61" s="10" t="n">
        <v>4</v>
      </c>
      <c r="V61" s="10" t="n">
        <v>0</v>
      </c>
      <c r="W61" s="10" t="n">
        <v>5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6</v>
      </c>
      <c r="AF61" s="10" t="n">
        <v>5</v>
      </c>
      <c r="AG61" s="10" t="n">
        <v>6</v>
      </c>
      <c r="AH61" s="10" t="n">
        <v>5</v>
      </c>
      <c r="AI61" s="10" t="n">
        <v>4</v>
      </c>
      <c r="AJ61" s="10" t="n">
        <v>573</v>
      </c>
      <c r="AK61" s="10" t="n">
        <v>475</v>
      </c>
      <c r="AL61" s="10" t="n">
        <v>665</v>
      </c>
      <c r="AM61" s="10" t="n">
        <v>475</v>
      </c>
      <c r="AN61" s="10" t="n">
        <v>512</v>
      </c>
      <c r="AO61" s="10" t="n">
        <v>516</v>
      </c>
      <c r="AP61" s="10" t="n">
        <v>572</v>
      </c>
      <c r="AQ61" s="10" t="n">
        <f aca="false">I61+J61</f>
        <v>572</v>
      </c>
      <c r="AR61" s="11" t="n">
        <f aca="false">IF(AQ61&gt;0,I61/AQ61,"")</f>
        <v>0.307692307692308</v>
      </c>
      <c r="AS61" s="11" t="n">
        <f aca="false">IF((P61+Q61)&gt;0,P61/(P61+Q61),"")</f>
        <v>0.343023255813954</v>
      </c>
      <c r="AT61" s="12" t="n">
        <f aca="false">IF(AND(ISNUMBER(AR61),ISNUMBER(AS61)),(AR61-AS61)*100,"")</f>
        <v>-3.53309481216458</v>
      </c>
      <c r="AU61" s="12" t="n">
        <f aca="false">IF(G61&gt;0,I61/G61*1000,"")</f>
        <v>78.4663397235845</v>
      </c>
      <c r="AV61" s="12" t="n">
        <f aca="false">IF(G61&gt;0,H61/G61*10000,"")</f>
        <v>17.8332590280874</v>
      </c>
      <c r="AW61" s="12" t="n">
        <f aca="false">IF(G61&gt;0,W61/G61*10000,"")</f>
        <v>22.2915737851092</v>
      </c>
      <c r="AX61" s="12" t="n">
        <f aca="false">IF(I61&gt;0,K61/I61*100,"")</f>
        <v>28.4090909090909</v>
      </c>
      <c r="AY61" s="9" t="str">
        <f aca="false">IF(AQ61&gt;=100,"ok",IF(AQ61&gt;0,"effectif faible (&lt;100)","aucune association"))</f>
        <v>ok</v>
      </c>
    </row>
    <row r="62" customFormat="false" ht="15" hidden="false" customHeight="false" outlineLevel="0" collapsed="false">
      <c r="A62" s="9" t="s">
        <v>246</v>
      </c>
      <c r="B62" s="9" t="s">
        <v>241</v>
      </c>
      <c r="C62" s="9" t="s">
        <v>241</v>
      </c>
      <c r="D62" s="9" t="s">
        <v>101</v>
      </c>
      <c r="E62" s="9" t="s">
        <v>152</v>
      </c>
      <c r="F62" s="9" t="s">
        <v>117</v>
      </c>
      <c r="G62" s="10" t="n">
        <v>29489</v>
      </c>
      <c r="H62" s="10" t="n">
        <v>15</v>
      </c>
      <c r="I62" s="10" t="n">
        <v>2407</v>
      </c>
      <c r="J62" s="10" t="n">
        <v>2288</v>
      </c>
      <c r="K62" s="10" t="n">
        <v>267</v>
      </c>
      <c r="L62" s="10" t="n">
        <v>44</v>
      </c>
      <c r="M62" s="10" t="n">
        <v>5</v>
      </c>
      <c r="N62" s="10" t="n">
        <v>3</v>
      </c>
      <c r="O62" s="10" t="n">
        <v>15</v>
      </c>
      <c r="P62" s="10" t="n">
        <v>1756</v>
      </c>
      <c r="Q62" s="10" t="n">
        <v>2330</v>
      </c>
      <c r="R62" s="10" t="n">
        <v>2</v>
      </c>
      <c r="S62" s="10" t="n">
        <v>345</v>
      </c>
      <c r="T62" s="10" t="n">
        <v>11</v>
      </c>
      <c r="U62" s="10" t="n">
        <v>16</v>
      </c>
      <c r="V62" s="10" t="n">
        <v>2</v>
      </c>
      <c r="W62" s="10" t="n">
        <v>19</v>
      </c>
      <c r="X62" s="10" t="n">
        <v>3</v>
      </c>
      <c r="Y62" s="10" t="n">
        <v>0</v>
      </c>
      <c r="Z62" s="10" t="n">
        <v>1</v>
      </c>
      <c r="AA62" s="10" t="n">
        <v>0</v>
      </c>
      <c r="AB62" s="10" t="n">
        <v>1</v>
      </c>
      <c r="AC62" s="10" t="n">
        <v>1</v>
      </c>
      <c r="AD62" s="10" t="n">
        <v>0</v>
      </c>
      <c r="AE62" s="10" t="n">
        <v>16</v>
      </c>
      <c r="AF62" s="10" t="n">
        <v>16</v>
      </c>
      <c r="AG62" s="10" t="n">
        <v>14</v>
      </c>
      <c r="AH62" s="10" t="n">
        <v>14</v>
      </c>
      <c r="AI62" s="10" t="n">
        <v>15</v>
      </c>
      <c r="AJ62" s="10" t="n">
        <v>3794</v>
      </c>
      <c r="AK62" s="10" t="n">
        <v>4573</v>
      </c>
      <c r="AL62" s="10" t="n">
        <v>3931</v>
      </c>
      <c r="AM62" s="10" t="n">
        <v>3751</v>
      </c>
      <c r="AN62" s="10" t="n">
        <v>4231</v>
      </c>
      <c r="AO62" s="10" t="n">
        <v>4086</v>
      </c>
      <c r="AP62" s="10" t="n">
        <v>4695</v>
      </c>
      <c r="AQ62" s="10" t="n">
        <f aca="false">I62+J62</f>
        <v>4695</v>
      </c>
      <c r="AR62" s="11" t="n">
        <f aca="false">IF(AQ62&gt;0,I62/AQ62,"")</f>
        <v>0.512673056443025</v>
      </c>
      <c r="AS62" s="11" t="n">
        <f aca="false">IF((P62+Q62)&gt;0,P62/(P62+Q62),"")</f>
        <v>0.429760156632403</v>
      </c>
      <c r="AT62" s="12" t="n">
        <f aca="false">IF(AND(ISNUMBER(AR62),ISNUMBER(AS62)),(AR62-AS62)*100,"")</f>
        <v>8.29128998106212</v>
      </c>
      <c r="AU62" s="12" t="n">
        <f aca="false">IF(G62&gt;0,I62/G62*1000,"")</f>
        <v>81.6236562786124</v>
      </c>
      <c r="AV62" s="12" t="n">
        <f aca="false">IF(G62&gt;0,H62/G62*10000,"")</f>
        <v>5.08664247685578</v>
      </c>
      <c r="AW62" s="12" t="n">
        <f aca="false">IF(G62&gt;0,W62/G62*10000,"")</f>
        <v>6.44308047068398</v>
      </c>
      <c r="AX62" s="12" t="n">
        <f aca="false">IF(I62&gt;0,K62/I62*100,"")</f>
        <v>11.0926464478604</v>
      </c>
      <c r="AY62" s="9" t="str">
        <f aca="false">IF(AQ62&gt;=100,"ok",IF(AQ62&gt;0,"effectif faible (&lt;100)","aucune association"))</f>
        <v>ok</v>
      </c>
    </row>
    <row r="63" customFormat="false" ht="15" hidden="false" customHeight="false" outlineLevel="0" collapsed="false">
      <c r="A63" s="9" t="s">
        <v>247</v>
      </c>
      <c r="B63" s="9" t="s">
        <v>248</v>
      </c>
      <c r="C63" s="9" t="s">
        <v>133</v>
      </c>
      <c r="D63" s="9" t="s">
        <v>101</v>
      </c>
      <c r="E63" s="9" t="s">
        <v>125</v>
      </c>
      <c r="F63" s="9" t="s">
        <v>135</v>
      </c>
      <c r="G63" s="10" t="n">
        <v>2219</v>
      </c>
      <c r="H63" s="10" t="n">
        <v>2</v>
      </c>
      <c r="I63" s="10" t="n">
        <v>38</v>
      </c>
      <c r="J63" s="10" t="n">
        <v>255</v>
      </c>
      <c r="K63" s="10" t="n">
        <v>49</v>
      </c>
      <c r="L63" s="10" t="n">
        <v>1</v>
      </c>
      <c r="M63" s="10" t="n">
        <v>1</v>
      </c>
      <c r="N63" s="10" t="n">
        <v>1</v>
      </c>
      <c r="O63" s="10" t="n">
        <v>2</v>
      </c>
      <c r="P63" s="10" t="n">
        <v>43</v>
      </c>
      <c r="Q63" s="10" t="n">
        <v>284</v>
      </c>
      <c r="R63" s="10" t="n">
        <v>0</v>
      </c>
      <c r="S63" s="10" t="n">
        <v>0</v>
      </c>
      <c r="T63" s="10" t="n">
        <v>0</v>
      </c>
      <c r="U63" s="10" t="n">
        <v>2</v>
      </c>
      <c r="V63" s="10" t="n">
        <v>0</v>
      </c>
      <c r="W63" s="10" t="n">
        <v>7</v>
      </c>
      <c r="X63" s="10" t="n">
        <v>1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1</v>
      </c>
      <c r="AF63" s="10" t="n">
        <v>1</v>
      </c>
      <c r="AG63" s="10" t="n">
        <v>2</v>
      </c>
      <c r="AH63" s="10" t="n">
        <v>2</v>
      </c>
      <c r="AI63" s="10" t="n">
        <v>2</v>
      </c>
      <c r="AJ63" s="10" t="n">
        <v>248</v>
      </c>
      <c r="AK63" s="10" t="n">
        <v>242</v>
      </c>
      <c r="AL63" s="10" t="n">
        <v>231</v>
      </c>
      <c r="AM63" s="10" t="n">
        <v>236</v>
      </c>
      <c r="AN63" s="10" t="n">
        <v>253</v>
      </c>
      <c r="AO63" s="10" t="n">
        <v>327</v>
      </c>
      <c r="AP63" s="10" t="n">
        <v>293</v>
      </c>
      <c r="AQ63" s="10" t="n">
        <f aca="false">I63+J63</f>
        <v>293</v>
      </c>
      <c r="AR63" s="11" t="n">
        <f aca="false">IF(AQ63&gt;0,I63/AQ63,"")</f>
        <v>0.129692832764505</v>
      </c>
      <c r="AS63" s="11" t="n">
        <f aca="false">IF((P63+Q63)&gt;0,P63/(P63+Q63),"")</f>
        <v>0.131498470948012</v>
      </c>
      <c r="AT63" s="12" t="n">
        <f aca="false">IF(AND(ISNUMBER(AR63),ISNUMBER(AS63)),(AR63-AS63)*100,"")</f>
        <v>-0.180563818350712</v>
      </c>
      <c r="AU63" s="12" t="n">
        <f aca="false">IF(G63&gt;0,I63/G63*1000,"")</f>
        <v>17.1248310049572</v>
      </c>
      <c r="AV63" s="12" t="n">
        <f aca="false">IF(G63&gt;0,H63/G63*10000,"")</f>
        <v>9.01306894997747</v>
      </c>
      <c r="AW63" s="12" t="n">
        <f aca="false">IF(G63&gt;0,W63/G63*10000,"")</f>
        <v>31.5457413249211</v>
      </c>
      <c r="AX63" s="12" t="n">
        <f aca="false">IF(I63&gt;0,K63/I63*100,"")</f>
        <v>128.947368421053</v>
      </c>
      <c r="AY63" s="9" t="str">
        <f aca="false">IF(AQ63&gt;=100,"ok",IF(AQ63&gt;0,"effectif faible (&lt;100)","aucune association"))</f>
        <v>ok</v>
      </c>
    </row>
    <row r="64" customFormat="false" ht="15" hidden="false" customHeight="false" outlineLevel="0" collapsed="false">
      <c r="A64" s="9" t="s">
        <v>249</v>
      </c>
      <c r="B64" s="9" t="s">
        <v>133</v>
      </c>
      <c r="C64" s="9" t="s">
        <v>133</v>
      </c>
      <c r="D64" s="9" t="s">
        <v>101</v>
      </c>
      <c r="E64" s="9" t="s">
        <v>125</v>
      </c>
      <c r="F64" s="9" t="s">
        <v>157</v>
      </c>
      <c r="G64" s="10" t="n">
        <v>10570</v>
      </c>
      <c r="H64" s="10" t="n">
        <v>9</v>
      </c>
      <c r="I64" s="10" t="n">
        <v>510</v>
      </c>
      <c r="J64" s="10" t="n">
        <v>449</v>
      </c>
      <c r="K64" s="10" t="n">
        <v>122</v>
      </c>
      <c r="L64" s="10" t="n">
        <v>4</v>
      </c>
      <c r="M64" s="10" t="n">
        <v>2</v>
      </c>
      <c r="N64" s="10" t="n">
        <v>4</v>
      </c>
      <c r="O64" s="10" t="n">
        <v>9</v>
      </c>
      <c r="P64" s="10" t="n">
        <v>493</v>
      </c>
      <c r="Q64" s="10" t="n">
        <v>412</v>
      </c>
      <c r="R64" s="10" t="n">
        <v>1</v>
      </c>
      <c r="S64" s="10" t="n">
        <v>234</v>
      </c>
      <c r="T64" s="10" t="n">
        <v>6</v>
      </c>
      <c r="U64" s="10" t="n">
        <v>8</v>
      </c>
      <c r="V64" s="10" t="n">
        <v>1</v>
      </c>
      <c r="W64" s="10" t="n">
        <v>8</v>
      </c>
      <c r="X64" s="10" t="n">
        <v>1</v>
      </c>
      <c r="Y64" s="10" t="n">
        <v>1</v>
      </c>
      <c r="Z64" s="10" t="n">
        <v>0</v>
      </c>
      <c r="AA64" s="10" t="n">
        <v>0</v>
      </c>
      <c r="AB64" s="10" t="n">
        <v>1</v>
      </c>
      <c r="AC64" s="10" t="n">
        <v>0</v>
      </c>
      <c r="AD64" s="10" t="n">
        <v>0</v>
      </c>
      <c r="AE64" s="10" t="n">
        <v>4</v>
      </c>
      <c r="AF64" s="10" t="n">
        <v>7</v>
      </c>
      <c r="AG64" s="10" t="n">
        <v>7</v>
      </c>
      <c r="AH64" s="10" t="n">
        <v>9</v>
      </c>
      <c r="AI64" s="10" t="n">
        <v>7</v>
      </c>
      <c r="AJ64" s="10" t="n">
        <v>477</v>
      </c>
      <c r="AK64" s="10" t="n">
        <v>892</v>
      </c>
      <c r="AL64" s="10" t="n">
        <v>628</v>
      </c>
      <c r="AM64" s="10" t="n">
        <v>681</v>
      </c>
      <c r="AN64" s="10" t="n">
        <v>670</v>
      </c>
      <c r="AO64" s="10" t="n">
        <v>905</v>
      </c>
      <c r="AP64" s="10" t="n">
        <v>959</v>
      </c>
      <c r="AQ64" s="10" t="n">
        <f aca="false">I64+J64</f>
        <v>959</v>
      </c>
      <c r="AR64" s="11" t="n">
        <f aca="false">IF(AQ64&gt;0,I64/AQ64,"")</f>
        <v>0.531803962460897</v>
      </c>
      <c r="AS64" s="11" t="n">
        <f aca="false">IF((P64+Q64)&gt;0,P64/(P64+Q64),"")</f>
        <v>0.54475138121547</v>
      </c>
      <c r="AT64" s="12" t="n">
        <f aca="false">IF(AND(ISNUMBER(AR64),ISNUMBER(AS64)),(AR64-AS64)*100,"")</f>
        <v>-1.29474187545728</v>
      </c>
      <c r="AU64" s="12" t="n">
        <f aca="false">IF(G64&gt;0,I64/G64*1000,"")</f>
        <v>48.2497634815516</v>
      </c>
      <c r="AV64" s="12" t="n">
        <f aca="false">IF(G64&gt;0,H64/G64*10000,"")</f>
        <v>8.51466414380322</v>
      </c>
      <c r="AW64" s="12" t="n">
        <f aca="false">IF(G64&gt;0,W64/G64*10000,"")</f>
        <v>7.5685903500473</v>
      </c>
      <c r="AX64" s="12" t="n">
        <f aca="false">IF(I64&gt;0,K64/I64*100,"")</f>
        <v>23.921568627451</v>
      </c>
      <c r="AY64" s="9" t="str">
        <f aca="false">IF(AQ64&gt;=100,"ok",IF(AQ64&gt;0,"effectif faible (&lt;100)","aucune association"))</f>
        <v>ok</v>
      </c>
    </row>
    <row r="65" customFormat="false" ht="15" hidden="false" customHeight="false" outlineLevel="0" collapsed="false">
      <c r="A65" s="9" t="s">
        <v>250</v>
      </c>
      <c r="B65" s="9" t="s">
        <v>229</v>
      </c>
      <c r="C65" s="9" t="s">
        <v>229</v>
      </c>
      <c r="D65" s="9" t="s">
        <v>101</v>
      </c>
      <c r="E65" s="9" t="s">
        <v>152</v>
      </c>
      <c r="F65" s="9" t="s">
        <v>117</v>
      </c>
      <c r="G65" s="10" t="n">
        <v>37754</v>
      </c>
      <c r="H65" s="10" t="n">
        <v>13</v>
      </c>
      <c r="I65" s="10" t="n">
        <v>1484</v>
      </c>
      <c r="J65" s="10" t="n">
        <v>3110</v>
      </c>
      <c r="K65" s="10" t="n">
        <v>361</v>
      </c>
      <c r="L65" s="10" t="n">
        <v>38</v>
      </c>
      <c r="M65" s="10" t="n">
        <v>5</v>
      </c>
      <c r="N65" s="10" t="n">
        <v>2</v>
      </c>
      <c r="O65" s="10" t="n">
        <v>15</v>
      </c>
      <c r="P65" s="10" t="n">
        <v>1370</v>
      </c>
      <c r="Q65" s="10" t="n">
        <v>3161</v>
      </c>
      <c r="R65" s="10" t="n">
        <v>3</v>
      </c>
      <c r="S65" s="10" t="n">
        <v>469</v>
      </c>
      <c r="T65" s="10" t="n">
        <v>12</v>
      </c>
      <c r="U65" s="10" t="n">
        <v>13</v>
      </c>
      <c r="V65" s="10" t="n">
        <v>3</v>
      </c>
      <c r="W65" s="10" t="n">
        <v>25</v>
      </c>
      <c r="X65" s="10" t="n">
        <v>3</v>
      </c>
      <c r="Y65" s="10" t="n">
        <v>1</v>
      </c>
      <c r="Z65" s="10" t="n">
        <v>1</v>
      </c>
      <c r="AA65" s="10" t="n">
        <v>0</v>
      </c>
      <c r="AB65" s="10" t="n">
        <v>1</v>
      </c>
      <c r="AC65" s="10" t="n">
        <v>3</v>
      </c>
      <c r="AD65" s="10" t="n">
        <v>1</v>
      </c>
      <c r="AE65" s="10" t="n">
        <v>14</v>
      </c>
      <c r="AF65" s="10" t="n">
        <v>16</v>
      </c>
      <c r="AG65" s="10" t="n">
        <v>15</v>
      </c>
      <c r="AH65" s="10" t="n">
        <v>16</v>
      </c>
      <c r="AI65" s="10" t="n">
        <v>16</v>
      </c>
      <c r="AJ65" s="10" t="n">
        <v>4148</v>
      </c>
      <c r="AK65" s="10" t="n">
        <v>4790</v>
      </c>
      <c r="AL65" s="10" t="n">
        <v>4147</v>
      </c>
      <c r="AM65" s="10" t="n">
        <v>4301</v>
      </c>
      <c r="AN65" s="10" t="n">
        <v>4883</v>
      </c>
      <c r="AO65" s="10" t="n">
        <v>4531</v>
      </c>
      <c r="AP65" s="10" t="n">
        <v>4594</v>
      </c>
      <c r="AQ65" s="10" t="n">
        <f aca="false">I65+J65</f>
        <v>4594</v>
      </c>
      <c r="AR65" s="11" t="n">
        <f aca="false">IF(AQ65&gt;0,I65/AQ65,"")</f>
        <v>0.323030039181541</v>
      </c>
      <c r="AS65" s="11" t="n">
        <f aca="false">IF((P65+Q65)&gt;0,P65/(P65+Q65),"")</f>
        <v>0.30236150960053</v>
      </c>
      <c r="AT65" s="12" t="n">
        <f aca="false">IF(AND(ISNUMBER(AR65),ISNUMBER(AS65)),(AR65-AS65)*100,"")</f>
        <v>2.06685295810115</v>
      </c>
      <c r="AU65" s="12" t="n">
        <f aca="false">IF(G65&gt;0,I65/G65*1000,"")</f>
        <v>39.3070932881284</v>
      </c>
      <c r="AV65" s="12" t="n">
        <f aca="false">IF(G65&gt;0,H65/G65*10000,"")</f>
        <v>3.44334375165545</v>
      </c>
      <c r="AW65" s="12" t="n">
        <f aca="false">IF(G65&gt;0,W65/G65*10000,"")</f>
        <v>6.62181490702972</v>
      </c>
      <c r="AX65" s="12" t="n">
        <f aca="false">IF(I65&gt;0,K65/I65*100,"")</f>
        <v>24.3261455525606</v>
      </c>
      <c r="AY65" s="9" t="str">
        <f aca="false">IF(AQ65&gt;=100,"ok",IF(AQ65&gt;0,"effectif faible (&lt;100)","aucune association"))</f>
        <v>ok</v>
      </c>
    </row>
    <row r="66" customFormat="false" ht="15" hidden="false" customHeight="false" outlineLevel="0" collapsed="false">
      <c r="A66" s="9" t="s">
        <v>251</v>
      </c>
      <c r="B66" s="9" t="s">
        <v>252</v>
      </c>
      <c r="C66" s="9" t="s">
        <v>100</v>
      </c>
      <c r="D66" s="9" t="s">
        <v>107</v>
      </c>
      <c r="E66" s="9" t="s">
        <v>128</v>
      </c>
      <c r="F66" s="9" t="s">
        <v>103</v>
      </c>
      <c r="G66" s="10" t="n">
        <v>347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2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f aca="false">I66+J66</f>
        <v>0</v>
      </c>
      <c r="AR66" s="11" t="str">
        <f aca="false">IF(AQ66&gt;0,I66/AQ66,"")</f>
        <v/>
      </c>
      <c r="AS66" s="11" t="str">
        <f aca="false">IF((P66+Q66)&gt;0,P66/(P66+Q66),"")</f>
        <v/>
      </c>
      <c r="AT66" s="12" t="str">
        <f aca="false">IF(AND(ISNUMBER(AR66),ISNUMBER(AS66)),(AR66-AS66)*100,"")</f>
        <v/>
      </c>
      <c r="AU66" s="12" t="n">
        <f aca="false">IF(G66&gt;0,I66/G66*1000,"")</f>
        <v>0</v>
      </c>
      <c r="AV66" s="12" t="n">
        <f aca="false">IF(G66&gt;0,H66/G66*10000,"")</f>
        <v>0</v>
      </c>
      <c r="AW66" s="12" t="n">
        <f aca="false">IF(G66&gt;0,W66/G66*10000,"")</f>
        <v>57.6368876080692</v>
      </c>
      <c r="AX66" s="12" t="str">
        <f aca="false">IF(I66&gt;0,K66/I66*100,"")</f>
        <v/>
      </c>
      <c r="AY66" s="9" t="str">
        <f aca="false">IF(AQ66&gt;=100,"ok",IF(AQ66&gt;0,"effectif faible (&lt;100)","aucune association"))</f>
        <v>aucune association</v>
      </c>
    </row>
    <row r="67" customFormat="false" ht="15" hidden="false" customHeight="false" outlineLevel="0" collapsed="false">
      <c r="A67" s="9" t="s">
        <v>253</v>
      </c>
      <c r="B67" s="9" t="s">
        <v>254</v>
      </c>
      <c r="C67" s="9" t="s">
        <v>106</v>
      </c>
      <c r="D67" s="9" t="s">
        <v>107</v>
      </c>
      <c r="E67" s="9" t="s">
        <v>102</v>
      </c>
      <c r="F67" s="9" t="s">
        <v>103</v>
      </c>
      <c r="G67" s="10" t="n">
        <v>507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1</v>
      </c>
      <c r="X67" s="10" t="n">
        <v>0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1</v>
      </c>
      <c r="AF67" s="10" t="n">
        <v>1</v>
      </c>
      <c r="AG67" s="10" t="n">
        <v>1</v>
      </c>
      <c r="AH67" s="10" t="n">
        <v>0</v>
      </c>
      <c r="AI67" s="10" t="n">
        <v>0</v>
      </c>
      <c r="AJ67" s="10" t="n">
        <v>2</v>
      </c>
      <c r="AK67" s="10" t="n">
        <v>3</v>
      </c>
      <c r="AL67" s="10" t="n">
        <v>10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f aca="false">I67+J67</f>
        <v>0</v>
      </c>
      <c r="AR67" s="11" t="str">
        <f aca="false">IF(AQ67&gt;0,I67/AQ67,"")</f>
        <v/>
      </c>
      <c r="AS67" s="11" t="str">
        <f aca="false">IF((P67+Q67)&gt;0,P67/(P67+Q67),"")</f>
        <v/>
      </c>
      <c r="AT67" s="12" t="str">
        <f aca="false">IF(AND(ISNUMBER(AR67),ISNUMBER(AS67)),(AR67-AS67)*100,"")</f>
        <v/>
      </c>
      <c r="AU67" s="12" t="n">
        <f aca="false">IF(G67&gt;0,I67/G67*1000,"")</f>
        <v>0</v>
      </c>
      <c r="AV67" s="12" t="n">
        <f aca="false">IF(G67&gt;0,H67/G67*10000,"")</f>
        <v>0</v>
      </c>
      <c r="AW67" s="12" t="n">
        <f aca="false">IF(G67&gt;0,W67/G67*10000,"")</f>
        <v>19.723865877712</v>
      </c>
      <c r="AX67" s="12" t="str">
        <f aca="false">IF(I67&gt;0,K67/I67*100,"")</f>
        <v/>
      </c>
      <c r="AY67" s="9" t="str">
        <f aca="false">IF(AQ67&gt;=100,"ok",IF(AQ67&gt;0,"effectif faible (&lt;100)","aucune association"))</f>
        <v>aucune association</v>
      </c>
    </row>
    <row r="68" customFormat="false" ht="15" hidden="false" customHeight="false" outlineLevel="0" collapsed="false">
      <c r="A68" s="9" t="s">
        <v>255</v>
      </c>
      <c r="B68" s="9" t="s">
        <v>256</v>
      </c>
      <c r="C68" s="9" t="s">
        <v>100</v>
      </c>
      <c r="D68" s="9" t="s">
        <v>107</v>
      </c>
      <c r="E68" s="9" t="s">
        <v>102</v>
      </c>
      <c r="F68" s="9" t="s">
        <v>143</v>
      </c>
      <c r="G68" s="10" t="n">
        <v>526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1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f aca="false">I68+J68</f>
        <v>0</v>
      </c>
      <c r="AR68" s="11" t="str">
        <f aca="false">IF(AQ68&gt;0,I68/AQ68,"")</f>
        <v/>
      </c>
      <c r="AS68" s="11" t="str">
        <f aca="false">IF((P68+Q68)&gt;0,P68/(P68+Q68),"")</f>
        <v/>
      </c>
      <c r="AT68" s="12" t="str">
        <f aca="false">IF(AND(ISNUMBER(AR68),ISNUMBER(AS68)),(AR68-AS68)*100,"")</f>
        <v/>
      </c>
      <c r="AU68" s="12" t="n">
        <f aca="false">IF(G68&gt;0,I68/G68*1000,"")</f>
        <v>0</v>
      </c>
      <c r="AV68" s="12" t="n">
        <f aca="false">IF(G68&gt;0,H68/G68*10000,"")</f>
        <v>0</v>
      </c>
      <c r="AW68" s="12" t="n">
        <f aca="false">IF(G68&gt;0,W68/G68*10000,"")</f>
        <v>19.0114068441065</v>
      </c>
      <c r="AX68" s="12" t="str">
        <f aca="false">IF(I68&gt;0,K68/I68*100,"")</f>
        <v/>
      </c>
      <c r="AY68" s="9" t="str">
        <f aca="false">IF(AQ68&gt;=100,"ok",IF(AQ68&gt;0,"effectif faible (&lt;100)","aucune association"))</f>
        <v>aucune association</v>
      </c>
    </row>
    <row r="69" customFormat="false" ht="15" hidden="false" customHeight="false" outlineLevel="0" collapsed="false">
      <c r="A69" s="9" t="s">
        <v>257</v>
      </c>
      <c r="B69" s="9" t="s">
        <v>258</v>
      </c>
      <c r="C69" s="9" t="s">
        <v>140</v>
      </c>
      <c r="D69" s="9" t="s">
        <v>101</v>
      </c>
      <c r="E69" s="9" t="s">
        <v>152</v>
      </c>
      <c r="F69" s="9" t="s">
        <v>117</v>
      </c>
      <c r="G69" s="10" t="n">
        <v>3317</v>
      </c>
      <c r="H69" s="10" t="n">
        <v>7</v>
      </c>
      <c r="I69" s="10" t="n">
        <v>1019</v>
      </c>
      <c r="J69" s="10" t="n">
        <v>1601</v>
      </c>
      <c r="K69" s="10" t="n">
        <v>188</v>
      </c>
      <c r="L69" s="10" t="n">
        <v>11</v>
      </c>
      <c r="M69" s="10" t="n">
        <v>1</v>
      </c>
      <c r="N69" s="10" t="n">
        <v>3</v>
      </c>
      <c r="O69" s="10" t="n">
        <v>6</v>
      </c>
      <c r="P69" s="10" t="n">
        <v>1007</v>
      </c>
      <c r="Q69" s="10" t="n">
        <v>1644</v>
      </c>
      <c r="R69" s="10" t="n">
        <v>0</v>
      </c>
      <c r="S69" s="10" t="n">
        <v>0</v>
      </c>
      <c r="T69" s="10" t="n">
        <v>0</v>
      </c>
      <c r="U69" s="10" t="n">
        <v>6</v>
      </c>
      <c r="V69" s="10" t="n">
        <v>0</v>
      </c>
      <c r="W69" s="10" t="n">
        <v>4</v>
      </c>
      <c r="X69" s="10" t="n">
        <v>0</v>
      </c>
      <c r="Y69" s="10" t="n">
        <v>0</v>
      </c>
      <c r="Z69" s="10" t="n">
        <v>0</v>
      </c>
      <c r="AA69" s="10" t="n">
        <v>0</v>
      </c>
      <c r="AB69" s="10" t="n">
        <v>0</v>
      </c>
      <c r="AC69" s="10" t="n">
        <v>0</v>
      </c>
      <c r="AD69" s="10" t="n">
        <v>0</v>
      </c>
      <c r="AE69" s="10" t="n">
        <v>7</v>
      </c>
      <c r="AF69" s="10" t="n">
        <v>6</v>
      </c>
      <c r="AG69" s="10" t="n">
        <v>6</v>
      </c>
      <c r="AH69" s="10" t="n">
        <v>6</v>
      </c>
      <c r="AI69" s="10" t="n">
        <v>6</v>
      </c>
      <c r="AJ69" s="10" t="n">
        <v>2471</v>
      </c>
      <c r="AK69" s="10" t="n">
        <v>2362</v>
      </c>
      <c r="AL69" s="10" t="n">
        <v>2743</v>
      </c>
      <c r="AM69" s="10" t="n">
        <v>2225</v>
      </c>
      <c r="AN69" s="10" t="n">
        <v>2306</v>
      </c>
      <c r="AO69" s="10" t="n">
        <v>2651</v>
      </c>
      <c r="AP69" s="10" t="n">
        <v>2620</v>
      </c>
      <c r="AQ69" s="10" t="n">
        <f aca="false">I69+J69</f>
        <v>2620</v>
      </c>
      <c r="AR69" s="11" t="n">
        <f aca="false">IF(AQ69&gt;0,I69/AQ69,"")</f>
        <v>0.388931297709924</v>
      </c>
      <c r="AS69" s="11" t="n">
        <f aca="false">IF((P69+Q69)&gt;0,P69/(P69+Q69),"")</f>
        <v>0.379856657864957</v>
      </c>
      <c r="AT69" s="12" t="n">
        <f aca="false">IF(AND(ISNUMBER(AR69),ISNUMBER(AS69)),(AR69-AS69)*100,"")</f>
        <v>0.907463984496709</v>
      </c>
      <c r="AU69" s="12" t="n">
        <f aca="false">IF(G69&gt;0,I69/G69*1000,"")</f>
        <v>307.205305999397</v>
      </c>
      <c r="AV69" s="12" t="n">
        <f aca="false">IF(G69&gt;0,H69/G69*10000,"")</f>
        <v>21.1034066927947</v>
      </c>
      <c r="AW69" s="12" t="n">
        <f aca="false">IF(G69&gt;0,W69/G69*10000,"")</f>
        <v>12.0590895387398</v>
      </c>
      <c r="AX69" s="12" t="n">
        <f aca="false">IF(I69&gt;0,K69/I69*100,"")</f>
        <v>18.4494602551521</v>
      </c>
      <c r="AY69" s="9" t="str">
        <f aca="false">IF(AQ69&gt;=100,"ok",IF(AQ69&gt;0,"effectif faible (&lt;100)","aucune association"))</f>
        <v>ok</v>
      </c>
    </row>
    <row r="70" customFormat="false" ht="15" hidden="false" customHeight="false" outlineLevel="0" collapsed="false">
      <c r="A70" s="9" t="s">
        <v>259</v>
      </c>
      <c r="B70" s="9" t="s">
        <v>124</v>
      </c>
      <c r="C70" s="9" t="s">
        <v>124</v>
      </c>
      <c r="D70" s="9" t="s">
        <v>101</v>
      </c>
      <c r="E70" s="9" t="s">
        <v>125</v>
      </c>
      <c r="F70" s="9" t="s">
        <v>117</v>
      </c>
      <c r="G70" s="10" t="n">
        <v>41791</v>
      </c>
      <c r="H70" s="10" t="n">
        <v>6</v>
      </c>
      <c r="I70" s="10" t="n">
        <v>1095</v>
      </c>
      <c r="J70" s="10" t="n">
        <v>846</v>
      </c>
      <c r="K70" s="10" t="n">
        <v>72</v>
      </c>
      <c r="L70" s="10" t="n">
        <v>22</v>
      </c>
      <c r="M70" s="10" t="n">
        <v>2</v>
      </c>
      <c r="N70" s="10" t="n">
        <v>1</v>
      </c>
      <c r="O70" s="10" t="n">
        <v>6</v>
      </c>
      <c r="P70" s="10" t="n">
        <v>1117</v>
      </c>
      <c r="Q70" s="10" t="n">
        <v>819</v>
      </c>
      <c r="R70" s="10" t="n">
        <v>2</v>
      </c>
      <c r="S70" s="10" t="n">
        <v>413</v>
      </c>
      <c r="T70" s="10" t="n">
        <v>16</v>
      </c>
      <c r="U70" s="10" t="n">
        <v>5</v>
      </c>
      <c r="V70" s="10" t="n">
        <v>1</v>
      </c>
      <c r="W70" s="10" t="n">
        <v>34</v>
      </c>
      <c r="X70" s="10" t="n">
        <v>11</v>
      </c>
      <c r="Y70" s="10" t="n">
        <v>1</v>
      </c>
      <c r="Z70" s="10" t="n">
        <v>0</v>
      </c>
      <c r="AA70" s="10" t="n">
        <v>0</v>
      </c>
      <c r="AB70" s="10" t="n">
        <v>0</v>
      </c>
      <c r="AC70" s="10" t="n">
        <v>1</v>
      </c>
      <c r="AD70" s="10" t="n">
        <v>0</v>
      </c>
      <c r="AE70" s="10" t="n">
        <v>7</v>
      </c>
      <c r="AF70" s="10" t="n">
        <v>6</v>
      </c>
      <c r="AG70" s="10" t="n">
        <v>5</v>
      </c>
      <c r="AH70" s="10" t="n">
        <v>5</v>
      </c>
      <c r="AI70" s="10" t="n">
        <v>6</v>
      </c>
      <c r="AJ70" s="10" t="n">
        <v>2366</v>
      </c>
      <c r="AK70" s="10" t="n">
        <v>2248</v>
      </c>
      <c r="AL70" s="10" t="n">
        <v>2184</v>
      </c>
      <c r="AM70" s="10" t="n">
        <v>687</v>
      </c>
      <c r="AN70" s="10" t="n">
        <v>562</v>
      </c>
      <c r="AO70" s="10" t="n">
        <v>1936</v>
      </c>
      <c r="AP70" s="10" t="n">
        <v>1941</v>
      </c>
      <c r="AQ70" s="10" t="n">
        <f aca="false">I70+J70</f>
        <v>1941</v>
      </c>
      <c r="AR70" s="11" t="n">
        <f aca="false">IF(AQ70&gt;0,I70/AQ70,"")</f>
        <v>0.564142194744977</v>
      </c>
      <c r="AS70" s="11" t="n">
        <f aca="false">IF((P70+Q70)&gt;0,P70/(P70+Q70),"")</f>
        <v>0.576962809917355</v>
      </c>
      <c r="AT70" s="12" t="n">
        <f aca="false">IF(AND(ISNUMBER(AR70),ISNUMBER(AS70)),(AR70-AS70)*100,"")</f>
        <v>-1.28206151723785</v>
      </c>
      <c r="AU70" s="12" t="n">
        <f aca="false">IF(G70&gt;0,I70/G70*1000,"")</f>
        <v>26.2018137876576</v>
      </c>
      <c r="AV70" s="12" t="n">
        <f aca="false">IF(G70&gt;0,H70/G70*10000,"")</f>
        <v>1.43571582398124</v>
      </c>
      <c r="AW70" s="12" t="n">
        <f aca="false">IF(G70&gt;0,W70/G70*10000,"")</f>
        <v>8.13572300256036</v>
      </c>
      <c r="AX70" s="12" t="n">
        <f aca="false">IF(I70&gt;0,K70/I70*100,"")</f>
        <v>6.57534246575342</v>
      </c>
      <c r="AY70" s="9" t="str">
        <f aca="false">IF(AQ70&gt;=100,"ok",IF(AQ70&gt;0,"effectif faible (&lt;100)","aucune association"))</f>
        <v>ok</v>
      </c>
    </row>
    <row r="71" customFormat="false" ht="15" hidden="false" customHeight="false" outlineLevel="0" collapsed="false">
      <c r="A71" s="9" t="s">
        <v>260</v>
      </c>
      <c r="B71" s="9" t="s">
        <v>261</v>
      </c>
      <c r="C71" s="9" t="s">
        <v>106</v>
      </c>
      <c r="D71" s="9" t="s">
        <v>101</v>
      </c>
      <c r="E71" s="9" t="s">
        <v>108</v>
      </c>
      <c r="F71" s="9" t="s">
        <v>103</v>
      </c>
      <c r="G71" s="10" t="n">
        <v>522</v>
      </c>
      <c r="H71" s="10" t="n">
        <v>1</v>
      </c>
      <c r="I71" s="10" t="n">
        <v>14</v>
      </c>
      <c r="J71" s="10" t="n">
        <v>1</v>
      </c>
      <c r="K71" s="10" t="n">
        <v>3</v>
      </c>
      <c r="L71" s="10" t="n">
        <v>0</v>
      </c>
      <c r="M71" s="10" t="n">
        <v>0</v>
      </c>
      <c r="N71" s="10" t="n">
        <v>1</v>
      </c>
      <c r="O71" s="10" t="n">
        <v>1</v>
      </c>
      <c r="P71" s="10" t="n">
        <v>13</v>
      </c>
      <c r="Q71" s="10" t="n">
        <v>2</v>
      </c>
      <c r="R71" s="10" t="n">
        <v>0</v>
      </c>
      <c r="S71" s="10" t="n">
        <v>0</v>
      </c>
      <c r="T71" s="10" t="n">
        <v>0</v>
      </c>
      <c r="U71" s="10" t="n">
        <v>1</v>
      </c>
      <c r="V71" s="10" t="n">
        <v>0</v>
      </c>
      <c r="W71" s="10" t="n">
        <v>3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1</v>
      </c>
      <c r="AF71" s="10" t="n">
        <v>1</v>
      </c>
      <c r="AG71" s="10" t="n">
        <v>1</v>
      </c>
      <c r="AH71" s="10" t="n">
        <v>1</v>
      </c>
      <c r="AI71" s="10" t="n">
        <v>1</v>
      </c>
      <c r="AJ71" s="10" t="n">
        <v>26</v>
      </c>
      <c r="AK71" s="10" t="n">
        <v>24</v>
      </c>
      <c r="AL71" s="10" t="n">
        <v>26</v>
      </c>
      <c r="AM71" s="10" t="n">
        <v>27</v>
      </c>
      <c r="AN71" s="10" t="n">
        <v>19</v>
      </c>
      <c r="AO71" s="10" t="n">
        <v>15</v>
      </c>
      <c r="AP71" s="10" t="n">
        <v>15</v>
      </c>
      <c r="AQ71" s="10" t="n">
        <f aca="false">I71+J71</f>
        <v>15</v>
      </c>
      <c r="AR71" s="11" t="n">
        <f aca="false">IF(AQ71&gt;0,I71/AQ71,"")</f>
        <v>0.933333333333333</v>
      </c>
      <c r="AS71" s="11" t="n">
        <f aca="false">IF((P71+Q71)&gt;0,P71/(P71+Q71),"")</f>
        <v>0.866666666666667</v>
      </c>
      <c r="AT71" s="12" t="n">
        <f aca="false">IF(AND(ISNUMBER(AR71),ISNUMBER(AS71)),(AR71-AS71)*100,"")</f>
        <v>6.66666666666667</v>
      </c>
      <c r="AU71" s="12" t="n">
        <f aca="false">IF(G71&gt;0,I71/G71*1000,"")</f>
        <v>26.8199233716475</v>
      </c>
      <c r="AV71" s="12" t="n">
        <f aca="false">IF(G71&gt;0,H71/G71*10000,"")</f>
        <v>19.1570881226054</v>
      </c>
      <c r="AW71" s="12" t="n">
        <f aca="false">IF(G71&gt;0,W71/G71*10000,"")</f>
        <v>57.4712643678161</v>
      </c>
      <c r="AX71" s="12" t="n">
        <f aca="false">IF(I71&gt;0,K71/I71*100,"")</f>
        <v>21.4285714285714</v>
      </c>
      <c r="AY71" s="9" t="str">
        <f aca="false">IF(AQ71&gt;=100,"ok",IF(AQ71&gt;0,"effectif faible (&lt;100)","aucune association"))</f>
        <v>effectif faible (&lt;100)</v>
      </c>
    </row>
    <row r="72" customFormat="false" ht="15" hidden="false" customHeight="false" outlineLevel="0" collapsed="false">
      <c r="A72" s="9" t="s">
        <v>262</v>
      </c>
      <c r="B72" s="9" t="s">
        <v>263</v>
      </c>
      <c r="C72" s="9" t="s">
        <v>182</v>
      </c>
      <c r="D72" s="9" t="s">
        <v>101</v>
      </c>
      <c r="E72" s="9" t="s">
        <v>125</v>
      </c>
      <c r="F72" s="9" t="s">
        <v>117</v>
      </c>
      <c r="G72" s="10" t="n">
        <v>27707</v>
      </c>
      <c r="H72" s="10" t="n">
        <v>8</v>
      </c>
      <c r="I72" s="10" t="n">
        <v>629</v>
      </c>
      <c r="J72" s="10" t="n">
        <v>732</v>
      </c>
      <c r="K72" s="10" t="n">
        <v>85</v>
      </c>
      <c r="L72" s="10" t="n">
        <v>13</v>
      </c>
      <c r="M72" s="10" t="n">
        <v>0</v>
      </c>
      <c r="N72" s="10" t="n">
        <v>2</v>
      </c>
      <c r="O72" s="10" t="n">
        <v>7</v>
      </c>
      <c r="P72" s="10" t="n">
        <v>497</v>
      </c>
      <c r="Q72" s="10" t="n">
        <v>617</v>
      </c>
      <c r="R72" s="10" t="n">
        <v>2</v>
      </c>
      <c r="S72" s="10" t="n">
        <v>303</v>
      </c>
      <c r="T72" s="10" t="n">
        <v>12</v>
      </c>
      <c r="U72" s="10" t="n">
        <v>9</v>
      </c>
      <c r="V72" s="10" t="n">
        <v>2</v>
      </c>
      <c r="W72" s="10" t="n">
        <v>33</v>
      </c>
      <c r="X72" s="10" t="n">
        <v>15</v>
      </c>
      <c r="Y72" s="10" t="n">
        <v>1</v>
      </c>
      <c r="Z72" s="10" t="n">
        <v>2</v>
      </c>
      <c r="AA72" s="10" t="n">
        <v>1</v>
      </c>
      <c r="AB72" s="10" t="n">
        <v>2</v>
      </c>
      <c r="AC72" s="10" t="n">
        <v>2</v>
      </c>
      <c r="AD72" s="10" t="n">
        <v>0</v>
      </c>
      <c r="AE72" s="10" t="n">
        <v>8</v>
      </c>
      <c r="AF72" s="10" t="n">
        <v>8</v>
      </c>
      <c r="AG72" s="10" t="n">
        <v>8</v>
      </c>
      <c r="AH72" s="10" t="n">
        <v>11</v>
      </c>
      <c r="AI72" s="10" t="n">
        <v>10</v>
      </c>
      <c r="AJ72" s="10" t="n">
        <v>1346</v>
      </c>
      <c r="AK72" s="10" t="n">
        <v>1510</v>
      </c>
      <c r="AL72" s="10" t="n">
        <v>1370</v>
      </c>
      <c r="AM72" s="10" t="n">
        <v>1708</v>
      </c>
      <c r="AN72" s="10" t="n">
        <v>1963</v>
      </c>
      <c r="AO72" s="10" t="n">
        <v>1114</v>
      </c>
      <c r="AP72" s="10" t="n">
        <v>1361</v>
      </c>
      <c r="AQ72" s="10" t="n">
        <f aca="false">I72+J72</f>
        <v>1361</v>
      </c>
      <c r="AR72" s="11" t="n">
        <f aca="false">IF(AQ72&gt;0,I72/AQ72,"")</f>
        <v>0.462160176340926</v>
      </c>
      <c r="AS72" s="11" t="n">
        <f aca="false">IF((P72+Q72)&gt;0,P72/(P72+Q72),"")</f>
        <v>0.446140035906643</v>
      </c>
      <c r="AT72" s="12" t="n">
        <f aca="false">IF(AND(ISNUMBER(AR72),ISNUMBER(AS72)),(AR72-AS72)*100,"")</f>
        <v>1.6020140434283</v>
      </c>
      <c r="AU72" s="12" t="n">
        <f aca="false">IF(G72&gt;0,I72/G72*1000,"")</f>
        <v>22.7018442992746</v>
      </c>
      <c r="AV72" s="12" t="n">
        <f aca="false">IF(G72&gt;0,H72/G72*10000,"")</f>
        <v>2.88735698559931</v>
      </c>
      <c r="AW72" s="12" t="n">
        <f aca="false">IF(G72&gt;0,W72/G72*10000,"")</f>
        <v>11.9103475655971</v>
      </c>
      <c r="AX72" s="12" t="n">
        <f aca="false">IF(I72&gt;0,K72/I72*100,"")</f>
        <v>13.5135135135135</v>
      </c>
      <c r="AY72" s="9" t="str">
        <f aca="false">IF(AQ72&gt;=100,"ok",IF(AQ72&gt;0,"effectif faible (&lt;100)","aucune association"))</f>
        <v>ok</v>
      </c>
    </row>
    <row r="73" customFormat="false" ht="15" hidden="false" customHeight="false" outlineLevel="0" collapsed="false">
      <c r="A73" s="9" t="s">
        <v>264</v>
      </c>
      <c r="B73" s="9" t="s">
        <v>216</v>
      </c>
      <c r="C73" s="9" t="s">
        <v>216</v>
      </c>
      <c r="D73" s="9" t="s">
        <v>101</v>
      </c>
      <c r="E73" s="9" t="s">
        <v>125</v>
      </c>
      <c r="F73" s="9" t="s">
        <v>157</v>
      </c>
      <c r="G73" s="10" t="n">
        <v>31301</v>
      </c>
      <c r="H73" s="10" t="n">
        <v>7</v>
      </c>
      <c r="I73" s="10" t="n">
        <v>786</v>
      </c>
      <c r="J73" s="10" t="n">
        <v>428</v>
      </c>
      <c r="K73" s="10" t="n">
        <v>89</v>
      </c>
      <c r="L73" s="10" t="n">
        <v>8</v>
      </c>
      <c r="M73" s="10" t="n">
        <v>0</v>
      </c>
      <c r="N73" s="10" t="n">
        <v>4</v>
      </c>
      <c r="O73" s="10" t="n">
        <v>9</v>
      </c>
      <c r="P73" s="10" t="n">
        <v>946</v>
      </c>
      <c r="Q73" s="10" t="n">
        <v>833</v>
      </c>
      <c r="R73" s="10" t="n">
        <v>2</v>
      </c>
      <c r="S73" s="10" t="n">
        <v>226</v>
      </c>
      <c r="T73" s="10" t="n">
        <v>7</v>
      </c>
      <c r="U73" s="10" t="n">
        <v>6</v>
      </c>
      <c r="V73" s="10" t="n">
        <v>2</v>
      </c>
      <c r="W73" s="10" t="n">
        <v>35</v>
      </c>
      <c r="X73" s="10" t="n">
        <v>16</v>
      </c>
      <c r="Y73" s="10" t="n">
        <v>1</v>
      </c>
      <c r="Z73" s="10" t="n">
        <v>0</v>
      </c>
      <c r="AA73" s="10" t="n">
        <v>0</v>
      </c>
      <c r="AB73" s="10" t="n">
        <v>0</v>
      </c>
      <c r="AC73" s="10" t="n">
        <v>3</v>
      </c>
      <c r="AD73" s="10" t="n">
        <v>0</v>
      </c>
      <c r="AE73" s="10" t="n">
        <v>7</v>
      </c>
      <c r="AF73" s="10" t="n">
        <v>10</v>
      </c>
      <c r="AG73" s="10" t="n">
        <v>10</v>
      </c>
      <c r="AH73" s="10" t="n">
        <v>9</v>
      </c>
      <c r="AI73" s="10" t="n">
        <v>7</v>
      </c>
      <c r="AJ73" s="10" t="n">
        <v>1280</v>
      </c>
      <c r="AK73" s="10" t="n">
        <v>1476</v>
      </c>
      <c r="AL73" s="10" t="n">
        <v>1209</v>
      </c>
      <c r="AM73" s="10" t="n">
        <v>1390</v>
      </c>
      <c r="AN73" s="10" t="n">
        <v>1716</v>
      </c>
      <c r="AO73" s="10" t="n">
        <v>1779</v>
      </c>
      <c r="AP73" s="10" t="n">
        <v>1214</v>
      </c>
      <c r="AQ73" s="10" t="n">
        <f aca="false">I73+J73</f>
        <v>1214</v>
      </c>
      <c r="AR73" s="11" t="n">
        <f aca="false">IF(AQ73&gt;0,I73/AQ73,"")</f>
        <v>0.647446457990115</v>
      </c>
      <c r="AS73" s="11" t="n">
        <f aca="false">IF((P73+Q73)&gt;0,P73/(P73+Q73),"")</f>
        <v>0.531759415401911</v>
      </c>
      <c r="AT73" s="12" t="n">
        <f aca="false">IF(AND(ISNUMBER(AR73),ISNUMBER(AS73)),(AR73-AS73)*100,"")</f>
        <v>11.5687042588204</v>
      </c>
      <c r="AU73" s="12" t="n">
        <f aca="false">IF(G73&gt;0,I73/G73*1000,"")</f>
        <v>25.1110188172902</v>
      </c>
      <c r="AV73" s="12" t="n">
        <f aca="false">IF(G73&gt;0,H73/G73*10000,"")</f>
        <v>2.236350276349</v>
      </c>
      <c r="AW73" s="12" t="n">
        <f aca="false">IF(G73&gt;0,W73/G73*10000,"")</f>
        <v>11.181751381745</v>
      </c>
      <c r="AX73" s="12" t="n">
        <f aca="false">IF(I73&gt;0,K73/I73*100,"")</f>
        <v>11.323155216285</v>
      </c>
      <c r="AY73" s="9" t="str">
        <f aca="false">IF(AQ73&gt;=100,"ok",IF(AQ73&gt;0,"effectif faible (&lt;100)","aucune association"))</f>
        <v>ok</v>
      </c>
    </row>
    <row r="74" customFormat="false" ht="15" hidden="false" customHeight="false" outlineLevel="0" collapsed="false">
      <c r="A74" s="9" t="s">
        <v>265</v>
      </c>
      <c r="B74" s="9" t="s">
        <v>266</v>
      </c>
      <c r="C74" s="9" t="s">
        <v>100</v>
      </c>
      <c r="D74" s="9" t="s">
        <v>107</v>
      </c>
      <c r="E74" s="9" t="s">
        <v>102</v>
      </c>
      <c r="F74" s="9" t="s">
        <v>143</v>
      </c>
      <c r="G74" s="10" t="n">
        <v>709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2</v>
      </c>
      <c r="X74" s="10" t="n">
        <v>1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f aca="false">I74+J74</f>
        <v>0</v>
      </c>
      <c r="AR74" s="11" t="str">
        <f aca="false">IF(AQ74&gt;0,I74/AQ74,"")</f>
        <v/>
      </c>
      <c r="AS74" s="11" t="str">
        <f aca="false">IF((P74+Q74)&gt;0,P74/(P74+Q74),"")</f>
        <v/>
      </c>
      <c r="AT74" s="12" t="str">
        <f aca="false">IF(AND(ISNUMBER(AR74),ISNUMBER(AS74)),(AR74-AS74)*100,"")</f>
        <v/>
      </c>
      <c r="AU74" s="12" t="n">
        <f aca="false">IF(G74&gt;0,I74/G74*1000,"")</f>
        <v>0</v>
      </c>
      <c r="AV74" s="12" t="n">
        <f aca="false">IF(G74&gt;0,H74/G74*10000,"")</f>
        <v>0</v>
      </c>
      <c r="AW74" s="12" t="n">
        <f aca="false">IF(G74&gt;0,W74/G74*10000,"")</f>
        <v>28.2087447108604</v>
      </c>
      <c r="AX74" s="12" t="str">
        <f aca="false">IF(I74&gt;0,K74/I74*100,"")</f>
        <v/>
      </c>
      <c r="AY74" s="9" t="str">
        <f aca="false">IF(AQ74&gt;=100,"ok",IF(AQ74&gt;0,"effectif faible (&lt;100)","aucune association"))</f>
        <v>aucune association</v>
      </c>
    </row>
    <row r="75" customFormat="false" ht="15" hidden="false" customHeight="false" outlineLevel="0" collapsed="false">
      <c r="A75" s="9" t="s">
        <v>267</v>
      </c>
      <c r="B75" s="9" t="s">
        <v>268</v>
      </c>
      <c r="C75" s="9" t="s">
        <v>237</v>
      </c>
      <c r="D75" s="9" t="s">
        <v>101</v>
      </c>
      <c r="E75" s="9" t="s">
        <v>116</v>
      </c>
      <c r="F75" s="9" t="s">
        <v>117</v>
      </c>
      <c r="G75" s="10" t="n">
        <v>8453</v>
      </c>
      <c r="H75" s="10" t="n">
        <v>3</v>
      </c>
      <c r="I75" s="10" t="n">
        <v>100</v>
      </c>
      <c r="J75" s="10" t="n">
        <v>692</v>
      </c>
      <c r="K75" s="10" t="n">
        <v>79</v>
      </c>
      <c r="L75" s="10" t="n">
        <v>1</v>
      </c>
      <c r="M75" s="10" t="n">
        <v>3</v>
      </c>
      <c r="N75" s="10" t="n">
        <v>0</v>
      </c>
      <c r="O75" s="10" t="n">
        <v>4</v>
      </c>
      <c r="P75" s="10" t="n">
        <v>73</v>
      </c>
      <c r="Q75" s="10" t="n">
        <v>652</v>
      </c>
      <c r="R75" s="10" t="n">
        <v>0</v>
      </c>
      <c r="S75" s="10" t="n">
        <v>0</v>
      </c>
      <c r="T75" s="10" t="n">
        <v>0</v>
      </c>
      <c r="U75" s="10" t="n">
        <v>3</v>
      </c>
      <c r="V75" s="10" t="n">
        <v>0</v>
      </c>
      <c r="W75" s="10" t="n">
        <v>10</v>
      </c>
      <c r="X75" s="10" t="n">
        <v>2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5</v>
      </c>
      <c r="AF75" s="10" t="n">
        <v>4</v>
      </c>
      <c r="AG75" s="10" t="n">
        <v>4</v>
      </c>
      <c r="AH75" s="10" t="n">
        <v>4</v>
      </c>
      <c r="AI75" s="10" t="n">
        <v>3</v>
      </c>
      <c r="AJ75" s="10" t="n">
        <v>784</v>
      </c>
      <c r="AK75" s="10" t="n">
        <v>601</v>
      </c>
      <c r="AL75" s="10" t="n">
        <v>633</v>
      </c>
      <c r="AM75" s="10" t="n">
        <v>579</v>
      </c>
      <c r="AN75" s="10" t="n">
        <v>633</v>
      </c>
      <c r="AO75" s="10" t="n">
        <v>725</v>
      </c>
      <c r="AP75" s="10" t="n">
        <v>792</v>
      </c>
      <c r="AQ75" s="10" t="n">
        <f aca="false">I75+J75</f>
        <v>792</v>
      </c>
      <c r="AR75" s="11" t="n">
        <f aca="false">IF(AQ75&gt;0,I75/AQ75,"")</f>
        <v>0.126262626262626</v>
      </c>
      <c r="AS75" s="11" t="n">
        <f aca="false">IF((P75+Q75)&gt;0,P75/(P75+Q75),"")</f>
        <v>0.100689655172414</v>
      </c>
      <c r="AT75" s="12" t="n">
        <f aca="false">IF(AND(ISNUMBER(AR75),ISNUMBER(AS75)),(AR75-AS75)*100,"")</f>
        <v>2.55729710902125</v>
      </c>
      <c r="AU75" s="12" t="n">
        <f aca="false">IF(G75&gt;0,I75/G75*1000,"")</f>
        <v>11.8301194842068</v>
      </c>
      <c r="AV75" s="12" t="n">
        <f aca="false">IF(G75&gt;0,H75/G75*10000,"")</f>
        <v>3.54903584526204</v>
      </c>
      <c r="AW75" s="12" t="n">
        <f aca="false">IF(G75&gt;0,W75/G75*10000,"")</f>
        <v>11.8301194842068</v>
      </c>
      <c r="AX75" s="12" t="n">
        <f aca="false">IF(I75&gt;0,K75/I75*100,"")</f>
        <v>79</v>
      </c>
      <c r="AY75" s="9" t="str">
        <f aca="false">IF(AQ75&gt;=100,"ok",IF(AQ75&gt;0,"effectif faible (&lt;100)","aucune association"))</f>
        <v>ok</v>
      </c>
    </row>
    <row r="76" customFormat="false" ht="15" hidden="false" customHeight="false" outlineLevel="0" collapsed="false">
      <c r="A76" s="9" t="s">
        <v>269</v>
      </c>
      <c r="B76" s="9" t="s">
        <v>270</v>
      </c>
      <c r="C76" s="9" t="s">
        <v>106</v>
      </c>
      <c r="D76" s="9" t="s">
        <v>101</v>
      </c>
      <c r="E76" s="9" t="s">
        <v>102</v>
      </c>
      <c r="F76" s="9" t="s">
        <v>103</v>
      </c>
      <c r="G76" s="10" t="n">
        <v>161</v>
      </c>
      <c r="H76" s="10" t="n">
        <v>1</v>
      </c>
      <c r="I76" s="10" t="n">
        <v>24</v>
      </c>
      <c r="J76" s="10" t="n">
        <v>38</v>
      </c>
      <c r="K76" s="10" t="n">
        <v>62</v>
      </c>
      <c r="L76" s="10" t="n">
        <v>0</v>
      </c>
      <c r="M76" s="10" t="n">
        <v>0</v>
      </c>
      <c r="N76" s="10" t="n">
        <v>0</v>
      </c>
      <c r="O76" s="10" t="n">
        <v>1</v>
      </c>
      <c r="P76" s="10" t="n">
        <v>12</v>
      </c>
      <c r="Q76" s="10" t="n">
        <v>44</v>
      </c>
      <c r="R76" s="10" t="n">
        <v>0</v>
      </c>
      <c r="S76" s="10" t="n">
        <v>0</v>
      </c>
      <c r="T76" s="10" t="n">
        <v>0</v>
      </c>
      <c r="U76" s="10" t="n">
        <v>1</v>
      </c>
      <c r="V76" s="10" t="n">
        <v>0</v>
      </c>
      <c r="W76" s="10" t="n">
        <v>1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1</v>
      </c>
      <c r="AF76" s="10" t="n">
        <v>1</v>
      </c>
      <c r="AG76" s="10" t="n">
        <v>1</v>
      </c>
      <c r="AH76" s="10" t="n">
        <v>1</v>
      </c>
      <c r="AI76" s="10" t="n">
        <v>1</v>
      </c>
      <c r="AJ76" s="10" t="n">
        <v>82</v>
      </c>
      <c r="AK76" s="10" t="n">
        <v>78</v>
      </c>
      <c r="AL76" s="10" t="n">
        <v>81</v>
      </c>
      <c r="AM76" s="10" t="n">
        <v>67</v>
      </c>
      <c r="AN76" s="10" t="n">
        <v>72</v>
      </c>
      <c r="AO76" s="10" t="n">
        <v>56</v>
      </c>
      <c r="AP76" s="10" t="n">
        <v>62</v>
      </c>
      <c r="AQ76" s="10" t="n">
        <f aca="false">I76+J76</f>
        <v>62</v>
      </c>
      <c r="AR76" s="11" t="n">
        <f aca="false">IF(AQ76&gt;0,I76/AQ76,"")</f>
        <v>0.387096774193548</v>
      </c>
      <c r="AS76" s="11" t="n">
        <f aca="false">IF((P76+Q76)&gt;0,P76/(P76+Q76),"")</f>
        <v>0.214285714285714</v>
      </c>
      <c r="AT76" s="12" t="n">
        <f aca="false">IF(AND(ISNUMBER(AR76),ISNUMBER(AS76)),(AR76-AS76)*100,"")</f>
        <v>17.2811059907834</v>
      </c>
      <c r="AU76" s="12" t="n">
        <f aca="false">IF(G76&gt;0,I76/G76*1000,"")</f>
        <v>149.068322981366</v>
      </c>
      <c r="AV76" s="12" t="n">
        <f aca="false">IF(G76&gt;0,H76/G76*10000,"")</f>
        <v>62.111801242236</v>
      </c>
      <c r="AW76" s="12" t="n">
        <f aca="false">IF(G76&gt;0,W76/G76*10000,"")</f>
        <v>62.111801242236</v>
      </c>
      <c r="AX76" s="12" t="n">
        <f aca="false">IF(I76&gt;0,K76/I76*100,"")</f>
        <v>258.333333333333</v>
      </c>
      <c r="AY76" s="9" t="str">
        <f aca="false">IF(AQ76&gt;=100,"ok",IF(AQ76&gt;0,"effectif faible (&lt;100)","aucune association"))</f>
        <v>effectif faible (&lt;100)</v>
      </c>
    </row>
    <row r="77" customFormat="false" ht="15" hidden="false" customHeight="false" outlineLevel="0" collapsed="false">
      <c r="A77" s="9" t="s">
        <v>271</v>
      </c>
      <c r="B77" s="9" t="s">
        <v>272</v>
      </c>
      <c r="C77" s="9" t="s">
        <v>100</v>
      </c>
      <c r="D77" s="9" t="s">
        <v>107</v>
      </c>
      <c r="E77" s="9" t="s">
        <v>128</v>
      </c>
      <c r="F77" s="9" t="s">
        <v>103</v>
      </c>
      <c r="G77" s="10" t="n">
        <v>514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1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f aca="false">I77+J77</f>
        <v>0</v>
      </c>
      <c r="AR77" s="11" t="str">
        <f aca="false">IF(AQ77&gt;0,I77/AQ77,"")</f>
        <v/>
      </c>
      <c r="AS77" s="11" t="str">
        <f aca="false">IF((P77+Q77)&gt;0,P77/(P77+Q77),"")</f>
        <v/>
      </c>
      <c r="AT77" s="12" t="str">
        <f aca="false">IF(AND(ISNUMBER(AR77),ISNUMBER(AS77)),(AR77-AS77)*100,"")</f>
        <v/>
      </c>
      <c r="AU77" s="12" t="n">
        <f aca="false">IF(G77&gt;0,I77/G77*1000,"")</f>
        <v>0</v>
      </c>
      <c r="AV77" s="12" t="n">
        <f aca="false">IF(G77&gt;0,H77/G77*10000,"")</f>
        <v>0</v>
      </c>
      <c r="AW77" s="12" t="n">
        <f aca="false">IF(G77&gt;0,W77/G77*10000,"")</f>
        <v>19.4552529182879</v>
      </c>
      <c r="AX77" s="12" t="str">
        <f aca="false">IF(I77&gt;0,K77/I77*100,"")</f>
        <v/>
      </c>
      <c r="AY77" s="9" t="str">
        <f aca="false">IF(AQ77&gt;=100,"ok",IF(AQ77&gt;0,"effectif faible (&lt;100)","aucune association"))</f>
        <v>aucune association</v>
      </c>
    </row>
    <row r="78" customFormat="false" ht="15" hidden="false" customHeight="false" outlineLevel="0" collapsed="false">
      <c r="A78" s="9" t="s">
        <v>273</v>
      </c>
      <c r="B78" s="9" t="s">
        <v>274</v>
      </c>
      <c r="C78" s="9" t="s">
        <v>100</v>
      </c>
      <c r="D78" s="9" t="s">
        <v>101</v>
      </c>
      <c r="E78" s="9" t="s">
        <v>102</v>
      </c>
      <c r="F78" s="9" t="s">
        <v>103</v>
      </c>
      <c r="G78" s="10" t="n">
        <v>589</v>
      </c>
      <c r="H78" s="10" t="n">
        <v>1</v>
      </c>
      <c r="I78" s="10" t="n">
        <v>158</v>
      </c>
      <c r="J78" s="10" t="n">
        <v>61</v>
      </c>
      <c r="K78" s="10" t="n">
        <v>6</v>
      </c>
      <c r="L78" s="10" t="n">
        <v>2</v>
      </c>
      <c r="M78" s="10" t="n">
        <v>0</v>
      </c>
      <c r="N78" s="10" t="n">
        <v>1</v>
      </c>
      <c r="O78" s="10" t="n">
        <v>1</v>
      </c>
      <c r="P78" s="10" t="n">
        <v>174</v>
      </c>
      <c r="Q78" s="10" t="n">
        <v>72</v>
      </c>
      <c r="R78" s="10" t="n">
        <v>0</v>
      </c>
      <c r="S78" s="10" t="n">
        <v>0</v>
      </c>
      <c r="T78" s="10" t="n">
        <v>0</v>
      </c>
      <c r="U78" s="10" t="n">
        <v>1</v>
      </c>
      <c r="V78" s="10" t="n">
        <v>0</v>
      </c>
      <c r="W78" s="10" t="n">
        <v>2</v>
      </c>
      <c r="X78" s="10" t="n">
        <v>1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1</v>
      </c>
      <c r="AF78" s="10" t="n">
        <v>1</v>
      </c>
      <c r="AG78" s="10" t="n">
        <v>1</v>
      </c>
      <c r="AH78" s="10" t="n">
        <v>1</v>
      </c>
      <c r="AI78" s="10" t="n">
        <v>1</v>
      </c>
      <c r="AJ78" s="10" t="n">
        <v>100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246</v>
      </c>
      <c r="AP78" s="10" t="n">
        <v>219</v>
      </c>
      <c r="AQ78" s="10" t="n">
        <f aca="false">I78+J78</f>
        <v>219</v>
      </c>
      <c r="AR78" s="11" t="n">
        <f aca="false">IF(AQ78&gt;0,I78/AQ78,"")</f>
        <v>0.721461187214612</v>
      </c>
      <c r="AS78" s="11" t="n">
        <f aca="false">IF((P78+Q78)&gt;0,P78/(P78+Q78),"")</f>
        <v>0.707317073170732</v>
      </c>
      <c r="AT78" s="12" t="n">
        <f aca="false">IF(AND(ISNUMBER(AR78),ISNUMBER(AS78)),(AR78-AS78)*100,"")</f>
        <v>1.41441140438802</v>
      </c>
      <c r="AU78" s="12" t="n">
        <f aca="false">IF(G78&gt;0,I78/G78*1000,"")</f>
        <v>268.251273344652</v>
      </c>
      <c r="AV78" s="12" t="n">
        <f aca="false">IF(G78&gt;0,H78/G78*10000,"")</f>
        <v>16.9779286926995</v>
      </c>
      <c r="AW78" s="12" t="n">
        <f aca="false">IF(G78&gt;0,W78/G78*10000,"")</f>
        <v>33.955857385399</v>
      </c>
      <c r="AX78" s="12" t="n">
        <f aca="false">IF(I78&gt;0,K78/I78*100,"")</f>
        <v>3.79746835443038</v>
      </c>
      <c r="AY78" s="9" t="str">
        <f aca="false">IF(AQ78&gt;=100,"ok",IF(AQ78&gt;0,"effectif faible (&lt;100)","aucune association"))</f>
        <v>ok</v>
      </c>
    </row>
    <row r="79" customFormat="false" ht="15" hidden="false" customHeight="false" outlineLevel="0" collapsed="false">
      <c r="A79" s="9" t="s">
        <v>275</v>
      </c>
      <c r="B79" s="9" t="s">
        <v>276</v>
      </c>
      <c r="C79" s="9" t="s">
        <v>106</v>
      </c>
      <c r="D79" s="9" t="s">
        <v>107</v>
      </c>
      <c r="E79" s="9" t="s">
        <v>108</v>
      </c>
      <c r="F79" s="9"/>
      <c r="G79" s="10" t="n">
        <v>293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0</v>
      </c>
      <c r="AQ79" s="10" t="n">
        <f aca="false">I79+J79</f>
        <v>0</v>
      </c>
      <c r="AR79" s="11" t="str">
        <f aca="false">IF(AQ79&gt;0,I79/AQ79,"")</f>
        <v/>
      </c>
      <c r="AS79" s="11" t="str">
        <f aca="false">IF((P79+Q79)&gt;0,P79/(P79+Q79),"")</f>
        <v/>
      </c>
      <c r="AT79" s="12" t="str">
        <f aca="false">IF(AND(ISNUMBER(AR79),ISNUMBER(AS79)),(AR79-AS79)*100,"")</f>
        <v/>
      </c>
      <c r="AU79" s="12" t="n">
        <f aca="false">IF(G79&gt;0,I79/G79*1000,"")</f>
        <v>0</v>
      </c>
      <c r="AV79" s="12" t="n">
        <f aca="false">IF(G79&gt;0,H79/G79*10000,"")</f>
        <v>0</v>
      </c>
      <c r="AW79" s="12" t="n">
        <f aca="false">IF(G79&gt;0,W79/G79*10000,"")</f>
        <v>0</v>
      </c>
      <c r="AX79" s="12" t="str">
        <f aca="false">IF(I79&gt;0,K79/I79*100,"")</f>
        <v/>
      </c>
      <c r="AY79" s="9" t="str">
        <f aca="false">IF(AQ79&gt;=100,"ok",IF(AQ79&gt;0,"effectif faible (&lt;100)","aucune association"))</f>
        <v>aucune association</v>
      </c>
    </row>
    <row r="80" customFormat="false" ht="15" hidden="false" customHeight="false" outlineLevel="0" collapsed="false">
      <c r="A80" s="9" t="s">
        <v>277</v>
      </c>
      <c r="B80" s="9" t="s">
        <v>278</v>
      </c>
      <c r="C80" s="9" t="s">
        <v>278</v>
      </c>
      <c r="D80" s="9" t="s">
        <v>101</v>
      </c>
      <c r="E80" s="9" t="s">
        <v>152</v>
      </c>
      <c r="F80" s="9" t="s">
        <v>117</v>
      </c>
      <c r="G80" s="10" t="n">
        <v>31779</v>
      </c>
      <c r="H80" s="10" t="n">
        <v>15</v>
      </c>
      <c r="I80" s="10" t="n">
        <v>1891</v>
      </c>
      <c r="J80" s="10" t="n">
        <v>2322</v>
      </c>
      <c r="K80" s="10" t="n">
        <v>287</v>
      </c>
      <c r="L80" s="10" t="n">
        <v>48</v>
      </c>
      <c r="M80" s="10" t="n">
        <v>2</v>
      </c>
      <c r="N80" s="10" t="n">
        <v>2</v>
      </c>
      <c r="O80" s="10" t="n">
        <v>15</v>
      </c>
      <c r="P80" s="10" t="n">
        <v>1765</v>
      </c>
      <c r="Q80" s="10" t="n">
        <v>2031</v>
      </c>
      <c r="R80" s="10" t="n">
        <v>0</v>
      </c>
      <c r="S80" s="10" t="n">
        <v>0</v>
      </c>
      <c r="T80" s="10" t="n">
        <v>0</v>
      </c>
      <c r="U80" s="10" t="n">
        <v>17</v>
      </c>
      <c r="V80" s="10" t="n">
        <v>0</v>
      </c>
      <c r="W80" s="10" t="n">
        <v>26</v>
      </c>
      <c r="X80" s="10" t="n">
        <v>14</v>
      </c>
      <c r="Y80" s="10" t="n">
        <v>1</v>
      </c>
      <c r="Z80" s="10" t="n">
        <v>0</v>
      </c>
      <c r="AA80" s="10" t="n">
        <v>1</v>
      </c>
      <c r="AB80" s="10" t="n">
        <v>0</v>
      </c>
      <c r="AC80" s="10" t="n">
        <v>1</v>
      </c>
      <c r="AD80" s="10" t="n">
        <v>0</v>
      </c>
      <c r="AE80" s="10" t="n">
        <v>13</v>
      </c>
      <c r="AF80" s="10" t="n">
        <v>14</v>
      </c>
      <c r="AG80" s="10" t="n">
        <v>13</v>
      </c>
      <c r="AH80" s="10" t="n">
        <v>13</v>
      </c>
      <c r="AI80" s="10" t="n">
        <v>15</v>
      </c>
      <c r="AJ80" s="10" t="n">
        <v>3382</v>
      </c>
      <c r="AK80" s="10" t="n">
        <v>3481</v>
      </c>
      <c r="AL80" s="10" t="n">
        <v>3385</v>
      </c>
      <c r="AM80" s="10" t="n">
        <v>3161</v>
      </c>
      <c r="AN80" s="10" t="n">
        <v>3494</v>
      </c>
      <c r="AO80" s="10" t="n">
        <v>3796</v>
      </c>
      <c r="AP80" s="10" t="n">
        <v>4213</v>
      </c>
      <c r="AQ80" s="10" t="n">
        <f aca="false">I80+J80</f>
        <v>4213</v>
      </c>
      <c r="AR80" s="11" t="n">
        <f aca="false">IF(AQ80&gt;0,I80/AQ80,"")</f>
        <v>0.448848801329219</v>
      </c>
      <c r="AS80" s="11" t="n">
        <f aca="false">IF((P80+Q80)&gt;0,P80/(P80+Q80),"")</f>
        <v>0.464963119072708</v>
      </c>
      <c r="AT80" s="12" t="n">
        <f aca="false">IF(AND(ISNUMBER(AR80),ISNUMBER(AS80)),(AR80-AS80)*100,"")</f>
        <v>-1.6114317743489</v>
      </c>
      <c r="AU80" s="12" t="n">
        <f aca="false">IF(G80&gt;0,I80/G80*1000,"")</f>
        <v>59.5047043645175</v>
      </c>
      <c r="AV80" s="12" t="n">
        <f aca="false">IF(G80&gt;0,H80/G80*10000,"")</f>
        <v>4.7200981780421</v>
      </c>
      <c r="AW80" s="12" t="n">
        <f aca="false">IF(G80&gt;0,W80/G80*10000,"")</f>
        <v>8.18150350860631</v>
      </c>
      <c r="AX80" s="12" t="n">
        <f aca="false">IF(I80&gt;0,K80/I80*100,"")</f>
        <v>15.1771549444738</v>
      </c>
      <c r="AY80" s="9" t="str">
        <f aca="false">IF(AQ80&gt;=100,"ok",IF(AQ80&gt;0,"effectif faible (&lt;100)","aucune association"))</f>
        <v>ok</v>
      </c>
    </row>
    <row r="81" customFormat="false" ht="15" hidden="false" customHeight="false" outlineLevel="0" collapsed="false">
      <c r="A81" s="9" t="s">
        <v>279</v>
      </c>
      <c r="B81" s="9" t="s">
        <v>280</v>
      </c>
      <c r="C81" s="9" t="s">
        <v>106</v>
      </c>
      <c r="D81" s="9" t="s">
        <v>107</v>
      </c>
      <c r="E81" s="9" t="s">
        <v>108</v>
      </c>
      <c r="F81" s="9" t="s">
        <v>103</v>
      </c>
      <c r="G81" s="10" t="n">
        <v>225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1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f aca="false">I81+J81</f>
        <v>0</v>
      </c>
      <c r="AR81" s="11" t="str">
        <f aca="false">IF(AQ81&gt;0,I81/AQ81,"")</f>
        <v/>
      </c>
      <c r="AS81" s="11" t="str">
        <f aca="false">IF((P81+Q81)&gt;0,P81/(P81+Q81),"")</f>
        <v/>
      </c>
      <c r="AT81" s="12" t="str">
        <f aca="false">IF(AND(ISNUMBER(AR81),ISNUMBER(AS81)),(AR81-AS81)*100,"")</f>
        <v/>
      </c>
      <c r="AU81" s="12" t="n">
        <f aca="false">IF(G81&gt;0,I81/G81*1000,"")</f>
        <v>0</v>
      </c>
      <c r="AV81" s="12" t="n">
        <f aca="false">IF(G81&gt;0,H81/G81*10000,"")</f>
        <v>0</v>
      </c>
      <c r="AW81" s="12" t="n">
        <f aca="false">IF(G81&gt;0,W81/G81*10000,"")</f>
        <v>44.4444444444444</v>
      </c>
      <c r="AX81" s="12" t="str">
        <f aca="false">IF(I81&gt;0,K81/I81*100,"")</f>
        <v/>
      </c>
      <c r="AY81" s="9" t="str">
        <f aca="false">IF(AQ81&gt;=100,"ok",IF(AQ81&gt;0,"effectif faible (&lt;100)","aucune association"))</f>
        <v>aucune association</v>
      </c>
    </row>
    <row r="82" customFormat="false" ht="15" hidden="false" customHeight="false" outlineLevel="0" collapsed="false">
      <c r="A82" s="9" t="s">
        <v>281</v>
      </c>
      <c r="B82" s="9" t="s">
        <v>282</v>
      </c>
      <c r="C82" s="9" t="s">
        <v>140</v>
      </c>
      <c r="D82" s="9" t="s">
        <v>107</v>
      </c>
      <c r="E82" s="9" t="s">
        <v>128</v>
      </c>
      <c r="F82" s="9" t="s">
        <v>103</v>
      </c>
      <c r="G82" s="10" t="n">
        <v>278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3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f aca="false">I82+J82</f>
        <v>0</v>
      </c>
      <c r="AR82" s="11" t="str">
        <f aca="false">IF(AQ82&gt;0,I82/AQ82,"")</f>
        <v/>
      </c>
      <c r="AS82" s="11" t="str">
        <f aca="false">IF((P82+Q82)&gt;0,P82/(P82+Q82),"")</f>
        <v/>
      </c>
      <c r="AT82" s="12" t="str">
        <f aca="false">IF(AND(ISNUMBER(AR82),ISNUMBER(AS82)),(AR82-AS82)*100,"")</f>
        <v/>
      </c>
      <c r="AU82" s="12" t="n">
        <f aca="false">IF(G82&gt;0,I82/G82*1000,"")</f>
        <v>0</v>
      </c>
      <c r="AV82" s="12" t="n">
        <f aca="false">IF(G82&gt;0,H82/G82*10000,"")</f>
        <v>0</v>
      </c>
      <c r="AW82" s="12" t="n">
        <f aca="false">IF(G82&gt;0,W82/G82*10000,"")</f>
        <v>107.913669064748</v>
      </c>
      <c r="AX82" s="12" t="str">
        <f aca="false">IF(I82&gt;0,K82/I82*100,"")</f>
        <v/>
      </c>
      <c r="AY82" s="9" t="str">
        <f aca="false">IF(AQ82&gt;=100,"ok",IF(AQ82&gt;0,"effectif faible (&lt;100)","aucune association"))</f>
        <v>aucune association</v>
      </c>
    </row>
    <row r="83" customFormat="false" ht="15" hidden="false" customHeight="false" outlineLevel="0" collapsed="false">
      <c r="A83" s="9" t="s">
        <v>283</v>
      </c>
      <c r="B83" s="9" t="s">
        <v>284</v>
      </c>
      <c r="C83" s="9" t="s">
        <v>140</v>
      </c>
      <c r="D83" s="9" t="s">
        <v>107</v>
      </c>
      <c r="E83" s="9" t="s">
        <v>128</v>
      </c>
      <c r="F83" s="9" t="s">
        <v>143</v>
      </c>
      <c r="G83" s="10" t="n">
        <v>584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4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f aca="false">I83+J83</f>
        <v>0</v>
      </c>
      <c r="AR83" s="11" t="str">
        <f aca="false">IF(AQ83&gt;0,I83/AQ83,"")</f>
        <v/>
      </c>
      <c r="AS83" s="11" t="str">
        <f aca="false">IF((P83+Q83)&gt;0,P83/(P83+Q83),"")</f>
        <v/>
      </c>
      <c r="AT83" s="12" t="str">
        <f aca="false">IF(AND(ISNUMBER(AR83),ISNUMBER(AS83)),(AR83-AS83)*100,"")</f>
        <v/>
      </c>
      <c r="AU83" s="12" t="n">
        <f aca="false">IF(G83&gt;0,I83/G83*1000,"")</f>
        <v>0</v>
      </c>
      <c r="AV83" s="12" t="n">
        <f aca="false">IF(G83&gt;0,H83/G83*10000,"")</f>
        <v>0</v>
      </c>
      <c r="AW83" s="12" t="n">
        <f aca="false">IF(G83&gt;0,W83/G83*10000,"")</f>
        <v>68.4931506849315</v>
      </c>
      <c r="AX83" s="12" t="str">
        <f aca="false">IF(I83&gt;0,K83/I83*100,"")</f>
        <v/>
      </c>
      <c r="AY83" s="9" t="str">
        <f aca="false">IF(AQ83&gt;=100,"ok",IF(AQ83&gt;0,"effectif faible (&lt;100)","aucune association"))</f>
        <v>aucune association</v>
      </c>
    </row>
    <row r="84" customFormat="false" ht="15" hidden="false" customHeight="false" outlineLevel="0" collapsed="false">
      <c r="A84" s="9" t="s">
        <v>285</v>
      </c>
      <c r="B84" s="9" t="s">
        <v>286</v>
      </c>
      <c r="C84" s="9" t="s">
        <v>133</v>
      </c>
      <c r="D84" s="9" t="s">
        <v>107</v>
      </c>
      <c r="E84" s="9" t="s">
        <v>134</v>
      </c>
      <c r="F84" s="9" t="s">
        <v>103</v>
      </c>
      <c r="G84" s="10" t="n">
        <v>269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1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f aca="false">I84+J84</f>
        <v>0</v>
      </c>
      <c r="AR84" s="11" t="str">
        <f aca="false">IF(AQ84&gt;0,I84/AQ84,"")</f>
        <v/>
      </c>
      <c r="AS84" s="11" t="str">
        <f aca="false">IF((P84+Q84)&gt;0,P84/(P84+Q84),"")</f>
        <v/>
      </c>
      <c r="AT84" s="12" t="str">
        <f aca="false">IF(AND(ISNUMBER(AR84),ISNUMBER(AS84)),(AR84-AS84)*100,"")</f>
        <v/>
      </c>
      <c r="AU84" s="12" t="n">
        <f aca="false">IF(G84&gt;0,I84/G84*1000,"")</f>
        <v>0</v>
      </c>
      <c r="AV84" s="12" t="n">
        <f aca="false">IF(G84&gt;0,H84/G84*10000,"")</f>
        <v>0</v>
      </c>
      <c r="AW84" s="12" t="n">
        <f aca="false">IF(G84&gt;0,W84/G84*10000,"")</f>
        <v>37.1747211895911</v>
      </c>
      <c r="AX84" s="12" t="str">
        <f aca="false">IF(I84&gt;0,K84/I84*100,"")</f>
        <v/>
      </c>
      <c r="AY84" s="9" t="str">
        <f aca="false">IF(AQ84&gt;=100,"ok",IF(AQ84&gt;0,"effectif faible (&lt;100)","aucune association"))</f>
        <v>aucune association</v>
      </c>
    </row>
    <row r="85" customFormat="false" ht="15" hidden="false" customHeight="false" outlineLevel="0" collapsed="false">
      <c r="A85" s="9" t="s">
        <v>287</v>
      </c>
      <c r="B85" s="9" t="s">
        <v>288</v>
      </c>
      <c r="C85" s="9" t="s">
        <v>200</v>
      </c>
      <c r="D85" s="9" t="s">
        <v>101</v>
      </c>
      <c r="E85" s="9" t="s">
        <v>173</v>
      </c>
      <c r="F85" s="9" t="s">
        <v>117</v>
      </c>
      <c r="G85" s="10" t="n">
        <v>17854</v>
      </c>
      <c r="H85" s="10" t="n">
        <v>13</v>
      </c>
      <c r="I85" s="10" t="n">
        <v>810</v>
      </c>
      <c r="J85" s="10" t="n">
        <v>1921</v>
      </c>
      <c r="K85" s="10" t="n">
        <v>200</v>
      </c>
      <c r="L85" s="10" t="n">
        <v>31</v>
      </c>
      <c r="M85" s="10" t="n">
        <v>4</v>
      </c>
      <c r="N85" s="10" t="n">
        <v>1</v>
      </c>
      <c r="O85" s="10" t="n">
        <v>13</v>
      </c>
      <c r="P85" s="10" t="n">
        <v>765</v>
      </c>
      <c r="Q85" s="10" t="n">
        <v>1792</v>
      </c>
      <c r="R85" s="10" t="n">
        <v>7</v>
      </c>
      <c r="S85" s="10" t="n">
        <v>1320</v>
      </c>
      <c r="T85" s="10" t="n">
        <v>45</v>
      </c>
      <c r="U85" s="10" t="n">
        <v>12</v>
      </c>
      <c r="V85" s="10" t="n">
        <v>8</v>
      </c>
      <c r="W85" s="10" t="n">
        <v>31</v>
      </c>
      <c r="X85" s="10" t="n">
        <v>6</v>
      </c>
      <c r="Y85" s="10" t="n">
        <v>1</v>
      </c>
      <c r="Z85" s="10" t="n">
        <v>0</v>
      </c>
      <c r="AA85" s="10" t="n">
        <v>0</v>
      </c>
      <c r="AB85" s="10" t="n">
        <v>0</v>
      </c>
      <c r="AC85" s="10" t="n">
        <v>1</v>
      </c>
      <c r="AD85" s="10" t="n">
        <v>0</v>
      </c>
      <c r="AE85" s="10" t="n">
        <v>11</v>
      </c>
      <c r="AF85" s="10" t="n">
        <v>12</v>
      </c>
      <c r="AG85" s="10" t="n">
        <v>11</v>
      </c>
      <c r="AH85" s="10" t="n">
        <v>11</v>
      </c>
      <c r="AI85" s="10" t="n">
        <v>12</v>
      </c>
      <c r="AJ85" s="10" t="n">
        <v>1838</v>
      </c>
      <c r="AK85" s="10" t="n">
        <v>1994</v>
      </c>
      <c r="AL85" s="10" t="n">
        <v>1982</v>
      </c>
      <c r="AM85" s="10" t="n">
        <v>1978</v>
      </c>
      <c r="AN85" s="10" t="n">
        <v>2038</v>
      </c>
      <c r="AO85" s="10" t="n">
        <v>2557</v>
      </c>
      <c r="AP85" s="10" t="n">
        <v>2731</v>
      </c>
      <c r="AQ85" s="10" t="n">
        <f aca="false">I85+J85</f>
        <v>2731</v>
      </c>
      <c r="AR85" s="11" t="n">
        <f aca="false">IF(AQ85&gt;0,I85/AQ85,"")</f>
        <v>0.296594653972904</v>
      </c>
      <c r="AS85" s="11" t="n">
        <f aca="false">IF((P85+Q85)&gt;0,P85/(P85+Q85),"")</f>
        <v>0.29917872506844</v>
      </c>
      <c r="AT85" s="12" t="n">
        <f aca="false">IF(AND(ISNUMBER(AR85),ISNUMBER(AS85)),(AR85-AS85)*100,"")</f>
        <v>-0.258407109553588</v>
      </c>
      <c r="AU85" s="12" t="n">
        <f aca="false">IF(G85&gt;0,I85/G85*1000,"")</f>
        <v>45.3679847653187</v>
      </c>
      <c r="AV85" s="12" t="n">
        <f aca="false">IF(G85&gt;0,H85/G85*10000,"")</f>
        <v>7.28128150554498</v>
      </c>
      <c r="AW85" s="12" t="n">
        <f aca="false">IF(G85&gt;0,W85/G85*10000,"")</f>
        <v>17.363055897838</v>
      </c>
      <c r="AX85" s="12" t="n">
        <f aca="false">IF(I85&gt;0,K85/I85*100,"")</f>
        <v>24.6913580246914</v>
      </c>
      <c r="AY85" s="9" t="str">
        <f aca="false">IF(AQ85&gt;=100,"ok",IF(AQ85&gt;0,"effectif faible (&lt;100)","aucune association"))</f>
        <v>ok</v>
      </c>
    </row>
    <row r="86" customFormat="false" ht="15" hidden="false" customHeight="false" outlineLevel="0" collapsed="false">
      <c r="A86" s="9" t="s">
        <v>289</v>
      </c>
      <c r="B86" s="9" t="s">
        <v>155</v>
      </c>
      <c r="C86" s="9" t="s">
        <v>155</v>
      </c>
      <c r="D86" s="9" t="s">
        <v>101</v>
      </c>
      <c r="E86" s="9" t="s">
        <v>197</v>
      </c>
      <c r="F86" s="9" t="s">
        <v>157</v>
      </c>
      <c r="G86" s="10" t="n">
        <v>12493</v>
      </c>
      <c r="H86" s="10" t="n">
        <v>17</v>
      </c>
      <c r="I86" s="10" t="n">
        <v>1317</v>
      </c>
      <c r="J86" s="10" t="n">
        <v>1480</v>
      </c>
      <c r="K86" s="10" t="n">
        <v>192</v>
      </c>
      <c r="L86" s="10" t="n">
        <v>28</v>
      </c>
      <c r="M86" s="10" t="n">
        <v>6</v>
      </c>
      <c r="N86" s="10" t="n">
        <v>3</v>
      </c>
      <c r="O86" s="10" t="n">
        <v>16</v>
      </c>
      <c r="P86" s="10" t="n">
        <v>1127</v>
      </c>
      <c r="Q86" s="10" t="n">
        <v>1185</v>
      </c>
      <c r="R86" s="10" t="n">
        <v>1</v>
      </c>
      <c r="S86" s="10" t="n">
        <v>40</v>
      </c>
      <c r="T86" s="10" t="n">
        <v>4</v>
      </c>
      <c r="U86" s="10" t="n">
        <v>17</v>
      </c>
      <c r="V86" s="10" t="n">
        <v>1</v>
      </c>
      <c r="W86" s="10" t="n">
        <v>19</v>
      </c>
      <c r="X86" s="10" t="n">
        <v>2</v>
      </c>
      <c r="Y86" s="10" t="n">
        <v>2</v>
      </c>
      <c r="Z86" s="10" t="n">
        <v>0</v>
      </c>
      <c r="AA86" s="10" t="n">
        <v>1</v>
      </c>
      <c r="AB86" s="10" t="n">
        <v>1</v>
      </c>
      <c r="AC86" s="10" t="n">
        <v>0</v>
      </c>
      <c r="AD86" s="10" t="n">
        <v>0</v>
      </c>
      <c r="AE86" s="10" t="n">
        <v>14</v>
      </c>
      <c r="AF86" s="10" t="n">
        <v>17</v>
      </c>
      <c r="AG86" s="10" t="n">
        <v>17</v>
      </c>
      <c r="AH86" s="10" t="n">
        <v>17</v>
      </c>
      <c r="AI86" s="10" t="n">
        <v>16</v>
      </c>
      <c r="AJ86" s="10" t="n">
        <v>2384</v>
      </c>
      <c r="AK86" s="10" t="n">
        <v>2623</v>
      </c>
      <c r="AL86" s="10" t="n">
        <v>2307</v>
      </c>
      <c r="AM86" s="10" t="n">
        <v>2433</v>
      </c>
      <c r="AN86" s="10" t="n">
        <v>2248</v>
      </c>
      <c r="AO86" s="10" t="n">
        <v>2312</v>
      </c>
      <c r="AP86" s="10" t="n">
        <v>2797</v>
      </c>
      <c r="AQ86" s="10" t="n">
        <f aca="false">I86+J86</f>
        <v>2797</v>
      </c>
      <c r="AR86" s="11" t="n">
        <f aca="false">IF(AQ86&gt;0,I86/AQ86,"")</f>
        <v>0.470861637468717</v>
      </c>
      <c r="AS86" s="11" t="n">
        <f aca="false">IF((P86+Q86)&gt;0,P86/(P86+Q86),"")</f>
        <v>0.487456747404844</v>
      </c>
      <c r="AT86" s="12" t="n">
        <f aca="false">IF(AND(ISNUMBER(AR86),ISNUMBER(AS86)),(AR86-AS86)*100,"")</f>
        <v>-1.65951099361278</v>
      </c>
      <c r="AU86" s="12" t="n">
        <f aca="false">IF(G86&gt;0,I86/G86*1000,"")</f>
        <v>105.419034659409</v>
      </c>
      <c r="AV86" s="12" t="n">
        <f aca="false">IF(G86&gt;0,H86/G86*10000,"")</f>
        <v>13.6076202673497</v>
      </c>
      <c r="AW86" s="12" t="n">
        <f aca="false">IF(G86&gt;0,W86/G86*10000,"")</f>
        <v>15.2085167693909</v>
      </c>
      <c r="AX86" s="12" t="n">
        <f aca="false">IF(I86&gt;0,K86/I86*100,"")</f>
        <v>14.5785876993166</v>
      </c>
      <c r="AY86" s="9" t="str">
        <f aca="false">IF(AQ86&gt;=100,"ok",IF(AQ86&gt;0,"effectif faible (&lt;100)","aucune association"))</f>
        <v>ok</v>
      </c>
    </row>
    <row r="87" customFormat="false" ht="15" hidden="false" customHeight="false" outlineLevel="0" collapsed="false">
      <c r="A87" s="9" t="s">
        <v>290</v>
      </c>
      <c r="B87" s="9" t="s">
        <v>291</v>
      </c>
      <c r="C87" s="9" t="s">
        <v>106</v>
      </c>
      <c r="D87" s="9" t="s">
        <v>107</v>
      </c>
      <c r="E87" s="9" t="s">
        <v>108</v>
      </c>
      <c r="F87" s="9" t="s">
        <v>103</v>
      </c>
      <c r="G87" s="10" t="n">
        <v>320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0" t="n">
        <v>0</v>
      </c>
      <c r="W87" s="10" t="n">
        <v>1</v>
      </c>
      <c r="X87" s="10" t="n">
        <v>0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f aca="false">I87+J87</f>
        <v>0</v>
      </c>
      <c r="AR87" s="11" t="str">
        <f aca="false">IF(AQ87&gt;0,I87/AQ87,"")</f>
        <v/>
      </c>
      <c r="AS87" s="11" t="str">
        <f aca="false">IF((P87+Q87)&gt;0,P87/(P87+Q87),"")</f>
        <v/>
      </c>
      <c r="AT87" s="12" t="str">
        <f aca="false">IF(AND(ISNUMBER(AR87),ISNUMBER(AS87)),(AR87-AS87)*100,"")</f>
        <v/>
      </c>
      <c r="AU87" s="12" t="n">
        <f aca="false">IF(G87&gt;0,I87/G87*1000,"")</f>
        <v>0</v>
      </c>
      <c r="AV87" s="12" t="n">
        <f aca="false">IF(G87&gt;0,H87/G87*10000,"")</f>
        <v>0</v>
      </c>
      <c r="AW87" s="12" t="n">
        <f aca="false">IF(G87&gt;0,W87/G87*10000,"")</f>
        <v>31.25</v>
      </c>
      <c r="AX87" s="12" t="str">
        <f aca="false">IF(I87&gt;0,K87/I87*100,"")</f>
        <v/>
      </c>
      <c r="AY87" s="9" t="str">
        <f aca="false">IF(AQ87&gt;=100,"ok",IF(AQ87&gt;0,"effectif faible (&lt;100)","aucune association"))</f>
        <v>aucune association</v>
      </c>
    </row>
    <row r="88" customFormat="false" ht="15" hidden="false" customHeight="false" outlineLevel="0" collapsed="false">
      <c r="A88" s="9" t="s">
        <v>292</v>
      </c>
      <c r="B88" s="9" t="s">
        <v>293</v>
      </c>
      <c r="C88" s="9" t="s">
        <v>278</v>
      </c>
      <c r="D88" s="9" t="s">
        <v>101</v>
      </c>
      <c r="E88" s="9" t="s">
        <v>152</v>
      </c>
      <c r="F88" s="9" t="s">
        <v>117</v>
      </c>
      <c r="G88" s="10" t="n">
        <v>4570</v>
      </c>
      <c r="H88" s="10" t="n">
        <v>4</v>
      </c>
      <c r="I88" s="10" t="n">
        <v>386</v>
      </c>
      <c r="J88" s="10" t="n">
        <v>261</v>
      </c>
      <c r="K88" s="10" t="n">
        <v>36</v>
      </c>
      <c r="L88" s="10" t="n">
        <v>5</v>
      </c>
      <c r="M88" s="10" t="n">
        <v>0</v>
      </c>
      <c r="N88" s="10" t="n">
        <v>1</v>
      </c>
      <c r="O88" s="10" t="n">
        <v>4</v>
      </c>
      <c r="P88" s="10" t="n">
        <v>215</v>
      </c>
      <c r="Q88" s="10" t="n">
        <v>408</v>
      </c>
      <c r="R88" s="10" t="n">
        <v>0</v>
      </c>
      <c r="S88" s="10" t="n">
        <v>0</v>
      </c>
      <c r="T88" s="10" t="n">
        <v>0</v>
      </c>
      <c r="U88" s="10" t="n">
        <v>3</v>
      </c>
      <c r="V88" s="10" t="n">
        <v>0</v>
      </c>
      <c r="W88" s="10" t="n">
        <v>4</v>
      </c>
      <c r="X88" s="10" t="n">
        <v>2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3</v>
      </c>
      <c r="AF88" s="10" t="n">
        <v>3</v>
      </c>
      <c r="AG88" s="10" t="n">
        <v>3</v>
      </c>
      <c r="AH88" s="10" t="n">
        <v>3</v>
      </c>
      <c r="AI88" s="10" t="n">
        <v>4</v>
      </c>
      <c r="AJ88" s="10" t="n">
        <v>1012</v>
      </c>
      <c r="AK88" s="10" t="n">
        <v>505</v>
      </c>
      <c r="AL88" s="10" t="n">
        <v>445</v>
      </c>
      <c r="AM88" s="10" t="n">
        <v>486</v>
      </c>
      <c r="AN88" s="10" t="n">
        <v>560</v>
      </c>
      <c r="AO88" s="10" t="n">
        <v>623</v>
      </c>
      <c r="AP88" s="10" t="n">
        <v>647</v>
      </c>
      <c r="AQ88" s="10" t="n">
        <f aca="false">I88+J88</f>
        <v>647</v>
      </c>
      <c r="AR88" s="11" t="n">
        <f aca="false">IF(AQ88&gt;0,I88/AQ88,"")</f>
        <v>0.596599690880989</v>
      </c>
      <c r="AS88" s="11" t="n">
        <f aca="false">IF((P88+Q88)&gt;0,P88/(P88+Q88),"")</f>
        <v>0.345104333868379</v>
      </c>
      <c r="AT88" s="12" t="n">
        <f aca="false">IF(AND(ISNUMBER(AR88),ISNUMBER(AS88)),(AR88-AS88)*100,"")</f>
        <v>25.149535701261</v>
      </c>
      <c r="AU88" s="12" t="n">
        <f aca="false">IF(G88&gt;0,I88/G88*1000,"")</f>
        <v>84.4638949671772</v>
      </c>
      <c r="AV88" s="12" t="n">
        <f aca="false">IF(G88&gt;0,H88/G88*10000,"")</f>
        <v>8.7527352297593</v>
      </c>
      <c r="AW88" s="12" t="n">
        <f aca="false">IF(G88&gt;0,W88/G88*10000,"")</f>
        <v>8.7527352297593</v>
      </c>
      <c r="AX88" s="12" t="n">
        <f aca="false">IF(I88&gt;0,K88/I88*100,"")</f>
        <v>9.32642487046632</v>
      </c>
      <c r="AY88" s="9" t="str">
        <f aca="false">IF(AQ88&gt;=100,"ok",IF(AQ88&gt;0,"effectif faible (&lt;100)","aucune association"))</f>
        <v>ok</v>
      </c>
    </row>
    <row r="89" customFormat="false" ht="15" hidden="false" customHeight="false" outlineLevel="0" collapsed="false">
      <c r="A89" s="9" t="s">
        <v>294</v>
      </c>
      <c r="B89" s="9" t="s">
        <v>295</v>
      </c>
      <c r="C89" s="9" t="s">
        <v>106</v>
      </c>
      <c r="D89" s="9" t="s">
        <v>107</v>
      </c>
      <c r="E89" s="9" t="s">
        <v>108</v>
      </c>
      <c r="F89" s="9" t="s">
        <v>103</v>
      </c>
      <c r="G89" s="10" t="n">
        <v>399</v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7</v>
      </c>
      <c r="X89" s="10" t="n">
        <v>1</v>
      </c>
      <c r="Y89" s="10" t="n">
        <v>0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10" t="n">
        <v>0</v>
      </c>
      <c r="AG89" s="10" t="n">
        <v>0</v>
      </c>
      <c r="AH89" s="10" t="n">
        <v>0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0</v>
      </c>
      <c r="AQ89" s="10" t="n">
        <f aca="false">I89+J89</f>
        <v>0</v>
      </c>
      <c r="AR89" s="11" t="str">
        <f aca="false">IF(AQ89&gt;0,I89/AQ89,"")</f>
        <v/>
      </c>
      <c r="AS89" s="11" t="str">
        <f aca="false">IF((P89+Q89)&gt;0,P89/(P89+Q89),"")</f>
        <v/>
      </c>
      <c r="AT89" s="12" t="str">
        <f aca="false">IF(AND(ISNUMBER(AR89),ISNUMBER(AS89)),(AR89-AS89)*100,"")</f>
        <v/>
      </c>
      <c r="AU89" s="12" t="n">
        <f aca="false">IF(G89&gt;0,I89/G89*1000,"")</f>
        <v>0</v>
      </c>
      <c r="AV89" s="12" t="n">
        <f aca="false">IF(G89&gt;0,H89/G89*10000,"")</f>
        <v>0</v>
      </c>
      <c r="AW89" s="12" t="n">
        <f aca="false">IF(G89&gt;0,W89/G89*10000,"")</f>
        <v>175.438596491228</v>
      </c>
      <c r="AX89" s="12" t="str">
        <f aca="false">IF(I89&gt;0,K89/I89*100,"")</f>
        <v/>
      </c>
      <c r="AY89" s="9" t="str">
        <f aca="false">IF(AQ89&gt;=100,"ok",IF(AQ89&gt;0,"effectif faible (&lt;100)","aucune association"))</f>
        <v>aucune association</v>
      </c>
    </row>
    <row r="90" customFormat="false" ht="15" hidden="false" customHeight="false" outlineLevel="0" collapsed="false">
      <c r="A90" s="9" t="s">
        <v>296</v>
      </c>
      <c r="B90" s="9" t="s">
        <v>297</v>
      </c>
      <c r="C90" s="9" t="s">
        <v>100</v>
      </c>
      <c r="D90" s="9" t="s">
        <v>107</v>
      </c>
      <c r="E90" s="9" t="s">
        <v>128</v>
      </c>
      <c r="F90" s="9" t="s">
        <v>103</v>
      </c>
      <c r="G90" s="10" t="n">
        <v>641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2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f aca="false">I90+J90</f>
        <v>0</v>
      </c>
      <c r="AR90" s="11" t="str">
        <f aca="false">IF(AQ90&gt;0,I90/AQ90,"")</f>
        <v/>
      </c>
      <c r="AS90" s="11" t="str">
        <f aca="false">IF((P90+Q90)&gt;0,P90/(P90+Q90),"")</f>
        <v/>
      </c>
      <c r="AT90" s="12" t="str">
        <f aca="false">IF(AND(ISNUMBER(AR90),ISNUMBER(AS90)),(AR90-AS90)*100,"")</f>
        <v/>
      </c>
      <c r="AU90" s="12" t="n">
        <f aca="false">IF(G90&gt;0,I90/G90*1000,"")</f>
        <v>0</v>
      </c>
      <c r="AV90" s="12" t="n">
        <f aca="false">IF(G90&gt;0,H90/G90*10000,"")</f>
        <v>0</v>
      </c>
      <c r="AW90" s="12" t="n">
        <f aca="false">IF(G90&gt;0,W90/G90*10000,"")</f>
        <v>31.201248049922</v>
      </c>
      <c r="AX90" s="12" t="str">
        <f aca="false">IF(I90&gt;0,K90/I90*100,"")</f>
        <v/>
      </c>
      <c r="AY90" s="9" t="str">
        <f aca="false">IF(AQ90&gt;=100,"ok",IF(AQ90&gt;0,"effectif faible (&lt;100)","aucune association"))</f>
        <v>aucune association</v>
      </c>
    </row>
    <row r="91" customFormat="false" ht="15" hidden="false" customHeight="false" outlineLevel="0" collapsed="false">
      <c r="A91" s="9" t="s">
        <v>298</v>
      </c>
      <c r="B91" s="9" t="s">
        <v>299</v>
      </c>
      <c r="C91" s="9" t="s">
        <v>133</v>
      </c>
      <c r="D91" s="9" t="s">
        <v>107</v>
      </c>
      <c r="E91" s="9" t="s">
        <v>134</v>
      </c>
      <c r="F91" s="9" t="s">
        <v>143</v>
      </c>
      <c r="G91" s="10" t="n">
        <v>196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1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  <c r="AD91" s="10" t="n">
        <v>0</v>
      </c>
      <c r="AE91" s="10" t="n">
        <v>0</v>
      </c>
      <c r="AF91" s="10" t="n">
        <v>0</v>
      </c>
      <c r="AG91" s="10" t="n">
        <v>0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0</v>
      </c>
      <c r="AM91" s="10" t="n">
        <v>0</v>
      </c>
      <c r="AN91" s="10" t="n">
        <v>0</v>
      </c>
      <c r="AO91" s="10" t="n">
        <v>0</v>
      </c>
      <c r="AP91" s="10" t="n">
        <v>0</v>
      </c>
      <c r="AQ91" s="10" t="n">
        <f aca="false">I91+J91</f>
        <v>0</v>
      </c>
      <c r="AR91" s="11" t="str">
        <f aca="false">IF(AQ91&gt;0,I91/AQ91,"")</f>
        <v/>
      </c>
      <c r="AS91" s="11" t="str">
        <f aca="false">IF((P91+Q91)&gt;0,P91/(P91+Q91),"")</f>
        <v/>
      </c>
      <c r="AT91" s="12" t="str">
        <f aca="false">IF(AND(ISNUMBER(AR91),ISNUMBER(AS91)),(AR91-AS91)*100,"")</f>
        <v/>
      </c>
      <c r="AU91" s="12" t="n">
        <f aca="false">IF(G91&gt;0,I91/G91*1000,"")</f>
        <v>0</v>
      </c>
      <c r="AV91" s="12" t="n">
        <f aca="false">IF(G91&gt;0,H91/G91*10000,"")</f>
        <v>0</v>
      </c>
      <c r="AW91" s="12" t="n">
        <f aca="false">IF(G91&gt;0,W91/G91*10000,"")</f>
        <v>51.0204081632653</v>
      </c>
      <c r="AX91" s="12" t="str">
        <f aca="false">IF(I91&gt;0,K91/I91*100,"")</f>
        <v/>
      </c>
      <c r="AY91" s="9" t="str">
        <f aca="false">IF(AQ91&gt;=100,"ok",IF(AQ91&gt;0,"effectif faible (&lt;100)","aucune association"))</f>
        <v>aucune association</v>
      </c>
    </row>
    <row r="92" customFormat="false" ht="15" hidden="false" customHeight="false" outlineLevel="0" collapsed="false">
      <c r="A92" s="9" t="s">
        <v>300</v>
      </c>
      <c r="B92" s="9" t="s">
        <v>301</v>
      </c>
      <c r="C92" s="9" t="s">
        <v>106</v>
      </c>
      <c r="D92" s="9" t="s">
        <v>107</v>
      </c>
      <c r="E92" s="9" t="s">
        <v>102</v>
      </c>
      <c r="F92" s="9" t="s">
        <v>103</v>
      </c>
      <c r="G92" s="10" t="n">
        <v>224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2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0" t="n">
        <v>0</v>
      </c>
      <c r="AE92" s="10" t="n">
        <v>0</v>
      </c>
      <c r="AF92" s="10" t="n">
        <v>0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f aca="false">I92+J92</f>
        <v>0</v>
      </c>
      <c r="AR92" s="11" t="str">
        <f aca="false">IF(AQ92&gt;0,I92/AQ92,"")</f>
        <v/>
      </c>
      <c r="AS92" s="11" t="str">
        <f aca="false">IF((P92+Q92)&gt;0,P92/(P92+Q92),"")</f>
        <v/>
      </c>
      <c r="AT92" s="12" t="str">
        <f aca="false">IF(AND(ISNUMBER(AR92),ISNUMBER(AS92)),(AR92-AS92)*100,"")</f>
        <v/>
      </c>
      <c r="AU92" s="12" t="n">
        <f aca="false">IF(G92&gt;0,I92/G92*1000,"")</f>
        <v>0</v>
      </c>
      <c r="AV92" s="12" t="n">
        <f aca="false">IF(G92&gt;0,H92/G92*10000,"")</f>
        <v>0</v>
      </c>
      <c r="AW92" s="12" t="n">
        <f aca="false">IF(G92&gt;0,W92/G92*10000,"")</f>
        <v>89.2857142857143</v>
      </c>
      <c r="AX92" s="12" t="str">
        <f aca="false">IF(I92&gt;0,K92/I92*100,"")</f>
        <v/>
      </c>
      <c r="AY92" s="9" t="str">
        <f aca="false">IF(AQ92&gt;=100,"ok",IF(AQ92&gt;0,"effectif faible (&lt;100)","aucune association"))</f>
        <v>aucune association</v>
      </c>
    </row>
    <row r="93" customFormat="false" ht="15" hidden="false" customHeight="false" outlineLevel="0" collapsed="false">
      <c r="A93" s="9" t="s">
        <v>302</v>
      </c>
      <c r="B93" s="9" t="s">
        <v>303</v>
      </c>
      <c r="C93" s="9" t="s">
        <v>100</v>
      </c>
      <c r="D93" s="9" t="s">
        <v>107</v>
      </c>
      <c r="E93" s="9" t="s">
        <v>102</v>
      </c>
      <c r="F93" s="9"/>
      <c r="G93" s="10" t="n">
        <v>207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f aca="false">I93+J93</f>
        <v>0</v>
      </c>
      <c r="AR93" s="11" t="str">
        <f aca="false">IF(AQ93&gt;0,I93/AQ93,"")</f>
        <v/>
      </c>
      <c r="AS93" s="11" t="str">
        <f aca="false">IF((P93+Q93)&gt;0,P93/(P93+Q93),"")</f>
        <v/>
      </c>
      <c r="AT93" s="12" t="str">
        <f aca="false">IF(AND(ISNUMBER(AR93),ISNUMBER(AS93)),(AR93-AS93)*100,"")</f>
        <v/>
      </c>
      <c r="AU93" s="12" t="n">
        <f aca="false">IF(G93&gt;0,I93/G93*1000,"")</f>
        <v>0</v>
      </c>
      <c r="AV93" s="12" t="n">
        <f aca="false">IF(G93&gt;0,H93/G93*10000,"")</f>
        <v>0</v>
      </c>
      <c r="AW93" s="12" t="n">
        <f aca="false">IF(G93&gt;0,W93/G93*10000,"")</f>
        <v>0</v>
      </c>
      <c r="AX93" s="12" t="str">
        <f aca="false">IF(I93&gt;0,K93/I93*100,"")</f>
        <v/>
      </c>
      <c r="AY93" s="9" t="str">
        <f aca="false">IF(AQ93&gt;=100,"ok",IF(AQ93&gt;0,"effectif faible (&lt;100)","aucune association"))</f>
        <v>aucune association</v>
      </c>
    </row>
    <row r="94" customFormat="false" ht="15" hidden="false" customHeight="false" outlineLevel="0" collapsed="false">
      <c r="A94" s="9" t="s">
        <v>304</v>
      </c>
      <c r="B94" s="9" t="s">
        <v>305</v>
      </c>
      <c r="C94" s="9" t="s">
        <v>133</v>
      </c>
      <c r="D94" s="9" t="s">
        <v>101</v>
      </c>
      <c r="E94" s="9" t="s">
        <v>125</v>
      </c>
      <c r="F94" s="9" t="s">
        <v>143</v>
      </c>
      <c r="G94" s="10" t="n">
        <v>914</v>
      </c>
      <c r="H94" s="10" t="n">
        <v>1</v>
      </c>
      <c r="I94" s="10" t="n">
        <v>19</v>
      </c>
      <c r="J94" s="10" t="n">
        <v>4</v>
      </c>
      <c r="K94" s="10" t="n">
        <v>3</v>
      </c>
      <c r="L94" s="10" t="n">
        <v>1</v>
      </c>
      <c r="M94" s="10" t="n">
        <v>0</v>
      </c>
      <c r="N94" s="10" t="n">
        <v>1</v>
      </c>
      <c r="O94" s="10" t="n">
        <v>1</v>
      </c>
      <c r="P94" s="10" t="n">
        <v>15</v>
      </c>
      <c r="Q94" s="10" t="n">
        <v>3</v>
      </c>
      <c r="R94" s="10" t="n">
        <v>0</v>
      </c>
      <c r="S94" s="10" t="n">
        <v>0</v>
      </c>
      <c r="T94" s="10" t="n">
        <v>0</v>
      </c>
      <c r="U94" s="10" t="n">
        <v>1</v>
      </c>
      <c r="V94" s="10" t="n">
        <v>0</v>
      </c>
      <c r="W94" s="10" t="n">
        <v>4</v>
      </c>
      <c r="X94" s="10" t="n">
        <v>1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1</v>
      </c>
      <c r="AG94" s="10" t="n">
        <v>1</v>
      </c>
      <c r="AH94" s="10" t="n">
        <v>1</v>
      </c>
      <c r="AI94" s="10" t="n">
        <v>1</v>
      </c>
      <c r="AJ94" s="10" t="n">
        <v>0</v>
      </c>
      <c r="AK94" s="10" t="n">
        <v>29</v>
      </c>
      <c r="AL94" s="10" t="n">
        <v>23</v>
      </c>
      <c r="AM94" s="10" t="n">
        <v>12</v>
      </c>
      <c r="AN94" s="10" t="n">
        <v>19</v>
      </c>
      <c r="AO94" s="10" t="n">
        <v>18</v>
      </c>
      <c r="AP94" s="10" t="n">
        <v>23</v>
      </c>
      <c r="AQ94" s="10" t="n">
        <f aca="false">I94+J94</f>
        <v>23</v>
      </c>
      <c r="AR94" s="11" t="n">
        <f aca="false">IF(AQ94&gt;0,I94/AQ94,"")</f>
        <v>0.826086956521739</v>
      </c>
      <c r="AS94" s="11" t="n">
        <f aca="false">IF((P94+Q94)&gt;0,P94/(P94+Q94),"")</f>
        <v>0.833333333333333</v>
      </c>
      <c r="AT94" s="12" t="n">
        <f aca="false">IF(AND(ISNUMBER(AR94),ISNUMBER(AS94)),(AR94-AS94)*100,"")</f>
        <v>-0.724637681159424</v>
      </c>
      <c r="AU94" s="12" t="n">
        <f aca="false">IF(G94&gt;0,I94/G94*1000,"")</f>
        <v>20.7877461706783</v>
      </c>
      <c r="AV94" s="12" t="n">
        <f aca="false">IF(G94&gt;0,H94/G94*10000,"")</f>
        <v>10.9409190371991</v>
      </c>
      <c r="AW94" s="12" t="n">
        <f aca="false">IF(G94&gt;0,W94/G94*10000,"")</f>
        <v>43.7636761487965</v>
      </c>
      <c r="AX94" s="12" t="n">
        <f aca="false">IF(I94&gt;0,K94/I94*100,"")</f>
        <v>15.7894736842105</v>
      </c>
      <c r="AY94" s="9" t="str">
        <f aca="false">IF(AQ94&gt;=100,"ok",IF(AQ94&gt;0,"effectif faible (&lt;100)","aucune association"))</f>
        <v>effectif faible (&lt;100)</v>
      </c>
    </row>
    <row r="95" customFormat="false" ht="15" hidden="false" customHeight="false" outlineLevel="0" collapsed="false">
      <c r="A95" s="9" t="s">
        <v>306</v>
      </c>
      <c r="B95" s="9" t="s">
        <v>307</v>
      </c>
      <c r="C95" s="9" t="s">
        <v>100</v>
      </c>
      <c r="D95" s="9" t="s">
        <v>107</v>
      </c>
      <c r="E95" s="9" t="s">
        <v>102</v>
      </c>
      <c r="F95" s="9" t="s">
        <v>103</v>
      </c>
      <c r="G95" s="10" t="n">
        <v>504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2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  <c r="AD95" s="10" t="n">
        <v>0</v>
      </c>
      <c r="AE95" s="10" t="n">
        <v>0</v>
      </c>
      <c r="AF95" s="10" t="n">
        <v>0</v>
      </c>
      <c r="AG95" s="10" t="n">
        <v>0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f aca="false">I95+J95</f>
        <v>0</v>
      </c>
      <c r="AR95" s="11" t="str">
        <f aca="false">IF(AQ95&gt;0,I95/AQ95,"")</f>
        <v/>
      </c>
      <c r="AS95" s="11" t="str">
        <f aca="false">IF((P95+Q95)&gt;0,P95/(P95+Q95),"")</f>
        <v/>
      </c>
      <c r="AT95" s="12" t="str">
        <f aca="false">IF(AND(ISNUMBER(AR95),ISNUMBER(AS95)),(AR95-AS95)*100,"")</f>
        <v/>
      </c>
      <c r="AU95" s="12" t="n">
        <f aca="false">IF(G95&gt;0,I95/G95*1000,"")</f>
        <v>0</v>
      </c>
      <c r="AV95" s="12" t="n">
        <f aca="false">IF(G95&gt;0,H95/G95*10000,"")</f>
        <v>0</v>
      </c>
      <c r="AW95" s="12" t="n">
        <f aca="false">IF(G95&gt;0,W95/G95*10000,"")</f>
        <v>39.6825396825397</v>
      </c>
      <c r="AX95" s="12" t="str">
        <f aca="false">IF(I95&gt;0,K95/I95*100,"")</f>
        <v/>
      </c>
      <c r="AY95" s="9" t="str">
        <f aca="false">IF(AQ95&gt;=100,"ok",IF(AQ95&gt;0,"effectif faible (&lt;100)","aucune association"))</f>
        <v>aucune association</v>
      </c>
    </row>
    <row r="96" customFormat="false" ht="15" hidden="false" customHeight="false" outlineLevel="0" collapsed="false">
      <c r="A96" s="9" t="s">
        <v>308</v>
      </c>
      <c r="B96" s="9" t="s">
        <v>309</v>
      </c>
      <c r="C96" s="9" t="s">
        <v>146</v>
      </c>
      <c r="D96" s="9" t="s">
        <v>101</v>
      </c>
      <c r="E96" s="9" t="s">
        <v>152</v>
      </c>
      <c r="F96" s="9" t="s">
        <v>117</v>
      </c>
      <c r="G96" s="10" t="n">
        <v>8518</v>
      </c>
      <c r="H96" s="10" t="n">
        <v>6</v>
      </c>
      <c r="I96" s="10" t="n">
        <v>1003</v>
      </c>
      <c r="J96" s="10" t="n">
        <v>606</v>
      </c>
      <c r="K96" s="10" t="n">
        <v>103</v>
      </c>
      <c r="L96" s="10" t="n">
        <v>21</v>
      </c>
      <c r="M96" s="10" t="n">
        <v>0</v>
      </c>
      <c r="N96" s="10" t="n">
        <v>2</v>
      </c>
      <c r="O96" s="10" t="n">
        <v>8</v>
      </c>
      <c r="P96" s="10" t="n">
        <v>999</v>
      </c>
      <c r="Q96" s="10" t="n">
        <v>692</v>
      </c>
      <c r="R96" s="10" t="n">
        <v>1</v>
      </c>
      <c r="S96" s="10" t="n">
        <v>96</v>
      </c>
      <c r="T96" s="10" t="n">
        <v>2</v>
      </c>
      <c r="U96" s="10" t="n">
        <v>6</v>
      </c>
      <c r="V96" s="10" t="n">
        <v>1</v>
      </c>
      <c r="W96" s="10" t="n">
        <v>11</v>
      </c>
      <c r="X96" s="10" t="n">
        <v>4</v>
      </c>
      <c r="Y96" s="10" t="n">
        <v>0</v>
      </c>
      <c r="Z96" s="10" t="n">
        <v>1</v>
      </c>
      <c r="AA96" s="10" t="n">
        <v>0</v>
      </c>
      <c r="AB96" s="10" t="n">
        <v>1</v>
      </c>
      <c r="AC96" s="10" t="n">
        <v>0</v>
      </c>
      <c r="AD96" s="10" t="n">
        <v>0</v>
      </c>
      <c r="AE96" s="10" t="n">
        <v>6</v>
      </c>
      <c r="AF96" s="10" t="n">
        <v>6</v>
      </c>
      <c r="AG96" s="10" t="n">
        <v>7</v>
      </c>
      <c r="AH96" s="10" t="n">
        <v>8</v>
      </c>
      <c r="AI96" s="10" t="n">
        <v>8</v>
      </c>
      <c r="AJ96" s="10" t="n">
        <v>533</v>
      </c>
      <c r="AK96" s="10" t="n">
        <v>1083</v>
      </c>
      <c r="AL96" s="10" t="n">
        <v>1413</v>
      </c>
      <c r="AM96" s="10" t="n">
        <v>1521</v>
      </c>
      <c r="AN96" s="10" t="n">
        <v>1650</v>
      </c>
      <c r="AO96" s="10" t="n">
        <v>1691</v>
      </c>
      <c r="AP96" s="10" t="n">
        <v>1609</v>
      </c>
      <c r="AQ96" s="10" t="n">
        <f aca="false">I96+J96</f>
        <v>1609</v>
      </c>
      <c r="AR96" s="11" t="n">
        <f aca="false">IF(AQ96&gt;0,I96/AQ96,"")</f>
        <v>0.623368551895587</v>
      </c>
      <c r="AS96" s="11" t="n">
        <f aca="false">IF((P96+Q96)&gt;0,P96/(P96+Q96),"")</f>
        <v>0.590774689532821</v>
      </c>
      <c r="AT96" s="12" t="n">
        <f aca="false">IF(AND(ISNUMBER(AR96),ISNUMBER(AS96)),(AR96-AS96)*100,"")</f>
        <v>3.25938623627665</v>
      </c>
      <c r="AU96" s="12" t="n">
        <f aca="false">IF(G96&gt;0,I96/G96*1000,"")</f>
        <v>117.750645691477</v>
      </c>
      <c r="AV96" s="12" t="n">
        <f aca="false">IF(G96&gt;0,H96/G96*10000,"")</f>
        <v>7.04390702042733</v>
      </c>
      <c r="AW96" s="12" t="n">
        <f aca="false">IF(G96&gt;0,W96/G96*10000,"")</f>
        <v>12.9138295374501</v>
      </c>
      <c r="AX96" s="12" t="n">
        <f aca="false">IF(I96&gt;0,K96/I96*100,"")</f>
        <v>10.2691924227318</v>
      </c>
      <c r="AY96" s="9" t="str">
        <f aca="false">IF(AQ96&gt;=100,"ok",IF(AQ96&gt;0,"effectif faible (&lt;100)","aucune association"))</f>
        <v>ok</v>
      </c>
    </row>
    <row r="97" customFormat="false" ht="15" hidden="false" customHeight="false" outlineLevel="0" collapsed="false">
      <c r="A97" s="9" t="s">
        <v>310</v>
      </c>
      <c r="B97" s="9" t="s">
        <v>311</v>
      </c>
      <c r="C97" s="9" t="s">
        <v>182</v>
      </c>
      <c r="D97" s="9" t="s">
        <v>107</v>
      </c>
      <c r="E97" s="9" t="s">
        <v>125</v>
      </c>
      <c r="F97" s="9"/>
      <c r="G97" s="10" t="n">
        <v>102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f aca="false">I97+J97</f>
        <v>0</v>
      </c>
      <c r="AR97" s="11" t="str">
        <f aca="false">IF(AQ97&gt;0,I97/AQ97,"")</f>
        <v/>
      </c>
      <c r="AS97" s="11" t="str">
        <f aca="false">IF((P97+Q97)&gt;0,P97/(P97+Q97),"")</f>
        <v/>
      </c>
      <c r="AT97" s="12" t="str">
        <f aca="false">IF(AND(ISNUMBER(AR97),ISNUMBER(AS97)),(AR97-AS97)*100,"")</f>
        <v/>
      </c>
      <c r="AU97" s="12" t="n">
        <f aca="false">IF(G97&gt;0,I97/G97*1000,"")</f>
        <v>0</v>
      </c>
      <c r="AV97" s="12" t="n">
        <f aca="false">IF(G97&gt;0,H97/G97*10000,"")</f>
        <v>0</v>
      </c>
      <c r="AW97" s="12" t="n">
        <f aca="false">IF(G97&gt;0,W97/G97*10000,"")</f>
        <v>0</v>
      </c>
      <c r="AX97" s="12" t="str">
        <f aca="false">IF(I97&gt;0,K97/I97*100,"")</f>
        <v/>
      </c>
      <c r="AY97" s="9" t="str">
        <f aca="false">IF(AQ97&gt;=100,"ok",IF(AQ97&gt;0,"effectif faible (&lt;100)","aucune association"))</f>
        <v>aucune association</v>
      </c>
    </row>
    <row r="98" customFormat="false" ht="15" hidden="false" customHeight="false" outlineLevel="0" collapsed="false">
      <c r="A98" s="9" t="s">
        <v>312</v>
      </c>
      <c r="B98" s="9" t="s">
        <v>313</v>
      </c>
      <c r="C98" s="9" t="s">
        <v>133</v>
      </c>
      <c r="D98" s="9" t="s">
        <v>107</v>
      </c>
      <c r="E98" s="9" t="s">
        <v>134</v>
      </c>
      <c r="F98" s="9"/>
      <c r="G98" s="10" t="n">
        <v>152</v>
      </c>
      <c r="H98" s="10" t="n">
        <v>1</v>
      </c>
      <c r="I98" s="10" t="n">
        <v>22</v>
      </c>
      <c r="J98" s="10" t="n">
        <v>83</v>
      </c>
      <c r="K98" s="10" t="n">
        <v>7</v>
      </c>
      <c r="L98" s="10" t="n">
        <v>0</v>
      </c>
      <c r="M98" s="10" t="n">
        <v>0</v>
      </c>
      <c r="N98" s="10" t="n">
        <v>0</v>
      </c>
      <c r="O98" s="10" t="n">
        <v>1</v>
      </c>
      <c r="P98" s="10" t="n">
        <v>108</v>
      </c>
      <c r="Q98" s="10" t="n">
        <v>300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1</v>
      </c>
      <c r="AF98" s="10" t="n">
        <v>1</v>
      </c>
      <c r="AG98" s="10" t="n">
        <v>1</v>
      </c>
      <c r="AH98" s="10" t="n">
        <v>1</v>
      </c>
      <c r="AI98" s="10" t="n">
        <v>1</v>
      </c>
      <c r="AJ98" s="10" t="n">
        <v>550</v>
      </c>
      <c r="AK98" s="10" t="n">
        <v>620</v>
      </c>
      <c r="AL98" s="10" t="n">
        <v>413</v>
      </c>
      <c r="AM98" s="10" t="n">
        <v>414</v>
      </c>
      <c r="AN98" s="10" t="n">
        <v>630</v>
      </c>
      <c r="AO98" s="10" t="n">
        <v>408</v>
      </c>
      <c r="AP98" s="10" t="n">
        <v>105</v>
      </c>
      <c r="AQ98" s="10" t="n">
        <f aca="false">I98+J98</f>
        <v>105</v>
      </c>
      <c r="AR98" s="11" t="n">
        <f aca="false">IF(AQ98&gt;0,I98/AQ98,"")</f>
        <v>0.20952380952381</v>
      </c>
      <c r="AS98" s="11" t="n">
        <f aca="false">IF((P98+Q98)&gt;0,P98/(P98+Q98),"")</f>
        <v>0.264705882352941</v>
      </c>
      <c r="AT98" s="12" t="n">
        <f aca="false">IF(AND(ISNUMBER(AR98),ISNUMBER(AS98)),(AR98-AS98)*100,"")</f>
        <v>-5.51820728291317</v>
      </c>
      <c r="AU98" s="12" t="n">
        <f aca="false">IF(G98&gt;0,I98/G98*1000,"")</f>
        <v>144.736842105263</v>
      </c>
      <c r="AV98" s="12" t="n">
        <f aca="false">IF(G98&gt;0,H98/G98*10000,"")</f>
        <v>65.7894736842105</v>
      </c>
      <c r="AW98" s="12" t="n">
        <f aca="false">IF(G98&gt;0,W98/G98*10000,"")</f>
        <v>0</v>
      </c>
      <c r="AX98" s="12" t="n">
        <f aca="false">IF(I98&gt;0,K98/I98*100,"")</f>
        <v>31.8181818181818</v>
      </c>
      <c r="AY98" s="9" t="str">
        <f aca="false">IF(AQ98&gt;=100,"ok",IF(AQ98&gt;0,"effectif faible (&lt;100)","aucune association"))</f>
        <v>ok</v>
      </c>
    </row>
    <row r="99" customFormat="false" ht="15" hidden="false" customHeight="false" outlineLevel="0" collapsed="false">
      <c r="A99" s="9" t="s">
        <v>314</v>
      </c>
      <c r="B99" s="9" t="s">
        <v>315</v>
      </c>
      <c r="C99" s="9" t="s">
        <v>182</v>
      </c>
      <c r="D99" s="9" t="s">
        <v>101</v>
      </c>
      <c r="E99" s="9" t="s">
        <v>125</v>
      </c>
      <c r="F99" s="9" t="s">
        <v>135</v>
      </c>
      <c r="G99" s="10" t="n">
        <v>4560</v>
      </c>
      <c r="H99" s="10" t="n">
        <v>2</v>
      </c>
      <c r="I99" s="10" t="n">
        <v>52</v>
      </c>
      <c r="J99" s="10" t="n">
        <v>65</v>
      </c>
      <c r="K99" s="10" t="n">
        <v>73</v>
      </c>
      <c r="L99" s="10" t="n">
        <v>0</v>
      </c>
      <c r="M99" s="10" t="n">
        <v>0</v>
      </c>
      <c r="N99" s="10" t="n">
        <v>0</v>
      </c>
      <c r="O99" s="10" t="n">
        <v>2</v>
      </c>
      <c r="P99" s="10" t="n">
        <v>56</v>
      </c>
      <c r="Q99" s="10" t="n">
        <v>71</v>
      </c>
      <c r="R99" s="10" t="n">
        <v>0</v>
      </c>
      <c r="S99" s="10" t="n">
        <v>0</v>
      </c>
      <c r="T99" s="10" t="n">
        <v>0</v>
      </c>
      <c r="U99" s="10" t="n">
        <v>2</v>
      </c>
      <c r="V99" s="10" t="n">
        <v>0</v>
      </c>
      <c r="W99" s="10" t="n">
        <v>4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1</v>
      </c>
      <c r="AG99" s="10" t="n">
        <v>1</v>
      </c>
      <c r="AH99" s="10" t="n">
        <v>1</v>
      </c>
      <c r="AI99" s="10" t="n">
        <v>2</v>
      </c>
      <c r="AJ99" s="10" t="n">
        <v>0</v>
      </c>
      <c r="AK99" s="10" t="n">
        <v>38</v>
      </c>
      <c r="AL99" s="10" t="n">
        <v>32</v>
      </c>
      <c r="AM99" s="10" t="n">
        <v>40</v>
      </c>
      <c r="AN99" s="10" t="n">
        <v>38</v>
      </c>
      <c r="AO99" s="10" t="n">
        <v>127</v>
      </c>
      <c r="AP99" s="10" t="n">
        <v>117</v>
      </c>
      <c r="AQ99" s="10" t="n">
        <f aca="false">I99+J99</f>
        <v>117</v>
      </c>
      <c r="AR99" s="11" t="n">
        <f aca="false">IF(AQ99&gt;0,I99/AQ99,"")</f>
        <v>0.444444444444444</v>
      </c>
      <c r="AS99" s="11" t="n">
        <f aca="false">IF((P99+Q99)&gt;0,P99/(P99+Q99),"")</f>
        <v>0.440944881889764</v>
      </c>
      <c r="AT99" s="12" t="n">
        <f aca="false">IF(AND(ISNUMBER(AR99),ISNUMBER(AS99)),(AR99-AS99)*100,"")</f>
        <v>0.349956255468065</v>
      </c>
      <c r="AU99" s="12" t="n">
        <f aca="false">IF(G99&gt;0,I99/G99*1000,"")</f>
        <v>11.4035087719298</v>
      </c>
      <c r="AV99" s="12" t="n">
        <f aca="false">IF(G99&gt;0,H99/G99*10000,"")</f>
        <v>4.3859649122807</v>
      </c>
      <c r="AW99" s="12" t="n">
        <f aca="false">IF(G99&gt;0,W99/G99*10000,"")</f>
        <v>8.7719298245614</v>
      </c>
      <c r="AX99" s="12" t="n">
        <f aca="false">IF(I99&gt;0,K99/I99*100,"")</f>
        <v>140.384615384615</v>
      </c>
      <c r="AY99" s="9" t="str">
        <f aca="false">IF(AQ99&gt;=100,"ok",IF(AQ99&gt;0,"effectif faible (&lt;100)","aucune association"))</f>
        <v>ok</v>
      </c>
    </row>
    <row r="100" customFormat="false" ht="15" hidden="false" customHeight="false" outlineLevel="0" collapsed="false">
      <c r="A100" s="9" t="s">
        <v>316</v>
      </c>
      <c r="B100" s="9" t="s">
        <v>317</v>
      </c>
      <c r="C100" s="9" t="s">
        <v>100</v>
      </c>
      <c r="D100" s="9" t="s">
        <v>107</v>
      </c>
      <c r="E100" s="9" t="s">
        <v>128</v>
      </c>
      <c r="F100" s="9" t="s">
        <v>103</v>
      </c>
      <c r="G100" s="10" t="n">
        <v>389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2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f aca="false">I100+J100</f>
        <v>0</v>
      </c>
      <c r="AR100" s="11" t="str">
        <f aca="false">IF(AQ100&gt;0,I100/AQ100,"")</f>
        <v/>
      </c>
      <c r="AS100" s="11" t="str">
        <f aca="false">IF((P100+Q100)&gt;0,P100/(P100+Q100),"")</f>
        <v/>
      </c>
      <c r="AT100" s="12" t="str">
        <f aca="false">IF(AND(ISNUMBER(AR100),ISNUMBER(AS100)),(AR100-AS100)*100,"")</f>
        <v/>
      </c>
      <c r="AU100" s="12" t="n">
        <f aca="false">IF(G100&gt;0,I100/G100*1000,"")</f>
        <v>0</v>
      </c>
      <c r="AV100" s="12" t="n">
        <f aca="false">IF(G100&gt;0,H100/G100*10000,"")</f>
        <v>0</v>
      </c>
      <c r="AW100" s="12" t="n">
        <f aca="false">IF(G100&gt;0,W100/G100*10000,"")</f>
        <v>51.413881748072</v>
      </c>
      <c r="AX100" s="12" t="str">
        <f aca="false">IF(I100&gt;0,K100/I100*100,"")</f>
        <v/>
      </c>
      <c r="AY100" s="9" t="str">
        <f aca="false">IF(AQ100&gt;=100,"ok",IF(AQ100&gt;0,"effectif faible (&lt;100)","aucune association"))</f>
        <v>aucune association</v>
      </c>
    </row>
    <row r="101" customFormat="false" ht="15" hidden="false" customHeight="false" outlineLevel="0" collapsed="false">
      <c r="A101" s="9" t="s">
        <v>318</v>
      </c>
      <c r="B101" s="9" t="s">
        <v>319</v>
      </c>
      <c r="C101" s="9" t="s">
        <v>106</v>
      </c>
      <c r="D101" s="9" t="s">
        <v>107</v>
      </c>
      <c r="E101" s="9" t="s">
        <v>102</v>
      </c>
      <c r="F101" s="9" t="s">
        <v>143</v>
      </c>
      <c r="G101" s="10" t="n">
        <v>496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3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f aca="false">I101+J101</f>
        <v>0</v>
      </c>
      <c r="AR101" s="11" t="str">
        <f aca="false">IF(AQ101&gt;0,I101/AQ101,"")</f>
        <v/>
      </c>
      <c r="AS101" s="11" t="str">
        <f aca="false">IF((P101+Q101)&gt;0,P101/(P101+Q101),"")</f>
        <v/>
      </c>
      <c r="AT101" s="12" t="str">
        <f aca="false">IF(AND(ISNUMBER(AR101),ISNUMBER(AS101)),(AR101-AS101)*100,"")</f>
        <v/>
      </c>
      <c r="AU101" s="12" t="n">
        <f aca="false">IF(G101&gt;0,I101/G101*1000,"")</f>
        <v>0</v>
      </c>
      <c r="AV101" s="12" t="n">
        <f aca="false">IF(G101&gt;0,H101/G101*10000,"")</f>
        <v>0</v>
      </c>
      <c r="AW101" s="12" t="n">
        <f aca="false">IF(G101&gt;0,W101/G101*10000,"")</f>
        <v>60.4838709677419</v>
      </c>
      <c r="AX101" s="12" t="str">
        <f aca="false">IF(I101&gt;0,K101/I101*100,"")</f>
        <v/>
      </c>
      <c r="AY101" s="9" t="str">
        <f aca="false">IF(AQ101&gt;=100,"ok",IF(AQ101&gt;0,"effectif faible (&lt;100)","aucune association"))</f>
        <v>aucune association</v>
      </c>
    </row>
    <row r="102" customFormat="false" ht="15" hidden="false" customHeight="false" outlineLevel="0" collapsed="false">
      <c r="A102" s="9" t="s">
        <v>320</v>
      </c>
      <c r="B102" s="9" t="s">
        <v>321</v>
      </c>
      <c r="C102" s="9" t="s">
        <v>216</v>
      </c>
      <c r="D102" s="9" t="s">
        <v>101</v>
      </c>
      <c r="E102" s="9" t="s">
        <v>125</v>
      </c>
      <c r="F102" s="9" t="s">
        <v>157</v>
      </c>
      <c r="G102" s="10" t="n">
        <v>12560</v>
      </c>
      <c r="H102" s="10" t="n">
        <v>3</v>
      </c>
      <c r="I102" s="10" t="n">
        <v>446</v>
      </c>
      <c r="J102" s="10" t="n">
        <v>184</v>
      </c>
      <c r="K102" s="10" t="n">
        <v>44</v>
      </c>
      <c r="L102" s="10" t="n">
        <v>2</v>
      </c>
      <c r="M102" s="10" t="n">
        <v>1</v>
      </c>
      <c r="N102" s="10" t="n">
        <v>1</v>
      </c>
      <c r="O102" s="10" t="n">
        <v>4</v>
      </c>
      <c r="P102" s="10" t="n">
        <v>427</v>
      </c>
      <c r="Q102" s="10" t="n">
        <v>594</v>
      </c>
      <c r="R102" s="10" t="n">
        <v>1</v>
      </c>
      <c r="S102" s="10" t="n">
        <v>160</v>
      </c>
      <c r="T102" s="10" t="n">
        <v>4</v>
      </c>
      <c r="U102" s="10" t="n">
        <v>3</v>
      </c>
      <c r="V102" s="10" t="n">
        <v>1</v>
      </c>
      <c r="W102" s="10" t="n">
        <v>15</v>
      </c>
      <c r="X102" s="10" t="n">
        <v>0</v>
      </c>
      <c r="Y102" s="10" t="n">
        <v>1</v>
      </c>
      <c r="Z102" s="10" t="n">
        <v>0</v>
      </c>
      <c r="AA102" s="10" t="n">
        <v>0</v>
      </c>
      <c r="AB102" s="10" t="n">
        <v>0</v>
      </c>
      <c r="AC102" s="10" t="n">
        <v>1</v>
      </c>
      <c r="AD102" s="10" t="n">
        <v>0</v>
      </c>
      <c r="AE102" s="10" t="n">
        <v>3</v>
      </c>
      <c r="AF102" s="10" t="n">
        <v>3</v>
      </c>
      <c r="AG102" s="10" t="n">
        <v>3</v>
      </c>
      <c r="AH102" s="10" t="n">
        <v>3</v>
      </c>
      <c r="AI102" s="10" t="n">
        <v>3</v>
      </c>
      <c r="AJ102" s="10" t="n">
        <v>860</v>
      </c>
      <c r="AK102" s="10" t="n">
        <v>753</v>
      </c>
      <c r="AL102" s="10" t="n">
        <v>1037</v>
      </c>
      <c r="AM102" s="10" t="n">
        <v>1137</v>
      </c>
      <c r="AN102" s="10" t="n">
        <v>547</v>
      </c>
      <c r="AO102" s="10" t="n">
        <v>1021</v>
      </c>
      <c r="AP102" s="10" t="n">
        <v>630</v>
      </c>
      <c r="AQ102" s="10" t="n">
        <f aca="false">I102+J102</f>
        <v>630</v>
      </c>
      <c r="AR102" s="11" t="n">
        <f aca="false">IF(AQ102&gt;0,I102/AQ102,"")</f>
        <v>0.707936507936508</v>
      </c>
      <c r="AS102" s="11" t="n">
        <f aca="false">IF((P102+Q102)&gt;0,P102/(P102+Q102),"")</f>
        <v>0.418217433888345</v>
      </c>
      <c r="AT102" s="12" t="n">
        <f aca="false">IF(AND(ISNUMBER(AR102),ISNUMBER(AS102)),(AR102-AS102)*100,"")</f>
        <v>28.9719074048163</v>
      </c>
      <c r="AU102" s="12" t="n">
        <f aca="false">IF(G102&gt;0,I102/G102*1000,"")</f>
        <v>35.5095541401274</v>
      </c>
      <c r="AV102" s="12" t="n">
        <f aca="false">IF(G102&gt;0,H102/G102*10000,"")</f>
        <v>2.38853503184713</v>
      </c>
      <c r="AW102" s="12" t="n">
        <f aca="false">IF(G102&gt;0,W102/G102*10000,"")</f>
        <v>11.9426751592357</v>
      </c>
      <c r="AX102" s="12" t="n">
        <f aca="false">IF(I102&gt;0,K102/I102*100,"")</f>
        <v>9.86547085201794</v>
      </c>
      <c r="AY102" s="9" t="str">
        <f aca="false">IF(AQ102&gt;=100,"ok",IF(AQ102&gt;0,"effectif faible (&lt;100)","aucune association"))</f>
        <v>ok</v>
      </c>
    </row>
    <row r="103" customFormat="false" ht="15" hidden="false" customHeight="false" outlineLevel="0" collapsed="false">
      <c r="A103" s="9" t="s">
        <v>322</v>
      </c>
      <c r="B103" s="9" t="s">
        <v>323</v>
      </c>
      <c r="C103" s="9" t="s">
        <v>133</v>
      </c>
      <c r="D103" s="9" t="s">
        <v>101</v>
      </c>
      <c r="E103" s="9" t="s">
        <v>134</v>
      </c>
      <c r="F103" s="9" t="s">
        <v>209</v>
      </c>
      <c r="G103" s="10" t="n">
        <v>5008</v>
      </c>
      <c r="H103" s="10" t="n">
        <v>3</v>
      </c>
      <c r="I103" s="10" t="n">
        <v>236</v>
      </c>
      <c r="J103" s="10" t="n">
        <v>407</v>
      </c>
      <c r="K103" s="10" t="n">
        <v>60</v>
      </c>
      <c r="L103" s="10" t="n">
        <v>1</v>
      </c>
      <c r="M103" s="10" t="n">
        <v>0</v>
      </c>
      <c r="N103" s="10" t="n">
        <v>1</v>
      </c>
      <c r="O103" s="10" t="n">
        <v>4</v>
      </c>
      <c r="P103" s="10" t="n">
        <v>268</v>
      </c>
      <c r="Q103" s="10" t="n">
        <v>382</v>
      </c>
      <c r="R103" s="10" t="n">
        <v>2</v>
      </c>
      <c r="S103" s="10" t="n">
        <v>269</v>
      </c>
      <c r="T103" s="10" t="n">
        <v>9</v>
      </c>
      <c r="U103" s="10" t="n">
        <v>4</v>
      </c>
      <c r="V103" s="10" t="n">
        <v>2</v>
      </c>
      <c r="W103" s="10" t="n">
        <v>13</v>
      </c>
      <c r="X103" s="10" t="n">
        <v>0</v>
      </c>
      <c r="Y103" s="10" t="n">
        <v>0</v>
      </c>
      <c r="Z103" s="10" t="n">
        <v>1</v>
      </c>
      <c r="AA103" s="10" t="n">
        <v>0</v>
      </c>
      <c r="AB103" s="10" t="n">
        <v>0</v>
      </c>
      <c r="AC103" s="10" t="n">
        <v>1</v>
      </c>
      <c r="AD103" s="10" t="n">
        <v>0</v>
      </c>
      <c r="AE103" s="10" t="n">
        <v>3</v>
      </c>
      <c r="AF103" s="10" t="n">
        <v>3</v>
      </c>
      <c r="AG103" s="10" t="n">
        <v>3</v>
      </c>
      <c r="AH103" s="10" t="n">
        <v>4</v>
      </c>
      <c r="AI103" s="10" t="n">
        <v>4</v>
      </c>
      <c r="AJ103" s="10" t="n">
        <v>330</v>
      </c>
      <c r="AK103" s="10" t="n">
        <v>367</v>
      </c>
      <c r="AL103" s="10" t="n">
        <v>370</v>
      </c>
      <c r="AM103" s="10" t="n">
        <v>441</v>
      </c>
      <c r="AN103" s="10" t="n">
        <v>457</v>
      </c>
      <c r="AO103" s="10" t="n">
        <v>650</v>
      </c>
      <c r="AP103" s="10" t="n">
        <v>643</v>
      </c>
      <c r="AQ103" s="10" t="n">
        <f aca="false">I103+J103</f>
        <v>643</v>
      </c>
      <c r="AR103" s="11" t="n">
        <f aca="false">IF(AQ103&gt;0,I103/AQ103,"")</f>
        <v>0.367029548989114</v>
      </c>
      <c r="AS103" s="11" t="n">
        <f aca="false">IF((P103+Q103)&gt;0,P103/(P103+Q103),"")</f>
        <v>0.412307692307692</v>
      </c>
      <c r="AT103" s="12" t="n">
        <f aca="false">IF(AND(ISNUMBER(AR103),ISNUMBER(AS103)),(AR103-AS103)*100,"")</f>
        <v>-4.52781433185788</v>
      </c>
      <c r="AU103" s="12" t="n">
        <f aca="false">IF(G103&gt;0,I103/G103*1000,"")</f>
        <v>47.1246006389776</v>
      </c>
      <c r="AV103" s="12" t="n">
        <f aca="false">IF(G103&gt;0,H103/G103*10000,"")</f>
        <v>5.99041533546326</v>
      </c>
      <c r="AW103" s="12" t="n">
        <f aca="false">IF(G103&gt;0,W103/G103*10000,"")</f>
        <v>25.9584664536741</v>
      </c>
      <c r="AX103" s="12" t="n">
        <f aca="false">IF(I103&gt;0,K103/I103*100,"")</f>
        <v>25.4237288135593</v>
      </c>
      <c r="AY103" s="9" t="str">
        <f aca="false">IF(AQ103&gt;=100,"ok",IF(AQ103&gt;0,"effectif faible (&lt;100)","aucune association"))</f>
        <v>ok</v>
      </c>
    </row>
    <row r="104" customFormat="false" ht="15" hidden="false" customHeight="false" outlineLevel="0" collapsed="false">
      <c r="A104" s="9" t="s">
        <v>324</v>
      </c>
      <c r="B104" s="9" t="s">
        <v>325</v>
      </c>
      <c r="C104" s="9" t="s">
        <v>133</v>
      </c>
      <c r="D104" s="9" t="s">
        <v>101</v>
      </c>
      <c r="E104" s="9" t="s">
        <v>134</v>
      </c>
      <c r="F104" s="9" t="s">
        <v>135</v>
      </c>
      <c r="G104" s="10" t="n">
        <v>1856</v>
      </c>
      <c r="H104" s="10" t="n">
        <v>1</v>
      </c>
      <c r="I104" s="10" t="n">
        <v>301</v>
      </c>
      <c r="J104" s="10" t="n">
        <v>48</v>
      </c>
      <c r="K104" s="10" t="n">
        <v>12</v>
      </c>
      <c r="L104" s="10" t="n">
        <v>9</v>
      </c>
      <c r="M104" s="10" t="n">
        <v>0</v>
      </c>
      <c r="N104" s="10" t="n">
        <v>1</v>
      </c>
      <c r="O104" s="10" t="n">
        <v>1</v>
      </c>
      <c r="P104" s="10" t="n">
        <v>276</v>
      </c>
      <c r="Q104" s="10" t="n">
        <v>66</v>
      </c>
      <c r="R104" s="10" t="n">
        <v>0</v>
      </c>
      <c r="S104" s="10" t="n">
        <v>0</v>
      </c>
      <c r="T104" s="10" t="n">
        <v>0</v>
      </c>
      <c r="U104" s="10" t="n">
        <v>1</v>
      </c>
      <c r="V104" s="10" t="n">
        <v>0</v>
      </c>
      <c r="W104" s="10" t="n">
        <v>4</v>
      </c>
      <c r="X104" s="10" t="n">
        <v>1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1</v>
      </c>
      <c r="AF104" s="10" t="n">
        <v>1</v>
      </c>
      <c r="AG104" s="10" t="n">
        <v>1</v>
      </c>
      <c r="AH104" s="10" t="n">
        <v>1</v>
      </c>
      <c r="AI104" s="10" t="n">
        <v>1</v>
      </c>
      <c r="AJ104" s="10" t="n">
        <v>222</v>
      </c>
      <c r="AK104" s="10" t="n">
        <v>253</v>
      </c>
      <c r="AL104" s="10" t="n">
        <v>199</v>
      </c>
      <c r="AM104" s="10" t="n">
        <v>191</v>
      </c>
      <c r="AN104" s="10" t="n">
        <v>241</v>
      </c>
      <c r="AO104" s="10" t="n">
        <v>342</v>
      </c>
      <c r="AP104" s="10" t="n">
        <v>349</v>
      </c>
      <c r="AQ104" s="10" t="n">
        <f aca="false">I104+J104</f>
        <v>349</v>
      </c>
      <c r="AR104" s="11" t="n">
        <f aca="false">IF(AQ104&gt;0,I104/AQ104,"")</f>
        <v>0.862464183381089</v>
      </c>
      <c r="AS104" s="11" t="n">
        <f aca="false">IF((P104+Q104)&gt;0,P104/(P104+Q104),"")</f>
        <v>0.807017543859649</v>
      </c>
      <c r="AT104" s="12" t="n">
        <f aca="false">IF(AND(ISNUMBER(AR104),ISNUMBER(AS104)),(AR104-AS104)*100,"")</f>
        <v>5.54466395214398</v>
      </c>
      <c r="AU104" s="12" t="n">
        <f aca="false">IF(G104&gt;0,I104/G104*1000,"")</f>
        <v>162.176724137931</v>
      </c>
      <c r="AV104" s="12" t="n">
        <f aca="false">IF(G104&gt;0,H104/G104*10000,"")</f>
        <v>5.38793103448276</v>
      </c>
      <c r="AW104" s="12" t="n">
        <f aca="false">IF(G104&gt;0,W104/G104*10000,"")</f>
        <v>21.551724137931</v>
      </c>
      <c r="AX104" s="12" t="n">
        <f aca="false">IF(I104&gt;0,K104/I104*100,"")</f>
        <v>3.98671096345515</v>
      </c>
      <c r="AY104" s="9" t="str">
        <f aca="false">IF(AQ104&gt;=100,"ok",IF(AQ104&gt;0,"effectif faible (&lt;100)","aucune association"))</f>
        <v>ok</v>
      </c>
    </row>
    <row r="105" customFormat="false" ht="15" hidden="false" customHeight="false" outlineLevel="0" collapsed="false">
      <c r="A105" s="9" t="s">
        <v>326</v>
      </c>
      <c r="B105" s="9" t="s">
        <v>327</v>
      </c>
      <c r="C105" s="9" t="s">
        <v>106</v>
      </c>
      <c r="D105" s="9" t="s">
        <v>101</v>
      </c>
      <c r="E105" s="9" t="s">
        <v>108</v>
      </c>
      <c r="F105" s="9" t="s">
        <v>209</v>
      </c>
      <c r="G105" s="10" t="n">
        <v>5779</v>
      </c>
      <c r="H105" s="10" t="n">
        <v>2</v>
      </c>
      <c r="I105" s="10" t="n">
        <v>152</v>
      </c>
      <c r="J105" s="10" t="n">
        <v>37</v>
      </c>
      <c r="K105" s="10" t="n">
        <v>12</v>
      </c>
      <c r="L105" s="10" t="n">
        <v>4</v>
      </c>
      <c r="M105" s="10" t="n">
        <v>1</v>
      </c>
      <c r="N105" s="10" t="n">
        <v>1</v>
      </c>
      <c r="O105" s="10" t="n">
        <v>2</v>
      </c>
      <c r="P105" s="10" t="n">
        <v>142</v>
      </c>
      <c r="Q105" s="10" t="n">
        <v>31</v>
      </c>
      <c r="R105" s="10" t="n">
        <v>0</v>
      </c>
      <c r="S105" s="10" t="n">
        <v>0</v>
      </c>
      <c r="T105" s="10" t="n">
        <v>0</v>
      </c>
      <c r="U105" s="10" t="n">
        <v>2</v>
      </c>
      <c r="V105" s="10" t="n">
        <v>0</v>
      </c>
      <c r="W105" s="10" t="n">
        <v>14</v>
      </c>
      <c r="X105" s="10" t="n">
        <v>5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1</v>
      </c>
      <c r="AF105" s="10" t="n">
        <v>1</v>
      </c>
      <c r="AG105" s="10" t="n">
        <v>1</v>
      </c>
      <c r="AH105" s="10" t="n">
        <v>1</v>
      </c>
      <c r="AI105" s="10" t="n">
        <v>2</v>
      </c>
      <c r="AJ105" s="10" t="n">
        <v>29</v>
      </c>
      <c r="AK105" s="10" t="n">
        <v>37</v>
      </c>
      <c r="AL105" s="10" t="n">
        <v>20</v>
      </c>
      <c r="AM105" s="10" t="n">
        <v>33</v>
      </c>
      <c r="AN105" s="10" t="n">
        <v>157</v>
      </c>
      <c r="AO105" s="10" t="n">
        <v>173</v>
      </c>
      <c r="AP105" s="10" t="n">
        <v>189</v>
      </c>
      <c r="AQ105" s="10" t="n">
        <f aca="false">I105+J105</f>
        <v>189</v>
      </c>
      <c r="AR105" s="11" t="n">
        <f aca="false">IF(AQ105&gt;0,I105/AQ105,"")</f>
        <v>0.804232804232804</v>
      </c>
      <c r="AS105" s="11" t="n">
        <f aca="false">IF((P105+Q105)&gt;0,P105/(P105+Q105),"")</f>
        <v>0.820809248554913</v>
      </c>
      <c r="AT105" s="12" t="n">
        <f aca="false">IF(AND(ISNUMBER(AR105),ISNUMBER(AS105)),(AR105-AS105)*100,"")</f>
        <v>-1.65764443221091</v>
      </c>
      <c r="AU105" s="12" t="n">
        <f aca="false">IF(G105&gt;0,I105/G105*1000,"")</f>
        <v>26.3021283959163</v>
      </c>
      <c r="AV105" s="12" t="n">
        <f aca="false">IF(G105&gt;0,H105/G105*10000,"")</f>
        <v>3.46080636788372</v>
      </c>
      <c r="AW105" s="12" t="n">
        <f aca="false">IF(G105&gt;0,W105/G105*10000,"")</f>
        <v>24.225644575186</v>
      </c>
      <c r="AX105" s="12" t="n">
        <f aca="false">IF(I105&gt;0,K105/I105*100,"")</f>
        <v>7.89473684210526</v>
      </c>
      <c r="AY105" s="9" t="str">
        <f aca="false">IF(AQ105&gt;=100,"ok",IF(AQ105&gt;0,"effectif faible (&lt;100)","aucune association"))</f>
        <v>ok</v>
      </c>
    </row>
    <row r="106" customFormat="false" ht="15" hidden="false" customHeight="false" outlineLevel="0" collapsed="false">
      <c r="A106" s="9" t="s">
        <v>328</v>
      </c>
      <c r="B106" s="9" t="s">
        <v>329</v>
      </c>
      <c r="C106" s="9" t="s">
        <v>133</v>
      </c>
      <c r="D106" s="9" t="s">
        <v>107</v>
      </c>
      <c r="E106" s="9" t="s">
        <v>134</v>
      </c>
      <c r="F106" s="9" t="s">
        <v>143</v>
      </c>
      <c r="G106" s="10" t="n">
        <v>734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2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f aca="false">I106+J106</f>
        <v>0</v>
      </c>
      <c r="AR106" s="11" t="str">
        <f aca="false">IF(AQ106&gt;0,I106/AQ106,"")</f>
        <v/>
      </c>
      <c r="AS106" s="11" t="str">
        <f aca="false">IF((P106+Q106)&gt;0,P106/(P106+Q106),"")</f>
        <v/>
      </c>
      <c r="AT106" s="12" t="str">
        <f aca="false">IF(AND(ISNUMBER(AR106),ISNUMBER(AS106)),(AR106-AS106)*100,"")</f>
        <v/>
      </c>
      <c r="AU106" s="12" t="n">
        <f aca="false">IF(G106&gt;0,I106/G106*1000,"")</f>
        <v>0</v>
      </c>
      <c r="AV106" s="12" t="n">
        <f aca="false">IF(G106&gt;0,H106/G106*10000,"")</f>
        <v>0</v>
      </c>
      <c r="AW106" s="12" t="n">
        <f aca="false">IF(G106&gt;0,W106/G106*10000,"")</f>
        <v>27.2479564032698</v>
      </c>
      <c r="AX106" s="12" t="str">
        <f aca="false">IF(I106&gt;0,K106/I106*100,"")</f>
        <v/>
      </c>
      <c r="AY106" s="9" t="str">
        <f aca="false">IF(AQ106&gt;=100,"ok",IF(AQ106&gt;0,"effectif faible (&lt;100)","aucune association"))</f>
        <v>aucune association</v>
      </c>
    </row>
    <row r="107" customFormat="false" ht="15" hidden="false" customHeight="false" outlineLevel="0" collapsed="false">
      <c r="A107" s="9" t="s">
        <v>330</v>
      </c>
      <c r="B107" s="9" t="s">
        <v>331</v>
      </c>
      <c r="C107" s="9" t="s">
        <v>115</v>
      </c>
      <c r="D107" s="9" t="s">
        <v>101</v>
      </c>
      <c r="E107" s="9" t="s">
        <v>116</v>
      </c>
      <c r="F107" s="9" t="s">
        <v>117</v>
      </c>
      <c r="G107" s="10" t="n">
        <v>3012</v>
      </c>
      <c r="H107" s="10" t="n">
        <v>2</v>
      </c>
      <c r="I107" s="10" t="n">
        <v>126</v>
      </c>
      <c r="J107" s="10" t="n">
        <v>283</v>
      </c>
      <c r="K107" s="10" t="n">
        <v>107</v>
      </c>
      <c r="L107" s="10" t="n">
        <v>1</v>
      </c>
      <c r="M107" s="10" t="n">
        <v>0</v>
      </c>
      <c r="N107" s="10" t="n">
        <v>0</v>
      </c>
      <c r="O107" s="10" t="n">
        <v>2</v>
      </c>
      <c r="P107" s="10" t="n">
        <v>127</v>
      </c>
      <c r="Q107" s="10" t="n">
        <v>276</v>
      </c>
      <c r="R107" s="10" t="n">
        <v>0</v>
      </c>
      <c r="S107" s="10" t="n">
        <v>0</v>
      </c>
      <c r="T107" s="10" t="n">
        <v>0</v>
      </c>
      <c r="U107" s="10" t="n">
        <v>2</v>
      </c>
      <c r="V107" s="10" t="n">
        <v>0</v>
      </c>
      <c r="W107" s="10" t="n">
        <v>4</v>
      </c>
      <c r="X107" s="10" t="n">
        <v>1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2</v>
      </c>
      <c r="AF107" s="10" t="n">
        <v>2</v>
      </c>
      <c r="AG107" s="10" t="n">
        <v>2</v>
      </c>
      <c r="AH107" s="10" t="n">
        <v>2</v>
      </c>
      <c r="AI107" s="10" t="n">
        <v>2</v>
      </c>
      <c r="AJ107" s="10" t="n">
        <v>189</v>
      </c>
      <c r="AK107" s="10" t="n">
        <v>193</v>
      </c>
      <c r="AL107" s="10" t="n">
        <v>202</v>
      </c>
      <c r="AM107" s="10" t="n">
        <v>226</v>
      </c>
      <c r="AN107" s="10" t="n">
        <v>282</v>
      </c>
      <c r="AO107" s="10" t="n">
        <v>403</v>
      </c>
      <c r="AP107" s="10" t="n">
        <v>409</v>
      </c>
      <c r="AQ107" s="10" t="n">
        <f aca="false">I107+J107</f>
        <v>409</v>
      </c>
      <c r="AR107" s="11" t="n">
        <f aca="false">IF(AQ107&gt;0,I107/AQ107,"")</f>
        <v>0.308068459657702</v>
      </c>
      <c r="AS107" s="11" t="n">
        <f aca="false">IF((P107+Q107)&gt;0,P107/(P107+Q107),"")</f>
        <v>0.315136476426799</v>
      </c>
      <c r="AT107" s="12" t="n">
        <f aca="false">IF(AND(ISNUMBER(AR107),ISNUMBER(AS107)),(AR107-AS107)*100,"")</f>
        <v>-0.70680167690973</v>
      </c>
      <c r="AU107" s="12" t="n">
        <f aca="false">IF(G107&gt;0,I107/G107*1000,"")</f>
        <v>41.8326693227092</v>
      </c>
      <c r="AV107" s="12" t="n">
        <f aca="false">IF(G107&gt;0,H107/G107*10000,"")</f>
        <v>6.64010624169987</v>
      </c>
      <c r="AW107" s="12" t="n">
        <f aca="false">IF(G107&gt;0,W107/G107*10000,"")</f>
        <v>13.2802124833997</v>
      </c>
      <c r="AX107" s="12" t="n">
        <f aca="false">IF(I107&gt;0,K107/I107*100,"")</f>
        <v>84.9206349206349</v>
      </c>
      <c r="AY107" s="9" t="str">
        <f aca="false">IF(AQ107&gt;=100,"ok",IF(AQ107&gt;0,"effectif faible (&lt;100)","aucune association"))</f>
        <v>ok</v>
      </c>
    </row>
    <row r="108" customFormat="false" ht="15" hidden="false" customHeight="false" outlineLevel="0" collapsed="false">
      <c r="A108" s="9" t="s">
        <v>332</v>
      </c>
      <c r="B108" s="9" t="s">
        <v>333</v>
      </c>
      <c r="C108" s="9" t="s">
        <v>100</v>
      </c>
      <c r="D108" s="9" t="s">
        <v>101</v>
      </c>
      <c r="E108" s="9" t="s">
        <v>102</v>
      </c>
      <c r="F108" s="9" t="s">
        <v>143</v>
      </c>
      <c r="G108" s="10" t="n">
        <v>3594</v>
      </c>
      <c r="H108" s="10" t="n">
        <v>8</v>
      </c>
      <c r="I108" s="10" t="n">
        <v>239</v>
      </c>
      <c r="J108" s="10" t="n">
        <v>693</v>
      </c>
      <c r="K108" s="10" t="n">
        <v>67</v>
      </c>
      <c r="L108" s="10" t="n">
        <v>4</v>
      </c>
      <c r="M108" s="10" t="n">
        <v>3</v>
      </c>
      <c r="N108" s="10" t="n">
        <v>0</v>
      </c>
      <c r="O108" s="10" t="n">
        <v>9</v>
      </c>
      <c r="P108" s="10" t="n">
        <v>210</v>
      </c>
      <c r="Q108" s="10" t="n">
        <v>966</v>
      </c>
      <c r="R108" s="10" t="n">
        <v>0</v>
      </c>
      <c r="S108" s="10" t="n">
        <v>0</v>
      </c>
      <c r="T108" s="10" t="n">
        <v>0</v>
      </c>
      <c r="U108" s="10" t="n">
        <v>9</v>
      </c>
      <c r="V108" s="10" t="n">
        <v>0</v>
      </c>
      <c r="W108" s="10" t="n">
        <v>8</v>
      </c>
      <c r="X108" s="10" t="n">
        <v>2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10</v>
      </c>
      <c r="AF108" s="10" t="n">
        <v>9</v>
      </c>
      <c r="AG108" s="10" t="n">
        <v>8</v>
      </c>
      <c r="AH108" s="10" t="n">
        <v>8</v>
      </c>
      <c r="AI108" s="10" t="n">
        <v>8</v>
      </c>
      <c r="AJ108" s="10" t="n">
        <v>906</v>
      </c>
      <c r="AK108" s="10" t="n">
        <v>815</v>
      </c>
      <c r="AL108" s="10" t="n">
        <v>674</v>
      </c>
      <c r="AM108" s="10" t="n">
        <v>715</v>
      </c>
      <c r="AN108" s="10" t="n">
        <v>770</v>
      </c>
      <c r="AO108" s="10" t="n">
        <v>1176</v>
      </c>
      <c r="AP108" s="10" t="n">
        <v>932</v>
      </c>
      <c r="AQ108" s="10" t="n">
        <f aca="false">I108+J108</f>
        <v>932</v>
      </c>
      <c r="AR108" s="11" t="n">
        <f aca="false">IF(AQ108&gt;0,I108/AQ108,"")</f>
        <v>0.256437768240343</v>
      </c>
      <c r="AS108" s="11" t="n">
        <f aca="false">IF((P108+Q108)&gt;0,P108/(P108+Q108),"")</f>
        <v>0.178571428571429</v>
      </c>
      <c r="AT108" s="12" t="n">
        <f aca="false">IF(AND(ISNUMBER(AR108),ISNUMBER(AS108)),(AR108-AS108)*100,"")</f>
        <v>7.78663396689148</v>
      </c>
      <c r="AU108" s="12" t="n">
        <f aca="false">IF(G108&gt;0,I108/G108*1000,"")</f>
        <v>66.4997217584864</v>
      </c>
      <c r="AV108" s="12" t="n">
        <f aca="false">IF(G108&gt;0,H108/G108*10000,"")</f>
        <v>22.2593210907067</v>
      </c>
      <c r="AW108" s="12" t="n">
        <f aca="false">IF(G108&gt;0,W108/G108*10000,"")</f>
        <v>22.2593210907067</v>
      </c>
      <c r="AX108" s="12" t="n">
        <f aca="false">IF(I108&gt;0,K108/I108*100,"")</f>
        <v>28.0334728033473</v>
      </c>
      <c r="AY108" s="9" t="str">
        <f aca="false">IF(AQ108&gt;=100,"ok",IF(AQ108&gt;0,"effectif faible (&lt;100)","aucune association"))</f>
        <v>ok</v>
      </c>
    </row>
    <row r="109" customFormat="false" ht="15" hidden="false" customHeight="false" outlineLevel="0" collapsed="false">
      <c r="A109" s="9" t="s">
        <v>334</v>
      </c>
      <c r="B109" s="9" t="s">
        <v>335</v>
      </c>
      <c r="C109" s="9" t="s">
        <v>216</v>
      </c>
      <c r="D109" s="9" t="s">
        <v>101</v>
      </c>
      <c r="E109" s="9" t="s">
        <v>125</v>
      </c>
      <c r="F109" s="9" t="s">
        <v>157</v>
      </c>
      <c r="G109" s="10" t="n">
        <v>6022</v>
      </c>
      <c r="H109" s="10" t="n">
        <v>5</v>
      </c>
      <c r="I109" s="10" t="n">
        <v>171</v>
      </c>
      <c r="J109" s="10" t="n">
        <v>642</v>
      </c>
      <c r="K109" s="10" t="n">
        <v>96</v>
      </c>
      <c r="L109" s="10" t="n">
        <v>1</v>
      </c>
      <c r="M109" s="10" t="n">
        <v>1</v>
      </c>
      <c r="N109" s="10" t="n">
        <v>1</v>
      </c>
      <c r="O109" s="10" t="n">
        <v>3</v>
      </c>
      <c r="P109" s="10" t="n">
        <v>140</v>
      </c>
      <c r="Q109" s="10" t="n">
        <v>568</v>
      </c>
      <c r="R109" s="10" t="n">
        <v>0</v>
      </c>
      <c r="S109" s="10" t="n">
        <v>0</v>
      </c>
      <c r="T109" s="10" t="n">
        <v>0</v>
      </c>
      <c r="U109" s="10" t="n">
        <v>5</v>
      </c>
      <c r="V109" s="10" t="n">
        <v>0</v>
      </c>
      <c r="W109" s="10" t="n">
        <v>11</v>
      </c>
      <c r="X109" s="10" t="n">
        <v>4</v>
      </c>
      <c r="Y109" s="10" t="n">
        <v>0</v>
      </c>
      <c r="Z109" s="10" t="n">
        <v>0</v>
      </c>
      <c r="AA109" s="10" t="n">
        <v>1</v>
      </c>
      <c r="AB109" s="10" t="n">
        <v>0</v>
      </c>
      <c r="AC109" s="10" t="n">
        <v>0</v>
      </c>
      <c r="AD109" s="10" t="n">
        <v>0</v>
      </c>
      <c r="AE109" s="10" t="n">
        <v>5</v>
      </c>
      <c r="AF109" s="10" t="n">
        <v>3</v>
      </c>
      <c r="AG109" s="10" t="n">
        <v>4</v>
      </c>
      <c r="AH109" s="10" t="n">
        <v>2</v>
      </c>
      <c r="AI109" s="10" t="n">
        <v>2</v>
      </c>
      <c r="AJ109" s="10" t="n">
        <v>648</v>
      </c>
      <c r="AK109" s="10" t="n">
        <v>467</v>
      </c>
      <c r="AL109" s="10" t="n">
        <v>424</v>
      </c>
      <c r="AM109" s="10" t="n">
        <v>387</v>
      </c>
      <c r="AN109" s="10" t="n">
        <v>559</v>
      </c>
      <c r="AO109" s="10" t="n">
        <v>708</v>
      </c>
      <c r="AP109" s="10" t="n">
        <v>813</v>
      </c>
      <c r="AQ109" s="10" t="n">
        <f aca="false">I109+J109</f>
        <v>813</v>
      </c>
      <c r="AR109" s="11" t="n">
        <f aca="false">IF(AQ109&gt;0,I109/AQ109,"")</f>
        <v>0.210332103321033</v>
      </c>
      <c r="AS109" s="11" t="n">
        <f aca="false">IF((P109+Q109)&gt;0,P109/(P109+Q109),"")</f>
        <v>0.19774011299435</v>
      </c>
      <c r="AT109" s="12" t="n">
        <f aca="false">IF(AND(ISNUMBER(AR109),ISNUMBER(AS109)),(AR109-AS109)*100,"")</f>
        <v>1.25919903266829</v>
      </c>
      <c r="AU109" s="12" t="n">
        <f aca="false">IF(G109&gt;0,I109/G109*1000,"")</f>
        <v>28.3958817668549</v>
      </c>
      <c r="AV109" s="12" t="n">
        <f aca="false">IF(G109&gt;0,H109/G109*10000,"")</f>
        <v>8.30288940551312</v>
      </c>
      <c r="AW109" s="12" t="n">
        <f aca="false">IF(G109&gt;0,W109/G109*10000,"")</f>
        <v>18.2663566921289</v>
      </c>
      <c r="AX109" s="12" t="n">
        <f aca="false">IF(I109&gt;0,K109/I109*100,"")</f>
        <v>56.140350877193</v>
      </c>
      <c r="AY109" s="9" t="str">
        <f aca="false">IF(AQ109&gt;=100,"ok",IF(AQ109&gt;0,"effectif faible (&lt;100)","aucune association"))</f>
        <v>ok</v>
      </c>
    </row>
    <row r="110" customFormat="false" ht="15" hidden="false" customHeight="false" outlineLevel="0" collapsed="false">
      <c r="A110" s="9" t="s">
        <v>336</v>
      </c>
      <c r="B110" s="9" t="s">
        <v>337</v>
      </c>
      <c r="C110" s="9" t="s">
        <v>106</v>
      </c>
      <c r="D110" s="9" t="s">
        <v>107</v>
      </c>
      <c r="E110" s="9" t="s">
        <v>108</v>
      </c>
      <c r="F110" s="9" t="s">
        <v>103</v>
      </c>
      <c r="G110" s="10" t="n">
        <v>208</v>
      </c>
      <c r="H110" s="10" t="n">
        <v>1</v>
      </c>
      <c r="I110" s="10" t="n">
        <v>65</v>
      </c>
      <c r="J110" s="10" t="n">
        <v>147</v>
      </c>
      <c r="K110" s="10" t="n">
        <v>2</v>
      </c>
      <c r="L110" s="10" t="n">
        <v>1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1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0</v>
      </c>
      <c r="AK110" s="10" t="n">
        <v>0</v>
      </c>
      <c r="AL110" s="10" t="n">
        <v>0</v>
      </c>
      <c r="AM110" s="10" t="n">
        <v>0</v>
      </c>
      <c r="AN110" s="10" t="n">
        <v>0</v>
      </c>
      <c r="AO110" s="10" t="n">
        <v>0</v>
      </c>
      <c r="AP110" s="10" t="n">
        <v>212</v>
      </c>
      <c r="AQ110" s="10" t="n">
        <f aca="false">I110+J110</f>
        <v>212</v>
      </c>
      <c r="AR110" s="11" t="n">
        <f aca="false">IF(AQ110&gt;0,I110/AQ110,"")</f>
        <v>0.306603773584906</v>
      </c>
      <c r="AS110" s="11" t="str">
        <f aca="false">IF((P110+Q110)&gt;0,P110/(P110+Q110),"")</f>
        <v/>
      </c>
      <c r="AT110" s="12" t="str">
        <f aca="false">IF(AND(ISNUMBER(AR110),ISNUMBER(AS110)),(AR110-AS110)*100,"")</f>
        <v/>
      </c>
      <c r="AU110" s="12" t="n">
        <f aca="false">IF(G110&gt;0,I110/G110*1000,"")</f>
        <v>312.5</v>
      </c>
      <c r="AV110" s="12" t="n">
        <f aca="false">IF(G110&gt;0,H110/G110*10000,"")</f>
        <v>48.0769230769231</v>
      </c>
      <c r="AW110" s="12" t="n">
        <f aca="false">IF(G110&gt;0,W110/G110*10000,"")</f>
        <v>48.0769230769231</v>
      </c>
      <c r="AX110" s="12" t="n">
        <f aca="false">IF(I110&gt;0,K110/I110*100,"")</f>
        <v>3.07692307692308</v>
      </c>
      <c r="AY110" s="9" t="str">
        <f aca="false">IF(AQ110&gt;=100,"ok",IF(AQ110&gt;0,"effectif faible (&lt;100)","aucune association"))</f>
        <v>ok</v>
      </c>
    </row>
    <row r="111" customFormat="false" ht="15" hidden="false" customHeight="false" outlineLevel="0" collapsed="false">
      <c r="A111" s="9" t="s">
        <v>338</v>
      </c>
      <c r="B111" s="9" t="s">
        <v>339</v>
      </c>
      <c r="C111" s="9" t="s">
        <v>100</v>
      </c>
      <c r="D111" s="9" t="s">
        <v>107</v>
      </c>
      <c r="E111" s="9" t="s">
        <v>128</v>
      </c>
      <c r="F111" s="9" t="s">
        <v>103</v>
      </c>
      <c r="G111" s="10" t="n">
        <v>62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1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f aca="false">I111+J111</f>
        <v>0</v>
      </c>
      <c r="AR111" s="11" t="str">
        <f aca="false">IF(AQ111&gt;0,I111/AQ111,"")</f>
        <v/>
      </c>
      <c r="AS111" s="11" t="str">
        <f aca="false">IF((P111+Q111)&gt;0,P111/(P111+Q111),"")</f>
        <v/>
      </c>
      <c r="AT111" s="12" t="str">
        <f aca="false">IF(AND(ISNUMBER(AR111),ISNUMBER(AS111)),(AR111-AS111)*100,"")</f>
        <v/>
      </c>
      <c r="AU111" s="12" t="n">
        <f aca="false">IF(G111&gt;0,I111/G111*1000,"")</f>
        <v>0</v>
      </c>
      <c r="AV111" s="12" t="n">
        <f aca="false">IF(G111&gt;0,H111/G111*10000,"")</f>
        <v>0</v>
      </c>
      <c r="AW111" s="12" t="n">
        <f aca="false">IF(G111&gt;0,W111/G111*10000,"")</f>
        <v>161.290322580645</v>
      </c>
      <c r="AX111" s="12" t="str">
        <f aca="false">IF(I111&gt;0,K111/I111*100,"")</f>
        <v/>
      </c>
      <c r="AY111" s="9" t="str">
        <f aca="false">IF(AQ111&gt;=100,"ok",IF(AQ111&gt;0,"effectif faible (&lt;100)","aucune association"))</f>
        <v>aucune association</v>
      </c>
    </row>
    <row r="112" customFormat="false" ht="15" hidden="false" customHeight="false" outlineLevel="0" collapsed="false">
      <c r="A112" s="9" t="s">
        <v>340</v>
      </c>
      <c r="B112" s="9" t="s">
        <v>341</v>
      </c>
      <c r="C112" s="9" t="s">
        <v>106</v>
      </c>
      <c r="D112" s="9" t="s">
        <v>101</v>
      </c>
      <c r="E112" s="9" t="s">
        <v>173</v>
      </c>
      <c r="F112" s="9" t="s">
        <v>117</v>
      </c>
      <c r="G112" s="10" t="n">
        <v>6184</v>
      </c>
      <c r="H112" s="10" t="n">
        <v>4</v>
      </c>
      <c r="I112" s="10" t="n">
        <v>73</v>
      </c>
      <c r="J112" s="10" t="n">
        <v>592</v>
      </c>
      <c r="K112" s="10" t="n">
        <v>89</v>
      </c>
      <c r="L112" s="10" t="n">
        <v>1</v>
      </c>
      <c r="M112" s="10" t="n">
        <v>1</v>
      </c>
      <c r="N112" s="10" t="n">
        <v>0</v>
      </c>
      <c r="O112" s="10" t="n">
        <v>7</v>
      </c>
      <c r="P112" s="10" t="n">
        <v>209</v>
      </c>
      <c r="Q112" s="10" t="n">
        <v>883</v>
      </c>
      <c r="R112" s="10" t="n">
        <v>0</v>
      </c>
      <c r="S112" s="10" t="n">
        <v>0</v>
      </c>
      <c r="T112" s="10" t="n">
        <v>0</v>
      </c>
      <c r="U112" s="10" t="n">
        <v>5</v>
      </c>
      <c r="V112" s="10" t="n">
        <v>0</v>
      </c>
      <c r="W112" s="10" t="n">
        <v>6</v>
      </c>
      <c r="X112" s="10" t="n">
        <v>1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7</v>
      </c>
      <c r="AF112" s="10" t="n">
        <v>7</v>
      </c>
      <c r="AG112" s="10" t="n">
        <v>7</v>
      </c>
      <c r="AH112" s="10" t="n">
        <v>8</v>
      </c>
      <c r="AI112" s="10" t="n">
        <v>7</v>
      </c>
      <c r="AJ112" s="10" t="n">
        <v>932</v>
      </c>
      <c r="AK112" s="10" t="n">
        <v>985</v>
      </c>
      <c r="AL112" s="10" t="n">
        <v>574</v>
      </c>
      <c r="AM112" s="10" t="n">
        <v>1164</v>
      </c>
      <c r="AN112" s="10" t="n">
        <v>1072</v>
      </c>
      <c r="AO112" s="10" t="n">
        <v>1092</v>
      </c>
      <c r="AP112" s="10" t="n">
        <v>665</v>
      </c>
      <c r="AQ112" s="10" t="n">
        <f aca="false">I112+J112</f>
        <v>665</v>
      </c>
      <c r="AR112" s="11" t="n">
        <f aca="false">IF(AQ112&gt;0,I112/AQ112,"")</f>
        <v>0.109774436090226</v>
      </c>
      <c r="AS112" s="11" t="n">
        <f aca="false">IF((P112+Q112)&gt;0,P112/(P112+Q112),"")</f>
        <v>0.191391941391941</v>
      </c>
      <c r="AT112" s="12" t="n">
        <f aca="false">IF(AND(ISNUMBER(AR112),ISNUMBER(AS112)),(AR112-AS112)*100,"")</f>
        <v>-8.16175053017158</v>
      </c>
      <c r="AU112" s="12" t="n">
        <f aca="false">IF(G112&gt;0,I112/G112*1000,"")</f>
        <v>11.8046571798189</v>
      </c>
      <c r="AV112" s="12" t="n">
        <f aca="false">IF(G112&gt;0,H112/G112*10000,"")</f>
        <v>6.46830530401035</v>
      </c>
      <c r="AW112" s="12" t="n">
        <f aca="false">IF(G112&gt;0,W112/G112*10000,"")</f>
        <v>9.70245795601552</v>
      </c>
      <c r="AX112" s="12" t="n">
        <f aca="false">IF(I112&gt;0,K112/I112*100,"")</f>
        <v>121.917808219178</v>
      </c>
      <c r="AY112" s="9" t="str">
        <f aca="false">IF(AQ112&gt;=100,"ok",IF(AQ112&gt;0,"effectif faible (&lt;100)","aucune association"))</f>
        <v>ok</v>
      </c>
    </row>
    <row r="113" customFormat="false" ht="15" hidden="false" customHeight="false" outlineLevel="0" collapsed="false">
      <c r="A113" s="9" t="s">
        <v>342</v>
      </c>
      <c r="B113" s="9" t="s">
        <v>343</v>
      </c>
      <c r="C113" s="9" t="s">
        <v>133</v>
      </c>
      <c r="D113" s="9" t="s">
        <v>107</v>
      </c>
      <c r="E113" s="9" t="s">
        <v>116</v>
      </c>
      <c r="F113" s="9" t="s">
        <v>135</v>
      </c>
      <c r="G113" s="10" t="n">
        <v>1261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2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1</v>
      </c>
      <c r="AF113" s="10" t="n">
        <v>1</v>
      </c>
      <c r="AG113" s="10" t="n">
        <v>1</v>
      </c>
      <c r="AH113" s="10" t="n">
        <v>0</v>
      </c>
      <c r="AI113" s="10" t="n">
        <v>0</v>
      </c>
      <c r="AJ113" s="10" t="n">
        <v>44</v>
      </c>
      <c r="AK113" s="10" t="n">
        <v>56</v>
      </c>
      <c r="AL113" s="10" t="n">
        <v>51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f aca="false">I113+J113</f>
        <v>0</v>
      </c>
      <c r="AR113" s="11" t="str">
        <f aca="false">IF(AQ113&gt;0,I113/AQ113,"")</f>
        <v/>
      </c>
      <c r="AS113" s="11" t="str">
        <f aca="false">IF((P113+Q113)&gt;0,P113/(P113+Q113),"")</f>
        <v/>
      </c>
      <c r="AT113" s="12" t="str">
        <f aca="false">IF(AND(ISNUMBER(AR113),ISNUMBER(AS113)),(AR113-AS113)*100,"")</f>
        <v/>
      </c>
      <c r="AU113" s="12" t="n">
        <f aca="false">IF(G113&gt;0,I113/G113*1000,"")</f>
        <v>0</v>
      </c>
      <c r="AV113" s="12" t="n">
        <f aca="false">IF(G113&gt;0,H113/G113*10000,"")</f>
        <v>0</v>
      </c>
      <c r="AW113" s="12" t="n">
        <f aca="false">IF(G113&gt;0,W113/G113*10000,"")</f>
        <v>15.8604282315623</v>
      </c>
      <c r="AX113" s="12" t="str">
        <f aca="false">IF(I113&gt;0,K113/I113*100,"")</f>
        <v/>
      </c>
      <c r="AY113" s="9" t="str">
        <f aca="false">IF(AQ113&gt;=100,"ok",IF(AQ113&gt;0,"effectif faible (&lt;100)","aucune association"))</f>
        <v>aucune association</v>
      </c>
    </row>
    <row r="114" customFormat="false" ht="15" hidden="false" customHeight="false" outlineLevel="0" collapsed="false">
      <c r="A114" s="9" t="s">
        <v>344</v>
      </c>
      <c r="B114" s="9" t="s">
        <v>345</v>
      </c>
      <c r="C114" s="9" t="s">
        <v>100</v>
      </c>
      <c r="D114" s="9" t="s">
        <v>107</v>
      </c>
      <c r="E114" s="9" t="s">
        <v>102</v>
      </c>
      <c r="F114" s="9" t="s">
        <v>103</v>
      </c>
      <c r="G114" s="10" t="n">
        <v>361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4</v>
      </c>
      <c r="X114" s="10" t="n">
        <v>1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f aca="false">I114+J114</f>
        <v>0</v>
      </c>
      <c r="AR114" s="11" t="str">
        <f aca="false">IF(AQ114&gt;0,I114/AQ114,"")</f>
        <v/>
      </c>
      <c r="AS114" s="11" t="str">
        <f aca="false">IF((P114+Q114)&gt;0,P114/(P114+Q114),"")</f>
        <v/>
      </c>
      <c r="AT114" s="12" t="str">
        <f aca="false">IF(AND(ISNUMBER(AR114),ISNUMBER(AS114)),(AR114-AS114)*100,"")</f>
        <v/>
      </c>
      <c r="AU114" s="12" t="n">
        <f aca="false">IF(G114&gt;0,I114/G114*1000,"")</f>
        <v>0</v>
      </c>
      <c r="AV114" s="12" t="n">
        <f aca="false">IF(G114&gt;0,H114/G114*10000,"")</f>
        <v>0</v>
      </c>
      <c r="AW114" s="12" t="n">
        <f aca="false">IF(G114&gt;0,W114/G114*10000,"")</f>
        <v>110.803324099723</v>
      </c>
      <c r="AX114" s="12" t="str">
        <f aca="false">IF(I114&gt;0,K114/I114*100,"")</f>
        <v/>
      </c>
      <c r="AY114" s="9" t="str">
        <f aca="false">IF(AQ114&gt;=100,"ok",IF(AQ114&gt;0,"effectif faible (&lt;100)","aucune association"))</f>
        <v>aucune association</v>
      </c>
    </row>
    <row r="115" customFormat="false" ht="15" hidden="false" customHeight="false" outlineLevel="0" collapsed="false">
      <c r="A115" s="9" t="s">
        <v>346</v>
      </c>
      <c r="B115" s="9" t="s">
        <v>347</v>
      </c>
      <c r="C115" s="9" t="s">
        <v>278</v>
      </c>
      <c r="D115" s="9" t="s">
        <v>101</v>
      </c>
      <c r="E115" s="9" t="s">
        <v>152</v>
      </c>
      <c r="F115" s="9" t="s">
        <v>117</v>
      </c>
      <c r="G115" s="10" t="n">
        <v>22457</v>
      </c>
      <c r="H115" s="10" t="n">
        <v>7</v>
      </c>
      <c r="I115" s="10" t="n">
        <v>394</v>
      </c>
      <c r="J115" s="10" t="n">
        <v>398</v>
      </c>
      <c r="K115" s="10" t="n">
        <v>69</v>
      </c>
      <c r="L115" s="10" t="n">
        <v>9</v>
      </c>
      <c r="M115" s="10" t="n">
        <v>1</v>
      </c>
      <c r="N115" s="10" t="n">
        <v>2</v>
      </c>
      <c r="O115" s="10" t="n">
        <v>6</v>
      </c>
      <c r="P115" s="10" t="n">
        <v>329</v>
      </c>
      <c r="Q115" s="10" t="n">
        <v>329</v>
      </c>
      <c r="R115" s="10" t="n">
        <v>1</v>
      </c>
      <c r="S115" s="10" t="n">
        <v>88</v>
      </c>
      <c r="T115" s="10" t="n">
        <v>4</v>
      </c>
      <c r="U115" s="10" t="n">
        <v>7</v>
      </c>
      <c r="V115" s="10" t="n">
        <v>1</v>
      </c>
      <c r="W115" s="10" t="n">
        <v>8</v>
      </c>
      <c r="X115" s="10" t="n">
        <v>1</v>
      </c>
      <c r="Y115" s="10" t="n">
        <v>0</v>
      </c>
      <c r="Z115" s="10" t="n">
        <v>0</v>
      </c>
      <c r="AA115" s="10" t="n">
        <v>0</v>
      </c>
      <c r="AB115" s="10" t="n">
        <v>1</v>
      </c>
      <c r="AC115" s="10" t="n">
        <v>0</v>
      </c>
      <c r="AD115" s="10" t="n">
        <v>0</v>
      </c>
      <c r="AE115" s="10" t="n">
        <v>6</v>
      </c>
      <c r="AF115" s="10" t="n">
        <v>5</v>
      </c>
      <c r="AG115" s="10" t="n">
        <v>6</v>
      </c>
      <c r="AH115" s="10" t="n">
        <v>5</v>
      </c>
      <c r="AI115" s="10" t="n">
        <v>5</v>
      </c>
      <c r="AJ115" s="10" t="n">
        <v>950</v>
      </c>
      <c r="AK115" s="10" t="n">
        <v>806</v>
      </c>
      <c r="AL115" s="10" t="n">
        <v>770</v>
      </c>
      <c r="AM115" s="10" t="n">
        <v>300</v>
      </c>
      <c r="AN115" s="10" t="n">
        <v>441</v>
      </c>
      <c r="AO115" s="10" t="n">
        <v>658</v>
      </c>
      <c r="AP115" s="10" t="n">
        <v>792</v>
      </c>
      <c r="AQ115" s="10" t="n">
        <f aca="false">I115+J115</f>
        <v>792</v>
      </c>
      <c r="AR115" s="11" t="n">
        <f aca="false">IF(AQ115&gt;0,I115/AQ115,"")</f>
        <v>0.497474747474747</v>
      </c>
      <c r="AS115" s="11" t="n">
        <f aca="false">IF((P115+Q115)&gt;0,P115/(P115+Q115),"")</f>
        <v>0.5</v>
      </c>
      <c r="AT115" s="12" t="n">
        <f aca="false">IF(AND(ISNUMBER(AR115),ISNUMBER(AS115)),(AR115-AS115)*100,"")</f>
        <v>-0.252525252525254</v>
      </c>
      <c r="AU115" s="12" t="n">
        <f aca="false">IF(G115&gt;0,I115/G115*1000,"")</f>
        <v>17.5446408692167</v>
      </c>
      <c r="AV115" s="12" t="n">
        <f aca="false">IF(G115&gt;0,H115/G115*10000,"")</f>
        <v>3.11706817473394</v>
      </c>
      <c r="AW115" s="12" t="n">
        <f aca="false">IF(G115&gt;0,W115/G115*10000,"")</f>
        <v>3.56236362826736</v>
      </c>
      <c r="AX115" s="12" t="n">
        <f aca="false">IF(I115&gt;0,K115/I115*100,"")</f>
        <v>17.5126903553299</v>
      </c>
      <c r="AY115" s="9" t="str">
        <f aca="false">IF(AQ115&gt;=100,"ok",IF(AQ115&gt;0,"effectif faible (&lt;100)","aucune association"))</f>
        <v>ok</v>
      </c>
    </row>
    <row r="116" customFormat="false" ht="15" hidden="false" customHeight="false" outlineLevel="0" collapsed="false">
      <c r="A116" s="9" t="s">
        <v>348</v>
      </c>
      <c r="B116" s="9" t="s">
        <v>349</v>
      </c>
      <c r="C116" s="9" t="s">
        <v>146</v>
      </c>
      <c r="D116" s="9" t="s">
        <v>107</v>
      </c>
      <c r="E116" s="9" t="s">
        <v>116</v>
      </c>
      <c r="F116" s="9" t="s">
        <v>117</v>
      </c>
      <c r="G116" s="10" t="n">
        <v>3038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2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f aca="false">I116+J116</f>
        <v>0</v>
      </c>
      <c r="AR116" s="11" t="str">
        <f aca="false">IF(AQ116&gt;0,I116/AQ116,"")</f>
        <v/>
      </c>
      <c r="AS116" s="11" t="str">
        <f aca="false">IF((P116+Q116)&gt;0,P116/(P116+Q116),"")</f>
        <v/>
      </c>
      <c r="AT116" s="12" t="str">
        <f aca="false">IF(AND(ISNUMBER(AR116),ISNUMBER(AS116)),(AR116-AS116)*100,"")</f>
        <v/>
      </c>
      <c r="AU116" s="12" t="n">
        <f aca="false">IF(G116&gt;0,I116/G116*1000,"")</f>
        <v>0</v>
      </c>
      <c r="AV116" s="12" t="n">
        <f aca="false">IF(G116&gt;0,H116/G116*10000,"")</f>
        <v>0</v>
      </c>
      <c r="AW116" s="12" t="n">
        <f aca="false">IF(G116&gt;0,W116/G116*10000,"")</f>
        <v>6.58327847267939</v>
      </c>
      <c r="AX116" s="12" t="str">
        <f aca="false">IF(I116&gt;0,K116/I116*100,"")</f>
        <v/>
      </c>
      <c r="AY116" s="9" t="str">
        <f aca="false">IF(AQ116&gt;=100,"ok",IF(AQ116&gt;0,"effectif faible (&lt;100)","aucune association"))</f>
        <v>aucune association</v>
      </c>
    </row>
    <row r="117" customFormat="false" ht="15" hidden="false" customHeight="false" outlineLevel="0" collapsed="false">
      <c r="A117" s="9" t="s">
        <v>350</v>
      </c>
      <c r="B117" s="9" t="s">
        <v>351</v>
      </c>
      <c r="C117" s="9" t="s">
        <v>237</v>
      </c>
      <c r="D117" s="9" t="s">
        <v>101</v>
      </c>
      <c r="E117" s="9" t="s">
        <v>116</v>
      </c>
      <c r="F117" s="9" t="s">
        <v>117</v>
      </c>
      <c r="G117" s="10" t="n">
        <v>15105</v>
      </c>
      <c r="H117" s="10" t="n">
        <v>2</v>
      </c>
      <c r="I117" s="10" t="n">
        <v>85</v>
      </c>
      <c r="J117" s="10" t="n">
        <v>190</v>
      </c>
      <c r="K117" s="10" t="n">
        <v>16</v>
      </c>
      <c r="L117" s="10" t="n">
        <v>2</v>
      </c>
      <c r="M117" s="10" t="n">
        <v>0</v>
      </c>
      <c r="N117" s="10" t="n">
        <v>0</v>
      </c>
      <c r="O117" s="10" t="n">
        <v>3</v>
      </c>
      <c r="P117" s="10" t="n">
        <v>460</v>
      </c>
      <c r="Q117" s="10" t="n">
        <v>427</v>
      </c>
      <c r="R117" s="10" t="n">
        <v>2</v>
      </c>
      <c r="S117" s="10" t="n">
        <v>353</v>
      </c>
      <c r="T117" s="10" t="n">
        <v>8</v>
      </c>
      <c r="U117" s="10" t="n">
        <v>4</v>
      </c>
      <c r="V117" s="10" t="n">
        <v>2</v>
      </c>
      <c r="W117" s="10" t="n">
        <v>8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3</v>
      </c>
      <c r="AF117" s="10" t="n">
        <v>3</v>
      </c>
      <c r="AG117" s="10" t="n">
        <v>3</v>
      </c>
      <c r="AH117" s="10" t="n">
        <v>3</v>
      </c>
      <c r="AI117" s="10" t="n">
        <v>3</v>
      </c>
      <c r="AJ117" s="10" t="n">
        <v>1641</v>
      </c>
      <c r="AK117" s="10" t="n">
        <v>1554</v>
      </c>
      <c r="AL117" s="10" t="n">
        <v>1345</v>
      </c>
      <c r="AM117" s="10" t="n">
        <v>1433</v>
      </c>
      <c r="AN117" s="10" t="n">
        <v>1018</v>
      </c>
      <c r="AO117" s="10" t="n">
        <v>887</v>
      </c>
      <c r="AP117" s="10" t="n">
        <v>275</v>
      </c>
      <c r="AQ117" s="10" t="n">
        <f aca="false">I117+J117</f>
        <v>275</v>
      </c>
      <c r="AR117" s="11" t="n">
        <f aca="false">IF(AQ117&gt;0,I117/AQ117,"")</f>
        <v>0.309090909090909</v>
      </c>
      <c r="AS117" s="11" t="n">
        <f aca="false">IF((P117+Q117)&gt;0,P117/(P117+Q117),"")</f>
        <v>0.518602029312289</v>
      </c>
      <c r="AT117" s="12" t="n">
        <f aca="false">IF(AND(ISNUMBER(AR117),ISNUMBER(AS117)),(AR117-AS117)*100,"")</f>
        <v>-20.951112022138</v>
      </c>
      <c r="AU117" s="12" t="n">
        <f aca="false">IF(G117&gt;0,I117/G117*1000,"")</f>
        <v>5.62727573651109</v>
      </c>
      <c r="AV117" s="12" t="n">
        <f aca="false">IF(G117&gt;0,H117/G117*10000,"")</f>
        <v>1.32406487917908</v>
      </c>
      <c r="AW117" s="12" t="n">
        <f aca="false">IF(G117&gt;0,W117/G117*10000,"")</f>
        <v>5.29625951671632</v>
      </c>
      <c r="AX117" s="12" t="n">
        <f aca="false">IF(I117&gt;0,K117/I117*100,"")</f>
        <v>18.8235294117647</v>
      </c>
      <c r="AY117" s="9" t="str">
        <f aca="false">IF(AQ117&gt;=100,"ok",IF(AQ117&gt;0,"effectif faible (&lt;100)","aucune association"))</f>
        <v>ok</v>
      </c>
    </row>
    <row r="118" customFormat="false" ht="15" hidden="false" customHeight="false" outlineLevel="0" collapsed="false">
      <c r="A118" s="9" t="s">
        <v>352</v>
      </c>
      <c r="B118" s="9" t="s">
        <v>115</v>
      </c>
      <c r="C118" s="9" t="s">
        <v>115</v>
      </c>
      <c r="D118" s="9" t="s">
        <v>101</v>
      </c>
      <c r="E118" s="9" t="s">
        <v>116</v>
      </c>
      <c r="F118" s="9" t="s">
        <v>117</v>
      </c>
      <c r="G118" s="10" t="n">
        <v>21763</v>
      </c>
      <c r="H118" s="10" t="n">
        <v>7</v>
      </c>
      <c r="I118" s="10" t="n">
        <v>389</v>
      </c>
      <c r="J118" s="10" t="n">
        <v>905</v>
      </c>
      <c r="K118" s="10" t="n">
        <v>132</v>
      </c>
      <c r="L118" s="10" t="n">
        <v>9</v>
      </c>
      <c r="M118" s="10" t="n">
        <v>1</v>
      </c>
      <c r="N118" s="10" t="n">
        <v>1</v>
      </c>
      <c r="O118" s="10" t="n">
        <v>8</v>
      </c>
      <c r="P118" s="10" t="n">
        <v>505</v>
      </c>
      <c r="Q118" s="10" t="n">
        <v>1496</v>
      </c>
      <c r="R118" s="10" t="n">
        <v>1</v>
      </c>
      <c r="S118" s="10" t="n">
        <v>151</v>
      </c>
      <c r="T118" s="10" t="n">
        <v>4</v>
      </c>
      <c r="U118" s="10" t="n">
        <v>6</v>
      </c>
      <c r="V118" s="10" t="n">
        <v>1</v>
      </c>
      <c r="W118" s="10" t="n">
        <v>15</v>
      </c>
      <c r="X118" s="10" t="n">
        <v>3</v>
      </c>
      <c r="Y118" s="10" t="n">
        <v>1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8</v>
      </c>
      <c r="AF118" s="10" t="n">
        <v>7</v>
      </c>
      <c r="AG118" s="10" t="n">
        <v>7</v>
      </c>
      <c r="AH118" s="10" t="n">
        <v>7</v>
      </c>
      <c r="AI118" s="10" t="n">
        <v>8</v>
      </c>
      <c r="AJ118" s="10" t="n">
        <v>1941</v>
      </c>
      <c r="AK118" s="10" t="n">
        <v>1427</v>
      </c>
      <c r="AL118" s="10" t="n">
        <v>1234</v>
      </c>
      <c r="AM118" s="10" t="n">
        <v>1253</v>
      </c>
      <c r="AN118" s="10" t="n">
        <v>1890</v>
      </c>
      <c r="AO118" s="10" t="n">
        <v>2001</v>
      </c>
      <c r="AP118" s="10" t="n">
        <v>1294</v>
      </c>
      <c r="AQ118" s="10" t="n">
        <f aca="false">I118+J118</f>
        <v>1294</v>
      </c>
      <c r="AR118" s="11" t="n">
        <f aca="false">IF(AQ118&gt;0,I118/AQ118,"")</f>
        <v>0.300618238021638</v>
      </c>
      <c r="AS118" s="11" t="n">
        <f aca="false">IF((P118+Q118)&gt;0,P118/(P118+Q118),"")</f>
        <v>0.252373813093453</v>
      </c>
      <c r="AT118" s="12" t="n">
        <f aca="false">IF(AND(ISNUMBER(AR118),ISNUMBER(AS118)),(AR118-AS118)*100,"")</f>
        <v>4.82444249281851</v>
      </c>
      <c r="AU118" s="12" t="n">
        <f aca="false">IF(G118&gt;0,I118/G118*1000,"")</f>
        <v>17.8743739374167</v>
      </c>
      <c r="AV118" s="12" t="n">
        <f aca="false">IF(G118&gt;0,H118/G118*10000,"")</f>
        <v>3.21646831778707</v>
      </c>
      <c r="AW118" s="12" t="n">
        <f aca="false">IF(G118&gt;0,W118/G118*10000,"")</f>
        <v>6.89243210954372</v>
      </c>
      <c r="AX118" s="12" t="n">
        <f aca="false">IF(I118&gt;0,K118/I118*100,"")</f>
        <v>33.9331619537275</v>
      </c>
      <c r="AY118" s="9" t="str">
        <f aca="false">IF(AQ118&gt;=100,"ok",IF(AQ118&gt;0,"effectif faible (&lt;100)","aucune association"))</f>
        <v>ok</v>
      </c>
    </row>
    <row r="119" customFormat="false" ht="15" hidden="false" customHeight="false" outlineLevel="0" collapsed="false">
      <c r="A119" s="9" t="s">
        <v>353</v>
      </c>
      <c r="B119" s="9" t="s">
        <v>354</v>
      </c>
      <c r="C119" s="9" t="s">
        <v>106</v>
      </c>
      <c r="D119" s="9" t="s">
        <v>107</v>
      </c>
      <c r="E119" s="9" t="s">
        <v>108</v>
      </c>
      <c r="F119" s="9" t="s">
        <v>103</v>
      </c>
      <c r="G119" s="10" t="n">
        <v>377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2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f aca="false">I119+J119</f>
        <v>0</v>
      </c>
      <c r="AR119" s="11" t="str">
        <f aca="false">IF(AQ119&gt;0,I119/AQ119,"")</f>
        <v/>
      </c>
      <c r="AS119" s="11" t="str">
        <f aca="false">IF((P119+Q119)&gt;0,P119/(P119+Q119),"")</f>
        <v/>
      </c>
      <c r="AT119" s="12" t="str">
        <f aca="false">IF(AND(ISNUMBER(AR119),ISNUMBER(AS119)),(AR119-AS119)*100,"")</f>
        <v/>
      </c>
      <c r="AU119" s="12" t="n">
        <f aca="false">IF(G119&gt;0,I119/G119*1000,"")</f>
        <v>0</v>
      </c>
      <c r="AV119" s="12" t="n">
        <f aca="false">IF(G119&gt;0,H119/G119*10000,"")</f>
        <v>0</v>
      </c>
      <c r="AW119" s="12" t="n">
        <f aca="false">IF(G119&gt;0,W119/G119*10000,"")</f>
        <v>53.0503978779841</v>
      </c>
      <c r="AX119" s="12" t="str">
        <f aca="false">IF(I119&gt;0,K119/I119*100,"")</f>
        <v/>
      </c>
      <c r="AY119" s="9" t="str">
        <f aca="false">IF(AQ119&gt;=100,"ok",IF(AQ119&gt;0,"effectif faible (&lt;100)","aucune association"))</f>
        <v>aucune association</v>
      </c>
    </row>
    <row r="120" customFormat="false" ht="15" hidden="false" customHeight="false" outlineLevel="0" collapsed="false">
      <c r="A120" s="9" t="s">
        <v>355</v>
      </c>
      <c r="B120" s="9" t="s">
        <v>356</v>
      </c>
      <c r="C120" s="9" t="s">
        <v>146</v>
      </c>
      <c r="D120" s="9" t="s">
        <v>101</v>
      </c>
      <c r="E120" s="9" t="s">
        <v>134</v>
      </c>
      <c r="F120" s="9" t="s">
        <v>135</v>
      </c>
      <c r="G120" s="10" t="n">
        <v>4023</v>
      </c>
      <c r="H120" s="10" t="n">
        <v>1</v>
      </c>
      <c r="I120" s="10" t="n">
        <v>579</v>
      </c>
      <c r="J120" s="10" t="n">
        <v>1046</v>
      </c>
      <c r="K120" s="10" t="n">
        <v>90</v>
      </c>
      <c r="L120" s="10" t="n">
        <v>5</v>
      </c>
      <c r="M120" s="10" t="n">
        <v>0</v>
      </c>
      <c r="N120" s="10" t="n">
        <v>0</v>
      </c>
      <c r="O120" s="10" t="n">
        <v>1</v>
      </c>
      <c r="P120" s="10" t="n">
        <v>515</v>
      </c>
      <c r="Q120" s="10" t="n">
        <v>1028</v>
      </c>
      <c r="R120" s="10" t="n">
        <v>0</v>
      </c>
      <c r="S120" s="10" t="n">
        <v>0</v>
      </c>
      <c r="T120" s="10" t="n">
        <v>0</v>
      </c>
      <c r="U120" s="10" t="n">
        <v>1</v>
      </c>
      <c r="V120" s="10" t="n">
        <v>0</v>
      </c>
      <c r="W120" s="10" t="n">
        <v>6</v>
      </c>
      <c r="X120" s="10" t="n">
        <v>2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1</v>
      </c>
      <c r="AD120" s="10" t="n">
        <v>0</v>
      </c>
      <c r="AE120" s="10" t="n">
        <v>1</v>
      </c>
      <c r="AF120" s="10" t="n">
        <v>1</v>
      </c>
      <c r="AG120" s="10" t="n">
        <v>1</v>
      </c>
      <c r="AH120" s="10" t="n">
        <v>1</v>
      </c>
      <c r="AI120" s="10" t="n">
        <v>1</v>
      </c>
      <c r="AJ120" s="10" t="n">
        <v>1474</v>
      </c>
      <c r="AK120" s="10" t="n">
        <v>1518</v>
      </c>
      <c r="AL120" s="10" t="n">
        <v>1316</v>
      </c>
      <c r="AM120" s="10" t="n">
        <v>1398</v>
      </c>
      <c r="AN120" s="10" t="n">
        <v>1546</v>
      </c>
      <c r="AO120" s="10" t="n">
        <v>1543</v>
      </c>
      <c r="AP120" s="10" t="n">
        <v>1625</v>
      </c>
      <c r="AQ120" s="10" t="n">
        <f aca="false">I120+J120</f>
        <v>1625</v>
      </c>
      <c r="AR120" s="11" t="n">
        <f aca="false">IF(AQ120&gt;0,I120/AQ120,"")</f>
        <v>0.356307692307692</v>
      </c>
      <c r="AS120" s="11" t="n">
        <f aca="false">IF((P120+Q120)&gt;0,P120/(P120+Q120),"")</f>
        <v>0.333765392093325</v>
      </c>
      <c r="AT120" s="12" t="n">
        <f aca="false">IF(AND(ISNUMBER(AR120),ISNUMBER(AS120)),(AR120-AS120)*100,"")</f>
        <v>2.25423002143677</v>
      </c>
      <c r="AU120" s="12" t="n">
        <f aca="false">IF(G120&gt;0,I120/G120*1000,"")</f>
        <v>143.922445935869</v>
      </c>
      <c r="AV120" s="12" t="n">
        <f aca="false">IF(G120&gt;0,H120/G120*10000,"")</f>
        <v>2.48570718369376</v>
      </c>
      <c r="AW120" s="12" t="n">
        <f aca="false">IF(G120&gt;0,W120/G120*10000,"")</f>
        <v>14.9142431021626</v>
      </c>
      <c r="AX120" s="12" t="n">
        <f aca="false">IF(I120&gt;0,K120/I120*100,"")</f>
        <v>15.5440414507772</v>
      </c>
      <c r="AY120" s="9" t="str">
        <f aca="false">IF(AQ120&gt;=100,"ok",IF(AQ120&gt;0,"effectif faible (&lt;100)","aucune association"))</f>
        <v>ok</v>
      </c>
    </row>
    <row r="121" customFormat="false" ht="15" hidden="false" customHeight="false" outlineLevel="0" collapsed="false">
      <c r="A121" s="9" t="s">
        <v>357</v>
      </c>
      <c r="B121" s="9" t="s">
        <v>358</v>
      </c>
      <c r="C121" s="9" t="s">
        <v>155</v>
      </c>
      <c r="D121" s="9" t="s">
        <v>107</v>
      </c>
      <c r="E121" s="9" t="s">
        <v>156</v>
      </c>
      <c r="F121" s="9" t="s">
        <v>135</v>
      </c>
      <c r="G121" s="10" t="n">
        <v>1693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5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1</v>
      </c>
      <c r="AF121" s="10" t="n">
        <v>1</v>
      </c>
      <c r="AG121" s="10" t="n">
        <v>1</v>
      </c>
      <c r="AH121" s="10" t="n">
        <v>1</v>
      </c>
      <c r="AI121" s="10" t="n">
        <v>1</v>
      </c>
      <c r="AJ121" s="10" t="n">
        <v>10</v>
      </c>
      <c r="AK121" s="10" t="n">
        <v>8</v>
      </c>
      <c r="AL121" s="10" t="n">
        <v>10</v>
      </c>
      <c r="AM121" s="10" t="n">
        <v>10</v>
      </c>
      <c r="AN121" s="10" t="n">
        <v>9</v>
      </c>
      <c r="AO121" s="10" t="n">
        <v>0</v>
      </c>
      <c r="AP121" s="10" t="n">
        <v>0</v>
      </c>
      <c r="AQ121" s="10" t="n">
        <f aca="false">I121+J121</f>
        <v>0</v>
      </c>
      <c r="AR121" s="11" t="str">
        <f aca="false">IF(AQ121&gt;0,I121/AQ121,"")</f>
        <v/>
      </c>
      <c r="AS121" s="11" t="str">
        <f aca="false">IF((P121+Q121)&gt;0,P121/(P121+Q121),"")</f>
        <v/>
      </c>
      <c r="AT121" s="12" t="str">
        <f aca="false">IF(AND(ISNUMBER(AR121),ISNUMBER(AS121)),(AR121-AS121)*100,"")</f>
        <v/>
      </c>
      <c r="AU121" s="12" t="n">
        <f aca="false">IF(G121&gt;0,I121/G121*1000,"")</f>
        <v>0</v>
      </c>
      <c r="AV121" s="12" t="n">
        <f aca="false">IF(G121&gt;0,H121/G121*10000,"")</f>
        <v>0</v>
      </c>
      <c r="AW121" s="12" t="n">
        <f aca="false">IF(G121&gt;0,W121/G121*10000,"")</f>
        <v>29.5333727111636</v>
      </c>
      <c r="AX121" s="12" t="str">
        <f aca="false">IF(I121&gt;0,K121/I121*100,"")</f>
        <v/>
      </c>
      <c r="AY121" s="9" t="str">
        <f aca="false">IF(AQ121&gt;=100,"ok",IF(AQ121&gt;0,"effectif faible (&lt;100)","aucune association"))</f>
        <v>aucune association</v>
      </c>
    </row>
    <row r="122" customFormat="false" ht="15" hidden="false" customHeight="false" outlineLevel="0" collapsed="false">
      <c r="A122" s="9" t="s">
        <v>359</v>
      </c>
      <c r="B122" s="9" t="s">
        <v>360</v>
      </c>
      <c r="C122" s="9" t="s">
        <v>100</v>
      </c>
      <c r="D122" s="9" t="s">
        <v>107</v>
      </c>
      <c r="E122" s="9" t="s">
        <v>102</v>
      </c>
      <c r="F122" s="9"/>
      <c r="G122" s="10" t="n">
        <v>108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f aca="false">I122+J122</f>
        <v>0</v>
      </c>
      <c r="AR122" s="11" t="str">
        <f aca="false">IF(AQ122&gt;0,I122/AQ122,"")</f>
        <v/>
      </c>
      <c r="AS122" s="11" t="str">
        <f aca="false">IF((P122+Q122)&gt;0,P122/(P122+Q122),"")</f>
        <v/>
      </c>
      <c r="AT122" s="12" t="str">
        <f aca="false">IF(AND(ISNUMBER(AR122),ISNUMBER(AS122)),(AR122-AS122)*100,"")</f>
        <v/>
      </c>
      <c r="AU122" s="12" t="n">
        <f aca="false">IF(G122&gt;0,I122/G122*1000,"")</f>
        <v>0</v>
      </c>
      <c r="AV122" s="12" t="n">
        <f aca="false">IF(G122&gt;0,H122/G122*10000,"")</f>
        <v>0</v>
      </c>
      <c r="AW122" s="12" t="n">
        <f aca="false">IF(G122&gt;0,W122/G122*10000,"")</f>
        <v>0</v>
      </c>
      <c r="AX122" s="12" t="str">
        <f aca="false">IF(I122&gt;0,K122/I122*100,"")</f>
        <v/>
      </c>
      <c r="AY122" s="9" t="str">
        <f aca="false">IF(AQ122&gt;=100,"ok",IF(AQ122&gt;0,"effectif faible (&lt;100)","aucune association"))</f>
        <v>aucune association</v>
      </c>
    </row>
    <row r="123" customFormat="false" ht="15" hidden="false" customHeight="false" outlineLevel="0" collapsed="false">
      <c r="A123" s="9" t="s">
        <v>361</v>
      </c>
      <c r="B123" s="9" t="s">
        <v>362</v>
      </c>
      <c r="C123" s="9" t="s">
        <v>140</v>
      </c>
      <c r="D123" s="9" t="s">
        <v>101</v>
      </c>
      <c r="E123" s="9" t="s">
        <v>197</v>
      </c>
      <c r="F123" s="9" t="s">
        <v>135</v>
      </c>
      <c r="G123" s="10" t="n">
        <v>5347</v>
      </c>
      <c r="H123" s="10" t="n">
        <v>4</v>
      </c>
      <c r="I123" s="10" t="n">
        <v>450</v>
      </c>
      <c r="J123" s="10" t="n">
        <v>503</v>
      </c>
      <c r="K123" s="10" t="n">
        <v>75</v>
      </c>
      <c r="L123" s="10" t="n">
        <v>12</v>
      </c>
      <c r="M123" s="10" t="n">
        <v>0</v>
      </c>
      <c r="N123" s="10" t="n">
        <v>1</v>
      </c>
      <c r="O123" s="10" t="n">
        <v>4</v>
      </c>
      <c r="P123" s="10" t="n">
        <v>462</v>
      </c>
      <c r="Q123" s="10" t="n">
        <v>509</v>
      </c>
      <c r="R123" s="10" t="n">
        <v>1</v>
      </c>
      <c r="S123" s="10" t="n">
        <v>84</v>
      </c>
      <c r="T123" s="10" t="n">
        <v>4</v>
      </c>
      <c r="U123" s="10" t="n">
        <v>4</v>
      </c>
      <c r="V123" s="10" t="n">
        <v>1</v>
      </c>
      <c r="W123" s="10" t="n">
        <v>13</v>
      </c>
      <c r="X123" s="10" t="n">
        <v>4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4</v>
      </c>
      <c r="AF123" s="10" t="n">
        <v>4</v>
      </c>
      <c r="AG123" s="10" t="n">
        <v>4</v>
      </c>
      <c r="AH123" s="10" t="n">
        <v>4</v>
      </c>
      <c r="AI123" s="10" t="n">
        <v>4</v>
      </c>
      <c r="AJ123" s="10" t="n">
        <v>930</v>
      </c>
      <c r="AK123" s="10" t="n">
        <v>948</v>
      </c>
      <c r="AL123" s="10" t="n">
        <v>785</v>
      </c>
      <c r="AM123" s="10" t="n">
        <v>817</v>
      </c>
      <c r="AN123" s="10" t="n">
        <v>991</v>
      </c>
      <c r="AO123" s="10" t="n">
        <v>971</v>
      </c>
      <c r="AP123" s="10" t="n">
        <v>953</v>
      </c>
      <c r="AQ123" s="10" t="n">
        <f aca="false">I123+J123</f>
        <v>953</v>
      </c>
      <c r="AR123" s="11" t="n">
        <f aca="false">IF(AQ123&gt;0,I123/AQ123,"")</f>
        <v>0.472193074501574</v>
      </c>
      <c r="AS123" s="11" t="n">
        <f aca="false">IF((P123+Q123)&gt;0,P123/(P123+Q123),"")</f>
        <v>0.475798146240989</v>
      </c>
      <c r="AT123" s="12" t="n">
        <f aca="false">IF(AND(ISNUMBER(AR123),ISNUMBER(AS123)),(AR123-AS123)*100,"")</f>
        <v>-0.360507173941466</v>
      </c>
      <c r="AU123" s="12" t="n">
        <f aca="false">IF(G123&gt;0,I123/G123*1000,"")</f>
        <v>84.1593416869273</v>
      </c>
      <c r="AV123" s="12" t="n">
        <f aca="false">IF(G123&gt;0,H123/G123*10000,"")</f>
        <v>7.48083037217131</v>
      </c>
      <c r="AW123" s="12" t="n">
        <f aca="false">IF(G123&gt;0,W123/G123*10000,"")</f>
        <v>24.3126987095568</v>
      </c>
      <c r="AX123" s="12" t="n">
        <f aca="false">IF(I123&gt;0,K123/I123*100,"")</f>
        <v>16.6666666666667</v>
      </c>
      <c r="AY123" s="9" t="str">
        <f aca="false">IF(AQ123&gt;=100,"ok",IF(AQ123&gt;0,"effectif faible (&lt;100)","aucune association"))</f>
        <v>ok</v>
      </c>
    </row>
    <row r="124" customFormat="false" ht="15" hidden="false" customHeight="false" outlineLevel="0" collapsed="false">
      <c r="A124" s="9" t="s">
        <v>363</v>
      </c>
      <c r="B124" s="9" t="s">
        <v>364</v>
      </c>
      <c r="C124" s="9" t="s">
        <v>140</v>
      </c>
      <c r="D124" s="9" t="s">
        <v>101</v>
      </c>
      <c r="E124" s="9" t="s">
        <v>197</v>
      </c>
      <c r="F124" s="9" t="s">
        <v>117</v>
      </c>
      <c r="G124" s="10" t="n">
        <v>9983</v>
      </c>
      <c r="H124" s="10" t="n">
        <v>7</v>
      </c>
      <c r="I124" s="10" t="n">
        <v>1742</v>
      </c>
      <c r="J124" s="10" t="n">
        <v>3393</v>
      </c>
      <c r="K124" s="10" t="n">
        <v>133</v>
      </c>
      <c r="L124" s="10" t="n">
        <v>9</v>
      </c>
      <c r="M124" s="10" t="n">
        <v>1</v>
      </c>
      <c r="N124" s="10" t="n">
        <v>0</v>
      </c>
      <c r="O124" s="10" t="n">
        <v>8</v>
      </c>
      <c r="P124" s="10" t="n">
        <v>1809</v>
      </c>
      <c r="Q124" s="10" t="n">
        <v>3452</v>
      </c>
      <c r="R124" s="10" t="n">
        <v>1</v>
      </c>
      <c r="S124" s="10" t="n">
        <v>78</v>
      </c>
      <c r="T124" s="10" t="n">
        <v>4</v>
      </c>
      <c r="U124" s="10" t="n">
        <v>8</v>
      </c>
      <c r="V124" s="10" t="n">
        <v>1</v>
      </c>
      <c r="W124" s="10" t="n">
        <v>14</v>
      </c>
      <c r="X124" s="10" t="n">
        <v>1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5</v>
      </c>
      <c r="AF124" s="10" t="n">
        <v>7</v>
      </c>
      <c r="AG124" s="10" t="n">
        <v>8</v>
      </c>
      <c r="AH124" s="10" t="n">
        <v>6</v>
      </c>
      <c r="AI124" s="10" t="n">
        <v>6</v>
      </c>
      <c r="AJ124" s="10" t="n">
        <v>1313</v>
      </c>
      <c r="AK124" s="10" t="n">
        <v>4882</v>
      </c>
      <c r="AL124" s="10" t="n">
        <v>3795</v>
      </c>
      <c r="AM124" s="10" t="n">
        <v>4400</v>
      </c>
      <c r="AN124" s="10" t="n">
        <v>4452</v>
      </c>
      <c r="AO124" s="10" t="n">
        <v>5261</v>
      </c>
      <c r="AP124" s="10" t="n">
        <v>5135</v>
      </c>
      <c r="AQ124" s="10" t="n">
        <f aca="false">I124+J124</f>
        <v>5135</v>
      </c>
      <c r="AR124" s="11" t="n">
        <f aca="false">IF(AQ124&gt;0,I124/AQ124,"")</f>
        <v>0.339240506329114</v>
      </c>
      <c r="AS124" s="11" t="n">
        <f aca="false">IF((P124+Q124)&gt;0,P124/(P124+Q124),"")</f>
        <v>0.34385097890135</v>
      </c>
      <c r="AT124" s="12" t="n">
        <f aca="false">IF(AND(ISNUMBER(AR124),ISNUMBER(AS124)),(AR124-AS124)*100,"")</f>
        <v>-0.461047257223568</v>
      </c>
      <c r="AU124" s="12" t="n">
        <f aca="false">IF(G124&gt;0,I124/G124*1000,"")</f>
        <v>174.496644295302</v>
      </c>
      <c r="AV124" s="12" t="n">
        <f aca="false">IF(G124&gt;0,H124/G124*10000,"")</f>
        <v>7.01192026444956</v>
      </c>
      <c r="AW124" s="12" t="n">
        <f aca="false">IF(G124&gt;0,W124/G124*10000,"")</f>
        <v>14.0238405288991</v>
      </c>
      <c r="AX124" s="12" t="n">
        <f aca="false">IF(I124&gt;0,K124/I124*100,"")</f>
        <v>7.63490241102181</v>
      </c>
      <c r="AY124" s="9" t="str">
        <f aca="false">IF(AQ124&gt;=100,"ok",IF(AQ124&gt;0,"effectif faible (&lt;100)","aucune association"))</f>
        <v>ok</v>
      </c>
    </row>
    <row r="125" customFormat="false" ht="15" hidden="false" customHeight="false" outlineLevel="0" collapsed="false">
      <c r="A125" s="9" t="s">
        <v>365</v>
      </c>
      <c r="B125" s="9" t="s">
        <v>366</v>
      </c>
      <c r="C125" s="9" t="s">
        <v>155</v>
      </c>
      <c r="D125" s="9" t="s">
        <v>101</v>
      </c>
      <c r="E125" s="9" t="s">
        <v>197</v>
      </c>
      <c r="F125" s="9" t="s">
        <v>103</v>
      </c>
      <c r="G125" s="10" t="n">
        <v>756</v>
      </c>
      <c r="H125" s="10" t="n">
        <v>1</v>
      </c>
      <c r="I125" s="10" t="n">
        <v>30</v>
      </c>
      <c r="J125" s="10" t="n">
        <v>1</v>
      </c>
      <c r="K125" s="10" t="n">
        <v>0</v>
      </c>
      <c r="L125" s="10" t="n">
        <v>0</v>
      </c>
      <c r="M125" s="10" t="n">
        <v>0</v>
      </c>
      <c r="N125" s="10" t="n">
        <v>1</v>
      </c>
      <c r="O125" s="10" t="n">
        <v>1</v>
      </c>
      <c r="P125" s="10" t="n">
        <v>33</v>
      </c>
      <c r="Q125" s="10" t="n">
        <v>1</v>
      </c>
      <c r="R125" s="10" t="n">
        <v>0</v>
      </c>
      <c r="S125" s="10" t="n">
        <v>0</v>
      </c>
      <c r="T125" s="10" t="n">
        <v>0</v>
      </c>
      <c r="U125" s="10" t="n">
        <v>1</v>
      </c>
      <c r="V125" s="10" t="n">
        <v>0</v>
      </c>
      <c r="W125" s="10" t="n">
        <v>2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1</v>
      </c>
      <c r="AF125" s="10" t="n">
        <v>1</v>
      </c>
      <c r="AG125" s="10" t="n">
        <v>1</v>
      </c>
      <c r="AH125" s="10" t="n">
        <v>0</v>
      </c>
      <c r="AI125" s="10" t="n">
        <v>1</v>
      </c>
      <c r="AJ125" s="10" t="n">
        <v>12</v>
      </c>
      <c r="AK125" s="10" t="n">
        <v>33</v>
      </c>
      <c r="AL125" s="10" t="n">
        <v>35</v>
      </c>
      <c r="AM125" s="10" t="n">
        <v>0</v>
      </c>
      <c r="AN125" s="10" t="n">
        <v>33</v>
      </c>
      <c r="AO125" s="10" t="n">
        <v>34</v>
      </c>
      <c r="AP125" s="10" t="n">
        <v>31</v>
      </c>
      <c r="AQ125" s="10" t="n">
        <f aca="false">I125+J125</f>
        <v>31</v>
      </c>
      <c r="AR125" s="11" t="n">
        <f aca="false">IF(AQ125&gt;0,I125/AQ125,"")</f>
        <v>0.967741935483871</v>
      </c>
      <c r="AS125" s="11" t="n">
        <f aca="false">IF((P125+Q125)&gt;0,P125/(P125+Q125),"")</f>
        <v>0.970588235294118</v>
      </c>
      <c r="AT125" s="12" t="n">
        <f aca="false">IF(AND(ISNUMBER(AR125),ISNUMBER(AS125)),(AR125-AS125)*100,"")</f>
        <v>-0.284629981024664</v>
      </c>
      <c r="AU125" s="12" t="n">
        <f aca="false">IF(G125&gt;0,I125/G125*1000,"")</f>
        <v>39.6825396825397</v>
      </c>
      <c r="AV125" s="12" t="n">
        <f aca="false">IF(G125&gt;0,H125/G125*10000,"")</f>
        <v>13.2275132275132</v>
      </c>
      <c r="AW125" s="12" t="n">
        <f aca="false">IF(G125&gt;0,W125/G125*10000,"")</f>
        <v>26.4550264550265</v>
      </c>
      <c r="AX125" s="12" t="n">
        <f aca="false">IF(I125&gt;0,K125/I125*100,"")</f>
        <v>0</v>
      </c>
      <c r="AY125" s="9" t="str">
        <f aca="false">IF(AQ125&gt;=100,"ok",IF(AQ125&gt;0,"effectif faible (&lt;100)","aucune association"))</f>
        <v>effectif faible (&lt;100)</v>
      </c>
    </row>
    <row r="126" customFormat="false" ht="15" hidden="false" customHeight="false" outlineLevel="0" collapsed="false">
      <c r="A126" s="9" t="s">
        <v>367</v>
      </c>
      <c r="B126" s="9" t="s">
        <v>368</v>
      </c>
      <c r="C126" s="9" t="s">
        <v>140</v>
      </c>
      <c r="D126" s="9" t="s">
        <v>101</v>
      </c>
      <c r="E126" s="9" t="s">
        <v>128</v>
      </c>
      <c r="F126" s="9" t="s">
        <v>135</v>
      </c>
      <c r="G126" s="10" t="n">
        <v>1842</v>
      </c>
      <c r="H126" s="10" t="n">
        <v>2</v>
      </c>
      <c r="I126" s="10" t="n">
        <v>51</v>
      </c>
      <c r="J126" s="10" t="n">
        <v>101</v>
      </c>
      <c r="K126" s="10" t="n">
        <v>21</v>
      </c>
      <c r="L126" s="10" t="n">
        <v>3</v>
      </c>
      <c r="M126" s="10" t="n">
        <v>0</v>
      </c>
      <c r="N126" s="10" t="n">
        <v>0</v>
      </c>
      <c r="O126" s="10" t="n">
        <v>2</v>
      </c>
      <c r="P126" s="10" t="n">
        <v>55</v>
      </c>
      <c r="Q126" s="10" t="n">
        <v>102</v>
      </c>
      <c r="R126" s="10" t="n">
        <v>0</v>
      </c>
      <c r="S126" s="10" t="n">
        <v>0</v>
      </c>
      <c r="T126" s="10" t="n">
        <v>0</v>
      </c>
      <c r="U126" s="10" t="n">
        <v>2</v>
      </c>
      <c r="V126" s="10" t="n">
        <v>0</v>
      </c>
      <c r="W126" s="10" t="n">
        <v>7</v>
      </c>
      <c r="X126" s="10" t="n">
        <v>1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0" t="n">
        <v>0</v>
      </c>
      <c r="AE126" s="10" t="n">
        <v>2</v>
      </c>
      <c r="AF126" s="10" t="n">
        <v>2</v>
      </c>
      <c r="AG126" s="10" t="n">
        <v>2</v>
      </c>
      <c r="AH126" s="10" t="n">
        <v>1</v>
      </c>
      <c r="AI126" s="10" t="n">
        <v>2</v>
      </c>
      <c r="AJ126" s="10" t="n">
        <v>239</v>
      </c>
      <c r="AK126" s="10" t="n">
        <v>192</v>
      </c>
      <c r="AL126" s="10" t="n">
        <v>143</v>
      </c>
      <c r="AM126" s="10" t="n">
        <v>128</v>
      </c>
      <c r="AN126" s="10" t="n">
        <v>133</v>
      </c>
      <c r="AO126" s="10" t="n">
        <v>157</v>
      </c>
      <c r="AP126" s="10" t="n">
        <v>152</v>
      </c>
      <c r="AQ126" s="10" t="n">
        <f aca="false">I126+J126</f>
        <v>152</v>
      </c>
      <c r="AR126" s="11" t="n">
        <f aca="false">IF(AQ126&gt;0,I126/AQ126,"")</f>
        <v>0.335526315789474</v>
      </c>
      <c r="AS126" s="11" t="n">
        <f aca="false">IF((P126+Q126)&gt;0,P126/(P126+Q126),"")</f>
        <v>0.35031847133758</v>
      </c>
      <c r="AT126" s="12" t="n">
        <f aca="false">IF(AND(ISNUMBER(AR126),ISNUMBER(AS126)),(AR126-AS126)*100,"")</f>
        <v>-1.47921555481059</v>
      </c>
      <c r="AU126" s="12" t="n">
        <f aca="false">IF(G126&gt;0,I126/G126*1000,"")</f>
        <v>27.6872964169381</v>
      </c>
      <c r="AV126" s="12" t="n">
        <f aca="false">IF(G126&gt;0,H126/G126*10000,"")</f>
        <v>10.85776330076</v>
      </c>
      <c r="AW126" s="12" t="n">
        <f aca="false">IF(G126&gt;0,W126/G126*10000,"")</f>
        <v>38.0021715526602</v>
      </c>
      <c r="AX126" s="12" t="n">
        <f aca="false">IF(I126&gt;0,K126/I126*100,"")</f>
        <v>41.1764705882353</v>
      </c>
      <c r="AY126" s="9" t="str">
        <f aca="false">IF(AQ126&gt;=100,"ok",IF(AQ126&gt;0,"effectif faible (&lt;100)","aucune association"))</f>
        <v>ok</v>
      </c>
    </row>
    <row r="127" customFormat="false" ht="15" hidden="false" customHeight="false" outlineLevel="0" collapsed="false">
      <c r="A127" s="9" t="s">
        <v>369</v>
      </c>
      <c r="B127" s="9" t="s">
        <v>370</v>
      </c>
      <c r="C127" s="9" t="s">
        <v>100</v>
      </c>
      <c r="D127" s="9" t="s">
        <v>107</v>
      </c>
      <c r="E127" s="9" t="s">
        <v>102</v>
      </c>
      <c r="F127" s="9" t="s">
        <v>103</v>
      </c>
      <c r="G127" s="10" t="n">
        <v>240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1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f aca="false">I127+J127</f>
        <v>0</v>
      </c>
      <c r="AR127" s="11" t="str">
        <f aca="false">IF(AQ127&gt;0,I127/AQ127,"")</f>
        <v/>
      </c>
      <c r="AS127" s="11" t="str">
        <f aca="false">IF((P127+Q127)&gt;0,P127/(P127+Q127),"")</f>
        <v/>
      </c>
      <c r="AT127" s="12" t="str">
        <f aca="false">IF(AND(ISNUMBER(AR127),ISNUMBER(AS127)),(AR127-AS127)*100,"")</f>
        <v/>
      </c>
      <c r="AU127" s="12" t="n">
        <f aca="false">IF(G127&gt;0,I127/G127*1000,"")</f>
        <v>0</v>
      </c>
      <c r="AV127" s="12" t="n">
        <f aca="false">IF(G127&gt;0,H127/G127*10000,"")</f>
        <v>0</v>
      </c>
      <c r="AW127" s="12" t="n">
        <f aca="false">IF(G127&gt;0,W127/G127*10000,"")</f>
        <v>41.6666666666667</v>
      </c>
      <c r="AX127" s="12" t="str">
        <f aca="false">IF(I127&gt;0,K127/I127*100,"")</f>
        <v/>
      </c>
      <c r="AY127" s="9" t="str">
        <f aca="false">IF(AQ127&gt;=100,"ok",IF(AQ127&gt;0,"effectif faible (&lt;100)","aucune association"))</f>
        <v>aucune association</v>
      </c>
    </row>
    <row r="128" customFormat="false" ht="15" hidden="false" customHeight="false" outlineLevel="0" collapsed="false">
      <c r="A128" s="9" t="s">
        <v>371</v>
      </c>
      <c r="B128" s="9" t="s">
        <v>372</v>
      </c>
      <c r="C128" s="9" t="s">
        <v>200</v>
      </c>
      <c r="D128" s="9" t="s">
        <v>101</v>
      </c>
      <c r="E128" s="9" t="s">
        <v>173</v>
      </c>
      <c r="F128" s="9" t="s">
        <v>117</v>
      </c>
      <c r="G128" s="10" t="n">
        <v>2058</v>
      </c>
      <c r="H128" s="10" t="n">
        <v>2</v>
      </c>
      <c r="I128" s="10" t="n">
        <v>27</v>
      </c>
      <c r="J128" s="10" t="n">
        <v>361</v>
      </c>
      <c r="K128" s="10" t="n">
        <v>48</v>
      </c>
      <c r="L128" s="10" t="n">
        <v>1</v>
      </c>
      <c r="M128" s="10" t="n">
        <v>1</v>
      </c>
      <c r="N128" s="10" t="n">
        <v>0</v>
      </c>
      <c r="O128" s="10" t="n">
        <v>2</v>
      </c>
      <c r="P128" s="10" t="n">
        <v>32</v>
      </c>
      <c r="Q128" s="10" t="n">
        <v>346</v>
      </c>
      <c r="R128" s="10" t="n">
        <v>0</v>
      </c>
      <c r="S128" s="10" t="n">
        <v>0</v>
      </c>
      <c r="T128" s="10" t="n">
        <v>0</v>
      </c>
      <c r="U128" s="10" t="n">
        <v>3</v>
      </c>
      <c r="V128" s="10" t="n">
        <v>0</v>
      </c>
      <c r="W128" s="10" t="n">
        <v>3</v>
      </c>
      <c r="X128" s="10" t="n">
        <v>0</v>
      </c>
      <c r="Y128" s="10" t="n">
        <v>0</v>
      </c>
      <c r="Z128" s="10" t="n">
        <v>1</v>
      </c>
      <c r="AA128" s="10" t="n">
        <v>3</v>
      </c>
      <c r="AB128" s="10" t="n">
        <v>0</v>
      </c>
      <c r="AC128" s="10" t="n">
        <v>0</v>
      </c>
      <c r="AD128" s="10" t="n">
        <v>0</v>
      </c>
      <c r="AE128" s="10" t="n">
        <v>3</v>
      </c>
      <c r="AF128" s="10" t="n">
        <v>4</v>
      </c>
      <c r="AG128" s="10" t="n">
        <v>4</v>
      </c>
      <c r="AH128" s="10" t="n">
        <v>2</v>
      </c>
      <c r="AI128" s="10" t="n">
        <v>3</v>
      </c>
      <c r="AJ128" s="10" t="n">
        <v>248</v>
      </c>
      <c r="AK128" s="10" t="n">
        <v>313</v>
      </c>
      <c r="AL128" s="10" t="n">
        <v>743</v>
      </c>
      <c r="AM128" s="10" t="n">
        <v>534</v>
      </c>
      <c r="AN128" s="10" t="n">
        <v>309</v>
      </c>
      <c r="AO128" s="10" t="n">
        <v>378</v>
      </c>
      <c r="AP128" s="10" t="n">
        <v>388</v>
      </c>
      <c r="AQ128" s="10" t="n">
        <f aca="false">I128+J128</f>
        <v>388</v>
      </c>
      <c r="AR128" s="11" t="n">
        <f aca="false">IF(AQ128&gt;0,I128/AQ128,"")</f>
        <v>0.0695876288659794</v>
      </c>
      <c r="AS128" s="11" t="n">
        <f aca="false">IF((P128+Q128)&gt;0,P128/(P128+Q128),"")</f>
        <v>0.0846560846560847</v>
      </c>
      <c r="AT128" s="12" t="n">
        <f aca="false">IF(AND(ISNUMBER(AR128),ISNUMBER(AS128)),(AR128-AS128)*100,"")</f>
        <v>-1.50684557901053</v>
      </c>
      <c r="AU128" s="12" t="n">
        <f aca="false">IF(G128&gt;0,I128/G128*1000,"")</f>
        <v>13.1195335276968</v>
      </c>
      <c r="AV128" s="12" t="n">
        <f aca="false">IF(G128&gt;0,H128/G128*10000,"")</f>
        <v>9.71817298347911</v>
      </c>
      <c r="AW128" s="12" t="n">
        <f aca="false">IF(G128&gt;0,W128/G128*10000,"")</f>
        <v>14.5772594752187</v>
      </c>
      <c r="AX128" s="12" t="n">
        <f aca="false">IF(I128&gt;0,K128/I128*100,"")</f>
        <v>177.777777777778</v>
      </c>
      <c r="AY128" s="9" t="str">
        <f aca="false">IF(AQ128&gt;=100,"ok",IF(AQ128&gt;0,"effectif faible (&lt;100)","aucune association"))</f>
        <v>ok</v>
      </c>
    </row>
    <row r="129" customFormat="false" ht="15" hidden="false" customHeight="false" outlineLevel="0" collapsed="false">
      <c r="A129" s="9" t="s">
        <v>373</v>
      </c>
      <c r="B129" s="9" t="s">
        <v>374</v>
      </c>
      <c r="C129" s="9" t="s">
        <v>155</v>
      </c>
      <c r="D129" s="9" t="s">
        <v>107</v>
      </c>
      <c r="E129" s="9" t="s">
        <v>156</v>
      </c>
      <c r="F129" s="9"/>
      <c r="G129" s="10" t="n">
        <v>903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f aca="false">I129+J129</f>
        <v>0</v>
      </c>
      <c r="AR129" s="11" t="str">
        <f aca="false">IF(AQ129&gt;0,I129/AQ129,"")</f>
        <v/>
      </c>
      <c r="AS129" s="11" t="str">
        <f aca="false">IF((P129+Q129)&gt;0,P129/(P129+Q129),"")</f>
        <v/>
      </c>
      <c r="AT129" s="12" t="str">
        <f aca="false">IF(AND(ISNUMBER(AR129),ISNUMBER(AS129)),(AR129-AS129)*100,"")</f>
        <v/>
      </c>
      <c r="AU129" s="12" t="n">
        <f aca="false">IF(G129&gt;0,I129/G129*1000,"")</f>
        <v>0</v>
      </c>
      <c r="AV129" s="12" t="n">
        <f aca="false">IF(G129&gt;0,H129/G129*10000,"")</f>
        <v>0</v>
      </c>
      <c r="AW129" s="12" t="n">
        <f aca="false">IF(G129&gt;0,W129/G129*10000,"")</f>
        <v>0</v>
      </c>
      <c r="AX129" s="12" t="str">
        <f aca="false">IF(I129&gt;0,K129/I129*100,"")</f>
        <v/>
      </c>
      <c r="AY129" s="9" t="str">
        <f aca="false">IF(AQ129&gt;=100,"ok",IF(AQ129&gt;0,"effectif faible (&lt;100)","aucune association"))</f>
        <v>aucune association</v>
      </c>
    </row>
    <row r="130" customFormat="false" ht="15" hidden="false" customHeight="false" outlineLevel="0" collapsed="false">
      <c r="A130" s="9" t="s">
        <v>375</v>
      </c>
      <c r="B130" s="9" t="s">
        <v>376</v>
      </c>
      <c r="C130" s="9" t="s">
        <v>155</v>
      </c>
      <c r="D130" s="9" t="s">
        <v>107</v>
      </c>
      <c r="E130" s="9" t="s">
        <v>156</v>
      </c>
      <c r="F130" s="9"/>
      <c r="G130" s="10" t="n">
        <v>549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f aca="false">I130+J130</f>
        <v>0</v>
      </c>
      <c r="AR130" s="11" t="str">
        <f aca="false">IF(AQ130&gt;0,I130/AQ130,"")</f>
        <v/>
      </c>
      <c r="AS130" s="11" t="str">
        <f aca="false">IF((P130+Q130)&gt;0,P130/(P130+Q130),"")</f>
        <v/>
      </c>
      <c r="AT130" s="12" t="str">
        <f aca="false">IF(AND(ISNUMBER(AR130),ISNUMBER(AS130)),(AR130-AS130)*100,"")</f>
        <v/>
      </c>
      <c r="AU130" s="12" t="n">
        <f aca="false">IF(G130&gt;0,I130/G130*1000,"")</f>
        <v>0</v>
      </c>
      <c r="AV130" s="12" t="n">
        <f aca="false">IF(G130&gt;0,H130/G130*10000,"")</f>
        <v>0</v>
      </c>
      <c r="AW130" s="12" t="n">
        <f aca="false">IF(G130&gt;0,W130/G130*10000,"")</f>
        <v>0</v>
      </c>
      <c r="AX130" s="12" t="str">
        <f aca="false">IF(I130&gt;0,K130/I130*100,"")</f>
        <v/>
      </c>
      <c r="AY130" s="9" t="str">
        <f aca="false">IF(AQ130&gt;=100,"ok",IF(AQ130&gt;0,"effectif faible (&lt;100)","aucune association"))</f>
        <v>aucune association</v>
      </c>
    </row>
    <row r="131" customFormat="false" ht="15" hidden="false" customHeight="false" outlineLevel="0" collapsed="false">
      <c r="A131" s="9" t="s">
        <v>377</v>
      </c>
      <c r="B131" s="9" t="s">
        <v>378</v>
      </c>
      <c r="C131" s="9" t="s">
        <v>106</v>
      </c>
      <c r="D131" s="9" t="s">
        <v>107</v>
      </c>
      <c r="E131" s="9" t="s">
        <v>102</v>
      </c>
      <c r="F131" s="9" t="s">
        <v>103</v>
      </c>
      <c r="G131" s="10" t="n">
        <v>719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6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f aca="false">I131+J131</f>
        <v>0</v>
      </c>
      <c r="AR131" s="11" t="str">
        <f aca="false">IF(AQ131&gt;0,I131/AQ131,"")</f>
        <v/>
      </c>
      <c r="AS131" s="11" t="str">
        <f aca="false">IF((P131+Q131)&gt;0,P131/(P131+Q131),"")</f>
        <v/>
      </c>
      <c r="AT131" s="12" t="str">
        <f aca="false">IF(AND(ISNUMBER(AR131),ISNUMBER(AS131)),(AR131-AS131)*100,"")</f>
        <v/>
      </c>
      <c r="AU131" s="12" t="n">
        <f aca="false">IF(G131&gt;0,I131/G131*1000,"")</f>
        <v>0</v>
      </c>
      <c r="AV131" s="12" t="n">
        <f aca="false">IF(G131&gt;0,H131/G131*10000,"")</f>
        <v>0</v>
      </c>
      <c r="AW131" s="12" t="n">
        <f aca="false">IF(G131&gt;0,W131/G131*10000,"")</f>
        <v>83.4492350486787</v>
      </c>
      <c r="AX131" s="12" t="str">
        <f aca="false">IF(I131&gt;0,K131/I131*100,"")</f>
        <v/>
      </c>
      <c r="AY131" s="9" t="str">
        <f aca="false">IF(AQ131&gt;=100,"ok",IF(AQ131&gt;0,"effectif faible (&lt;100)","aucune association"))</f>
        <v>aucune association</v>
      </c>
    </row>
    <row r="132" customFormat="false" ht="15" hidden="false" customHeight="false" outlineLevel="0" collapsed="false">
      <c r="A132" s="9" t="s">
        <v>379</v>
      </c>
      <c r="B132" s="9" t="s">
        <v>380</v>
      </c>
      <c r="C132" s="9" t="s">
        <v>106</v>
      </c>
      <c r="D132" s="9" t="s">
        <v>107</v>
      </c>
      <c r="E132" s="9" t="s">
        <v>108</v>
      </c>
      <c r="F132" s="9" t="s">
        <v>103</v>
      </c>
      <c r="G132" s="10" t="n">
        <v>327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2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f aca="false">I132+J132</f>
        <v>0</v>
      </c>
      <c r="AR132" s="11" t="str">
        <f aca="false">IF(AQ132&gt;0,I132/AQ132,"")</f>
        <v/>
      </c>
      <c r="AS132" s="11" t="str">
        <f aca="false">IF((P132+Q132)&gt;0,P132/(P132+Q132),"")</f>
        <v/>
      </c>
      <c r="AT132" s="12" t="str">
        <f aca="false">IF(AND(ISNUMBER(AR132),ISNUMBER(AS132)),(AR132-AS132)*100,"")</f>
        <v/>
      </c>
      <c r="AU132" s="12" t="n">
        <f aca="false">IF(G132&gt;0,I132/G132*1000,"")</f>
        <v>0</v>
      </c>
      <c r="AV132" s="12" t="n">
        <f aca="false">IF(G132&gt;0,H132/G132*10000,"")</f>
        <v>0</v>
      </c>
      <c r="AW132" s="12" t="n">
        <f aca="false">IF(G132&gt;0,W132/G132*10000,"")</f>
        <v>61.1620795107034</v>
      </c>
      <c r="AX132" s="12" t="str">
        <f aca="false">IF(I132&gt;0,K132/I132*100,"")</f>
        <v/>
      </c>
      <c r="AY132" s="9" t="str">
        <f aca="false">IF(AQ132&gt;=100,"ok",IF(AQ132&gt;0,"effectif faible (&lt;100)","aucune association"))</f>
        <v>aucune association</v>
      </c>
    </row>
    <row r="133" customFormat="false" ht="15" hidden="false" customHeight="false" outlineLevel="0" collapsed="false">
      <c r="A133" s="9" t="s">
        <v>381</v>
      </c>
      <c r="B133" s="9" t="s">
        <v>382</v>
      </c>
      <c r="C133" s="9" t="s">
        <v>200</v>
      </c>
      <c r="D133" s="9" t="s">
        <v>101</v>
      </c>
      <c r="E133" s="9" t="s">
        <v>173</v>
      </c>
      <c r="F133" s="9" t="s">
        <v>117</v>
      </c>
      <c r="G133" s="10" t="n">
        <v>17954</v>
      </c>
      <c r="H133" s="10" t="n">
        <v>6</v>
      </c>
      <c r="I133" s="10" t="n">
        <v>277</v>
      </c>
      <c r="J133" s="10" t="n">
        <v>1164</v>
      </c>
      <c r="K133" s="10" t="n">
        <v>111</v>
      </c>
      <c r="L133" s="10" t="n">
        <v>4</v>
      </c>
      <c r="M133" s="10" t="n">
        <v>2</v>
      </c>
      <c r="N133" s="10" t="n">
        <v>1</v>
      </c>
      <c r="O133" s="10" t="n">
        <v>6</v>
      </c>
      <c r="P133" s="10" t="n">
        <v>193</v>
      </c>
      <c r="Q133" s="10" t="n">
        <v>1087</v>
      </c>
      <c r="R133" s="10" t="n">
        <v>6</v>
      </c>
      <c r="S133" s="10" t="n">
        <v>1133</v>
      </c>
      <c r="T133" s="10" t="n">
        <v>35</v>
      </c>
      <c r="U133" s="10" t="n">
        <v>6</v>
      </c>
      <c r="V133" s="10" t="n">
        <v>6</v>
      </c>
      <c r="W133" s="10" t="n">
        <v>25</v>
      </c>
      <c r="X133" s="10" t="n">
        <v>8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1</v>
      </c>
      <c r="AD133" s="10" t="n">
        <v>0</v>
      </c>
      <c r="AE133" s="10" t="n">
        <v>6</v>
      </c>
      <c r="AF133" s="10" t="n">
        <v>7</v>
      </c>
      <c r="AG133" s="10" t="n">
        <v>7</v>
      </c>
      <c r="AH133" s="10" t="n">
        <v>8</v>
      </c>
      <c r="AI133" s="10" t="n">
        <v>6</v>
      </c>
      <c r="AJ133" s="10" t="n">
        <v>1188</v>
      </c>
      <c r="AK133" s="10" t="n">
        <v>1281</v>
      </c>
      <c r="AL133" s="10" t="n">
        <v>1137</v>
      </c>
      <c r="AM133" s="10" t="n">
        <v>1740</v>
      </c>
      <c r="AN133" s="10" t="n">
        <v>1296</v>
      </c>
      <c r="AO133" s="10" t="n">
        <v>1280</v>
      </c>
      <c r="AP133" s="10" t="n">
        <v>1441</v>
      </c>
      <c r="AQ133" s="10" t="n">
        <f aca="false">I133+J133</f>
        <v>1441</v>
      </c>
      <c r="AR133" s="11" t="n">
        <f aca="false">IF(AQ133&gt;0,I133/AQ133,"")</f>
        <v>0.192227619708536</v>
      </c>
      <c r="AS133" s="11" t="n">
        <f aca="false">IF((P133+Q133)&gt;0,P133/(P133+Q133),"")</f>
        <v>0.15078125</v>
      </c>
      <c r="AT133" s="12" t="n">
        <f aca="false">IF(AND(ISNUMBER(AR133),ISNUMBER(AS133)),(AR133-AS133)*100,"")</f>
        <v>4.14463697085357</v>
      </c>
      <c r="AU133" s="12" t="n">
        <f aca="false">IF(G133&gt;0,I133/G133*1000,"")</f>
        <v>15.4283168096246</v>
      </c>
      <c r="AV133" s="12" t="n">
        <f aca="false">IF(G133&gt;0,H133/G133*10000,"")</f>
        <v>3.341873677175</v>
      </c>
      <c r="AW133" s="12" t="n">
        <f aca="false">IF(G133&gt;0,W133/G133*10000,"")</f>
        <v>13.9244736548958</v>
      </c>
      <c r="AX133" s="12" t="n">
        <f aca="false">IF(I133&gt;0,K133/I133*100,"")</f>
        <v>40.072202166065</v>
      </c>
      <c r="AY133" s="9" t="str">
        <f aca="false">IF(AQ133&gt;=100,"ok",IF(AQ133&gt;0,"effectif faible (&lt;100)","aucune association"))</f>
        <v>ok</v>
      </c>
    </row>
    <row r="134" customFormat="false" ht="15" hidden="false" customHeight="false" outlineLevel="0" collapsed="false">
      <c r="A134" s="9" t="s">
        <v>383</v>
      </c>
      <c r="B134" s="9" t="s">
        <v>384</v>
      </c>
      <c r="C134" s="9" t="s">
        <v>155</v>
      </c>
      <c r="D134" s="9" t="s">
        <v>101</v>
      </c>
      <c r="E134" s="9" t="s">
        <v>197</v>
      </c>
      <c r="F134" s="9" t="s">
        <v>135</v>
      </c>
      <c r="G134" s="10" t="n">
        <v>5655</v>
      </c>
      <c r="H134" s="10" t="n">
        <v>2</v>
      </c>
      <c r="I134" s="10" t="n">
        <v>563</v>
      </c>
      <c r="J134" s="10" t="n">
        <v>277</v>
      </c>
      <c r="K134" s="10" t="n">
        <v>23</v>
      </c>
      <c r="L134" s="10" t="n">
        <v>5</v>
      </c>
      <c r="M134" s="10" t="n">
        <v>1</v>
      </c>
      <c r="N134" s="10" t="n">
        <v>1</v>
      </c>
      <c r="O134" s="10" t="n">
        <v>1</v>
      </c>
      <c r="P134" s="10" t="n">
        <v>363</v>
      </c>
      <c r="Q134" s="10" t="n">
        <v>242</v>
      </c>
      <c r="R134" s="10" t="n">
        <v>0</v>
      </c>
      <c r="S134" s="10" t="n">
        <v>0</v>
      </c>
      <c r="T134" s="10" t="n">
        <v>0</v>
      </c>
      <c r="U134" s="10" t="n">
        <v>2</v>
      </c>
      <c r="V134" s="10" t="n">
        <v>0</v>
      </c>
      <c r="W134" s="10" t="n">
        <v>14</v>
      </c>
      <c r="X134" s="10" t="n">
        <v>2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3</v>
      </c>
      <c r="AF134" s="10" t="n">
        <v>2</v>
      </c>
      <c r="AG134" s="10" t="n">
        <v>2</v>
      </c>
      <c r="AH134" s="10" t="n">
        <v>1</v>
      </c>
      <c r="AI134" s="10" t="n">
        <v>1</v>
      </c>
      <c r="AJ134" s="10" t="n">
        <v>316</v>
      </c>
      <c r="AK134" s="10" t="n">
        <v>181</v>
      </c>
      <c r="AL134" s="10" t="n">
        <v>152</v>
      </c>
      <c r="AM134" s="10" t="n">
        <v>67</v>
      </c>
      <c r="AN134" s="10" t="n">
        <v>86</v>
      </c>
      <c r="AO134" s="10" t="n">
        <v>605</v>
      </c>
      <c r="AP134" s="10" t="n">
        <v>840</v>
      </c>
      <c r="AQ134" s="10" t="n">
        <f aca="false">I134+J134</f>
        <v>840</v>
      </c>
      <c r="AR134" s="11" t="n">
        <f aca="false">IF(AQ134&gt;0,I134/AQ134,"")</f>
        <v>0.670238095238095</v>
      </c>
      <c r="AS134" s="11" t="n">
        <f aca="false">IF((P134+Q134)&gt;0,P134/(P134+Q134),"")</f>
        <v>0.6</v>
      </c>
      <c r="AT134" s="12" t="n">
        <f aca="false">IF(AND(ISNUMBER(AR134),ISNUMBER(AS134)),(AR134-AS134)*100,"")</f>
        <v>7.02380952380952</v>
      </c>
      <c r="AU134" s="12" t="n">
        <f aca="false">IF(G134&gt;0,I134/G134*1000,"")</f>
        <v>99.5579133510168</v>
      </c>
      <c r="AV134" s="12" t="n">
        <f aca="false">IF(G134&gt;0,H134/G134*10000,"")</f>
        <v>3.53669319186561</v>
      </c>
      <c r="AW134" s="12" t="n">
        <f aca="false">IF(G134&gt;0,W134/G134*10000,"")</f>
        <v>24.7568523430592</v>
      </c>
      <c r="AX134" s="12" t="n">
        <f aca="false">IF(I134&gt;0,K134/I134*100,"")</f>
        <v>4.08525754884547</v>
      </c>
      <c r="AY134" s="9" t="str">
        <f aca="false">IF(AQ134&gt;=100,"ok",IF(AQ134&gt;0,"effectif faible (&lt;100)","aucune association"))</f>
        <v>ok</v>
      </c>
    </row>
    <row r="135" customFormat="false" ht="15" hidden="false" customHeight="false" outlineLevel="0" collapsed="false">
      <c r="A135" s="9" t="s">
        <v>385</v>
      </c>
      <c r="B135" s="9" t="s">
        <v>386</v>
      </c>
      <c r="C135" s="9" t="s">
        <v>155</v>
      </c>
      <c r="D135" s="9" t="s">
        <v>101</v>
      </c>
      <c r="E135" s="9" t="s">
        <v>156</v>
      </c>
      <c r="F135" s="9" t="s">
        <v>157</v>
      </c>
      <c r="G135" s="10" t="n">
        <v>14359</v>
      </c>
      <c r="H135" s="10" t="n">
        <v>8</v>
      </c>
      <c r="I135" s="10" t="n">
        <v>334</v>
      </c>
      <c r="J135" s="10" t="n">
        <v>769</v>
      </c>
      <c r="K135" s="10" t="n">
        <v>143</v>
      </c>
      <c r="L135" s="10" t="n">
        <v>0</v>
      </c>
      <c r="M135" s="10" t="n">
        <v>3</v>
      </c>
      <c r="N135" s="10" t="n">
        <v>2</v>
      </c>
      <c r="O135" s="10" t="n">
        <v>10</v>
      </c>
      <c r="P135" s="10" t="n">
        <v>441</v>
      </c>
      <c r="Q135" s="10" t="n">
        <v>995</v>
      </c>
      <c r="R135" s="10" t="n">
        <v>5</v>
      </c>
      <c r="S135" s="10" t="n">
        <v>1311</v>
      </c>
      <c r="T135" s="10" t="n">
        <v>37</v>
      </c>
      <c r="U135" s="10" t="n">
        <v>9</v>
      </c>
      <c r="V135" s="10" t="n">
        <v>5</v>
      </c>
      <c r="W135" s="10" t="n">
        <v>9</v>
      </c>
      <c r="X135" s="10" t="n">
        <v>1</v>
      </c>
      <c r="Y135" s="10" t="n">
        <v>0</v>
      </c>
      <c r="Z135" s="10" t="n">
        <v>1</v>
      </c>
      <c r="AA135" s="10" t="n">
        <v>1</v>
      </c>
      <c r="AB135" s="10" t="n">
        <v>1</v>
      </c>
      <c r="AC135" s="10" t="n">
        <v>2</v>
      </c>
      <c r="AD135" s="10" t="n">
        <v>0</v>
      </c>
      <c r="AE135" s="10" t="n">
        <v>7</v>
      </c>
      <c r="AF135" s="10" t="n">
        <v>11</v>
      </c>
      <c r="AG135" s="10" t="n">
        <v>10</v>
      </c>
      <c r="AH135" s="10" t="n">
        <v>11</v>
      </c>
      <c r="AI135" s="10" t="n">
        <v>11</v>
      </c>
      <c r="AJ135" s="10" t="n">
        <v>878</v>
      </c>
      <c r="AK135" s="10" t="n">
        <v>1473</v>
      </c>
      <c r="AL135" s="10" t="n">
        <v>1137</v>
      </c>
      <c r="AM135" s="10" t="n">
        <v>1708</v>
      </c>
      <c r="AN135" s="10" t="n">
        <v>1513</v>
      </c>
      <c r="AO135" s="10" t="n">
        <v>1436</v>
      </c>
      <c r="AP135" s="10" t="n">
        <v>1103</v>
      </c>
      <c r="AQ135" s="10" t="n">
        <f aca="false">I135+J135</f>
        <v>1103</v>
      </c>
      <c r="AR135" s="11" t="n">
        <f aca="false">IF(AQ135&gt;0,I135/AQ135,"")</f>
        <v>0.302810516772439</v>
      </c>
      <c r="AS135" s="11" t="n">
        <f aca="false">IF((P135+Q135)&gt;0,P135/(P135+Q135),"")</f>
        <v>0.307103064066852</v>
      </c>
      <c r="AT135" s="12" t="n">
        <f aca="false">IF(AND(ISNUMBER(AR135),ISNUMBER(AS135)),(AR135-AS135)*100,"")</f>
        <v>-0.429254729441358</v>
      </c>
      <c r="AU135" s="12" t="n">
        <f aca="false">IF(G135&gt;0,I135/G135*1000,"")</f>
        <v>23.2606727487987</v>
      </c>
      <c r="AV135" s="12" t="n">
        <f aca="false">IF(G135&gt;0,H135/G135*10000,"")</f>
        <v>5.57141862246675</v>
      </c>
      <c r="AW135" s="12" t="n">
        <f aca="false">IF(G135&gt;0,W135/G135*10000,"")</f>
        <v>6.26784595027509</v>
      </c>
      <c r="AX135" s="12" t="n">
        <f aca="false">IF(I135&gt;0,K135/I135*100,"")</f>
        <v>42.814371257485</v>
      </c>
      <c r="AY135" s="9" t="str">
        <f aca="false">IF(AQ135&gt;=100,"ok",IF(AQ135&gt;0,"effectif faible (&lt;100)","aucune association"))</f>
        <v>ok</v>
      </c>
    </row>
    <row r="136" customFormat="false" ht="15" hidden="false" customHeight="false" outlineLevel="0" collapsed="false">
      <c r="A136" s="9" t="s">
        <v>387</v>
      </c>
      <c r="B136" s="9" t="s">
        <v>388</v>
      </c>
      <c r="C136" s="9" t="s">
        <v>151</v>
      </c>
      <c r="D136" s="9" t="s">
        <v>101</v>
      </c>
      <c r="E136" s="9" t="s">
        <v>152</v>
      </c>
      <c r="F136" s="9" t="s">
        <v>117</v>
      </c>
      <c r="G136" s="10" t="n">
        <v>10130</v>
      </c>
      <c r="H136" s="10" t="n">
        <v>4</v>
      </c>
      <c r="I136" s="10" t="n">
        <v>440</v>
      </c>
      <c r="J136" s="10" t="n">
        <v>551</v>
      </c>
      <c r="K136" s="10" t="n">
        <v>59</v>
      </c>
      <c r="L136" s="10" t="n">
        <v>8</v>
      </c>
      <c r="M136" s="10" t="n">
        <v>1</v>
      </c>
      <c r="N136" s="10" t="n">
        <v>1</v>
      </c>
      <c r="O136" s="10" t="n">
        <v>4</v>
      </c>
      <c r="P136" s="10" t="n">
        <v>381</v>
      </c>
      <c r="Q136" s="10" t="n">
        <v>489</v>
      </c>
      <c r="R136" s="10" t="n">
        <v>1</v>
      </c>
      <c r="S136" s="10" t="n">
        <v>96</v>
      </c>
      <c r="T136" s="10" t="n">
        <v>6</v>
      </c>
      <c r="U136" s="10" t="n">
        <v>3</v>
      </c>
      <c r="V136" s="10" t="n">
        <v>1</v>
      </c>
      <c r="W136" s="10" t="n">
        <v>16</v>
      </c>
      <c r="X136" s="10" t="n">
        <v>5</v>
      </c>
      <c r="Y136" s="10" t="n">
        <v>1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4</v>
      </c>
      <c r="AF136" s="10" t="n">
        <v>4</v>
      </c>
      <c r="AG136" s="10" t="n">
        <v>4</v>
      </c>
      <c r="AH136" s="10" t="n">
        <v>4</v>
      </c>
      <c r="AI136" s="10" t="n">
        <v>4</v>
      </c>
      <c r="AJ136" s="10" t="n">
        <v>836</v>
      </c>
      <c r="AK136" s="10" t="n">
        <v>991</v>
      </c>
      <c r="AL136" s="10" t="n">
        <v>731</v>
      </c>
      <c r="AM136" s="10" t="n">
        <v>804</v>
      </c>
      <c r="AN136" s="10" t="n">
        <v>904</v>
      </c>
      <c r="AO136" s="10" t="n">
        <v>870</v>
      </c>
      <c r="AP136" s="10" t="n">
        <v>991</v>
      </c>
      <c r="AQ136" s="10" t="n">
        <f aca="false">I136+J136</f>
        <v>991</v>
      </c>
      <c r="AR136" s="11" t="n">
        <f aca="false">IF(AQ136&gt;0,I136/AQ136,"")</f>
        <v>0.443995963673058</v>
      </c>
      <c r="AS136" s="11" t="n">
        <f aca="false">IF((P136+Q136)&gt;0,P136/(P136+Q136),"")</f>
        <v>0.437931034482759</v>
      </c>
      <c r="AT136" s="12" t="n">
        <f aca="false">IF(AND(ISNUMBER(AR136),ISNUMBER(AS136)),(AR136-AS136)*100,"")</f>
        <v>0.606492919029888</v>
      </c>
      <c r="AU136" s="12" t="n">
        <f aca="false">IF(G136&gt;0,I136/G136*1000,"")</f>
        <v>43.4353405725568</v>
      </c>
      <c r="AV136" s="12" t="n">
        <f aca="false">IF(G136&gt;0,H136/G136*10000,"")</f>
        <v>3.94866732477789</v>
      </c>
      <c r="AW136" s="12" t="n">
        <f aca="false">IF(G136&gt;0,W136/G136*10000,"")</f>
        <v>15.7946692991115</v>
      </c>
      <c r="AX136" s="12" t="n">
        <f aca="false">IF(I136&gt;0,K136/I136*100,"")</f>
        <v>13.4090909090909</v>
      </c>
      <c r="AY136" s="9" t="str">
        <f aca="false">IF(AQ136&gt;=100,"ok",IF(AQ136&gt;0,"effectif faible (&lt;100)","aucune association"))</f>
        <v>ok</v>
      </c>
    </row>
    <row r="137" customFormat="false" ht="15" hidden="false" customHeight="false" outlineLevel="0" collapsed="false">
      <c r="A137" s="9" t="s">
        <v>389</v>
      </c>
      <c r="B137" s="9" t="s">
        <v>390</v>
      </c>
      <c r="C137" s="9" t="s">
        <v>237</v>
      </c>
      <c r="D137" s="9" t="s">
        <v>107</v>
      </c>
      <c r="E137" s="9" t="s">
        <v>116</v>
      </c>
      <c r="F137" s="9" t="s">
        <v>117</v>
      </c>
      <c r="G137" s="10" t="n">
        <v>768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4</v>
      </c>
      <c r="X137" s="10" t="n">
        <v>1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f aca="false">I137+J137</f>
        <v>0</v>
      </c>
      <c r="AR137" s="11" t="str">
        <f aca="false">IF(AQ137&gt;0,I137/AQ137,"")</f>
        <v/>
      </c>
      <c r="AS137" s="11" t="str">
        <f aca="false">IF((P137+Q137)&gt;0,P137/(P137+Q137),"")</f>
        <v/>
      </c>
      <c r="AT137" s="12" t="str">
        <f aca="false">IF(AND(ISNUMBER(AR137),ISNUMBER(AS137)),(AR137-AS137)*100,"")</f>
        <v/>
      </c>
      <c r="AU137" s="12" t="n">
        <f aca="false">IF(G137&gt;0,I137/G137*1000,"")</f>
        <v>0</v>
      </c>
      <c r="AV137" s="12" t="n">
        <f aca="false">IF(G137&gt;0,H137/G137*10000,"")</f>
        <v>0</v>
      </c>
      <c r="AW137" s="12" t="n">
        <f aca="false">IF(G137&gt;0,W137/G137*10000,"")</f>
        <v>52.0833333333333</v>
      </c>
      <c r="AX137" s="12" t="str">
        <f aca="false">IF(I137&gt;0,K137/I137*100,"")</f>
        <v/>
      </c>
      <c r="AY137" s="9" t="str">
        <f aca="false">IF(AQ137&gt;=100,"ok",IF(AQ137&gt;0,"effectif faible (&lt;100)","aucune association"))</f>
        <v>aucune association</v>
      </c>
    </row>
    <row r="138" customFormat="false" ht="15" hidden="false" customHeight="false" outlineLevel="0" collapsed="false">
      <c r="A138" s="9" t="s">
        <v>391</v>
      </c>
      <c r="B138" s="9" t="s">
        <v>100</v>
      </c>
      <c r="C138" s="9" t="s">
        <v>100</v>
      </c>
      <c r="D138" s="9" t="s">
        <v>101</v>
      </c>
      <c r="E138" s="9" t="s">
        <v>173</v>
      </c>
      <c r="F138" s="9" t="s">
        <v>117</v>
      </c>
      <c r="G138" s="10" t="n">
        <v>31970</v>
      </c>
      <c r="H138" s="10" t="n">
        <v>16</v>
      </c>
      <c r="I138" s="10" t="n">
        <v>3122</v>
      </c>
      <c r="J138" s="10" t="n">
        <v>4007</v>
      </c>
      <c r="K138" s="10" t="n">
        <v>520</v>
      </c>
      <c r="L138" s="10" t="n">
        <v>75</v>
      </c>
      <c r="M138" s="10" t="n">
        <v>4</v>
      </c>
      <c r="N138" s="10" t="n">
        <v>4</v>
      </c>
      <c r="O138" s="10" t="n">
        <v>16</v>
      </c>
      <c r="P138" s="10" t="n">
        <v>2854</v>
      </c>
      <c r="Q138" s="10" t="n">
        <v>4113</v>
      </c>
      <c r="R138" s="10" t="n">
        <v>4</v>
      </c>
      <c r="S138" s="10" t="n">
        <v>560</v>
      </c>
      <c r="T138" s="10" t="n">
        <v>23</v>
      </c>
      <c r="U138" s="10" t="n">
        <v>15</v>
      </c>
      <c r="V138" s="10" t="n">
        <v>3</v>
      </c>
      <c r="W138" s="10" t="n">
        <v>49</v>
      </c>
      <c r="X138" s="10" t="n">
        <v>15</v>
      </c>
      <c r="Y138" s="10" t="n">
        <v>1</v>
      </c>
      <c r="Z138" s="10" t="n">
        <v>4</v>
      </c>
      <c r="AA138" s="10" t="n">
        <v>3</v>
      </c>
      <c r="AB138" s="10" t="n">
        <v>3</v>
      </c>
      <c r="AC138" s="10" t="n">
        <v>1</v>
      </c>
      <c r="AD138" s="10" t="n">
        <v>0</v>
      </c>
      <c r="AE138" s="10" t="n">
        <v>15</v>
      </c>
      <c r="AF138" s="10" t="n">
        <v>17</v>
      </c>
      <c r="AG138" s="10" t="n">
        <v>16</v>
      </c>
      <c r="AH138" s="10" t="n">
        <v>16</v>
      </c>
      <c r="AI138" s="10" t="n">
        <v>15</v>
      </c>
      <c r="AJ138" s="10" t="n">
        <v>5652</v>
      </c>
      <c r="AK138" s="10" t="n">
        <v>6561</v>
      </c>
      <c r="AL138" s="10" t="n">
        <v>5548</v>
      </c>
      <c r="AM138" s="10" t="n">
        <v>5019</v>
      </c>
      <c r="AN138" s="10" t="n">
        <v>5698</v>
      </c>
      <c r="AO138" s="10" t="n">
        <v>6967</v>
      </c>
      <c r="AP138" s="10" t="n">
        <v>7129</v>
      </c>
      <c r="AQ138" s="10" t="n">
        <f aca="false">I138+J138</f>
        <v>7129</v>
      </c>
      <c r="AR138" s="11" t="n">
        <f aca="false">IF(AQ138&gt;0,I138/AQ138,"")</f>
        <v>0.43792958339178</v>
      </c>
      <c r="AS138" s="11" t="n">
        <f aca="false">IF((P138+Q138)&gt;0,P138/(P138+Q138),"")</f>
        <v>0.40964547150854</v>
      </c>
      <c r="AT138" s="12" t="n">
        <f aca="false">IF(AND(ISNUMBER(AR138),ISNUMBER(AS138)),(AR138-AS138)*100,"")</f>
        <v>2.82841118832398</v>
      </c>
      <c r="AU138" s="12" t="n">
        <f aca="false">IF(G138&gt;0,I138/G138*1000,"")</f>
        <v>97.6540506725055</v>
      </c>
      <c r="AV138" s="12" t="n">
        <f aca="false">IF(G138&gt;0,H138/G138*10000,"")</f>
        <v>5.00469189865499</v>
      </c>
      <c r="AW138" s="12" t="n">
        <f aca="false">IF(G138&gt;0,W138/G138*10000,"")</f>
        <v>15.3268689396309</v>
      </c>
      <c r="AX138" s="12" t="n">
        <f aca="false">IF(I138&gt;0,K138/I138*100,"")</f>
        <v>16.6559897501602</v>
      </c>
      <c r="AY138" s="9" t="str">
        <f aca="false">IF(AQ138&gt;=100,"ok",IF(AQ138&gt;0,"effectif faible (&lt;100)","aucune association"))</f>
        <v>ok</v>
      </c>
    </row>
    <row r="139" customFormat="false" ht="15" hidden="false" customHeight="false" outlineLevel="0" collapsed="false">
      <c r="A139" s="9" t="s">
        <v>392</v>
      </c>
      <c r="B139" s="9" t="s">
        <v>393</v>
      </c>
      <c r="C139" s="9" t="s">
        <v>155</v>
      </c>
      <c r="D139" s="9" t="s">
        <v>101</v>
      </c>
      <c r="E139" s="9" t="s">
        <v>197</v>
      </c>
      <c r="F139" s="9" t="s">
        <v>135</v>
      </c>
      <c r="G139" s="10" t="n">
        <v>4017</v>
      </c>
      <c r="H139" s="10" t="n">
        <v>3</v>
      </c>
      <c r="I139" s="10" t="n">
        <v>148</v>
      </c>
      <c r="J139" s="10" t="n">
        <v>114</v>
      </c>
      <c r="K139" s="10" t="n">
        <v>23</v>
      </c>
      <c r="L139" s="10" t="n">
        <v>7</v>
      </c>
      <c r="M139" s="10" t="n">
        <v>1</v>
      </c>
      <c r="N139" s="10" t="n">
        <v>1</v>
      </c>
      <c r="O139" s="10" t="n">
        <v>3</v>
      </c>
      <c r="P139" s="10" t="n">
        <v>126</v>
      </c>
      <c r="Q139" s="10" t="n">
        <v>94</v>
      </c>
      <c r="R139" s="10" t="n">
        <v>0</v>
      </c>
      <c r="S139" s="10" t="n">
        <v>0</v>
      </c>
      <c r="T139" s="10" t="n">
        <v>0</v>
      </c>
      <c r="U139" s="10" t="n">
        <v>3</v>
      </c>
      <c r="V139" s="10" t="n">
        <v>0</v>
      </c>
      <c r="W139" s="10" t="n">
        <v>6</v>
      </c>
      <c r="X139" s="10" t="n">
        <v>1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2</v>
      </c>
      <c r="AF139" s="10" t="n">
        <v>3</v>
      </c>
      <c r="AG139" s="10" t="n">
        <v>3</v>
      </c>
      <c r="AH139" s="10" t="n">
        <v>3</v>
      </c>
      <c r="AI139" s="10" t="n">
        <v>3</v>
      </c>
      <c r="AJ139" s="10" t="n">
        <v>250</v>
      </c>
      <c r="AK139" s="10" t="n">
        <v>204</v>
      </c>
      <c r="AL139" s="10" t="n">
        <v>171</v>
      </c>
      <c r="AM139" s="10" t="n">
        <v>158</v>
      </c>
      <c r="AN139" s="10" t="n">
        <v>182</v>
      </c>
      <c r="AO139" s="10" t="n">
        <v>220</v>
      </c>
      <c r="AP139" s="10" t="n">
        <v>262</v>
      </c>
      <c r="AQ139" s="10" t="n">
        <f aca="false">I139+J139</f>
        <v>262</v>
      </c>
      <c r="AR139" s="11" t="n">
        <f aca="false">IF(AQ139&gt;0,I139/AQ139,"")</f>
        <v>0.564885496183206</v>
      </c>
      <c r="AS139" s="11" t="n">
        <f aca="false">IF((P139+Q139)&gt;0,P139/(P139+Q139),"")</f>
        <v>0.572727272727273</v>
      </c>
      <c r="AT139" s="12" t="n">
        <f aca="false">IF(AND(ISNUMBER(AR139),ISNUMBER(AS139)),(AR139-AS139)*100,"")</f>
        <v>-0.784177654406659</v>
      </c>
      <c r="AU139" s="12" t="n">
        <f aca="false">IF(G139&gt;0,I139/G139*1000,"")</f>
        <v>36.8434154841922</v>
      </c>
      <c r="AV139" s="12" t="n">
        <f aca="false">IF(G139&gt;0,H139/G139*10000,"")</f>
        <v>7.46825989544436</v>
      </c>
      <c r="AW139" s="12" t="n">
        <f aca="false">IF(G139&gt;0,W139/G139*10000,"")</f>
        <v>14.9365197908887</v>
      </c>
      <c r="AX139" s="12" t="n">
        <f aca="false">IF(I139&gt;0,K139/I139*100,"")</f>
        <v>15.5405405405405</v>
      </c>
      <c r="AY139" s="9" t="str">
        <f aca="false">IF(AQ139&gt;=100,"ok",IF(AQ139&gt;0,"effectif faible (&lt;100)","aucune association"))</f>
        <v>ok</v>
      </c>
    </row>
    <row r="140" customFormat="false" ht="15" hidden="false" customHeight="false" outlineLevel="0" collapsed="false">
      <c r="A140" s="9" t="s">
        <v>394</v>
      </c>
      <c r="B140" s="9" t="s">
        <v>395</v>
      </c>
      <c r="C140" s="9" t="s">
        <v>100</v>
      </c>
      <c r="D140" s="9" t="s">
        <v>107</v>
      </c>
      <c r="E140" s="9" t="s">
        <v>173</v>
      </c>
      <c r="F140" s="9" t="s">
        <v>135</v>
      </c>
      <c r="G140" s="10" t="n">
        <v>603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3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1</v>
      </c>
      <c r="AF140" s="10" t="n">
        <v>1</v>
      </c>
      <c r="AG140" s="10" t="n">
        <v>0</v>
      </c>
      <c r="AH140" s="10" t="n">
        <v>0</v>
      </c>
      <c r="AI140" s="10" t="n">
        <v>0</v>
      </c>
      <c r="AJ140" s="10" t="n">
        <v>15</v>
      </c>
      <c r="AK140" s="10" t="n">
        <v>10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f aca="false">I140+J140</f>
        <v>0</v>
      </c>
      <c r="AR140" s="11" t="str">
        <f aca="false">IF(AQ140&gt;0,I140/AQ140,"")</f>
        <v/>
      </c>
      <c r="AS140" s="11" t="str">
        <f aca="false">IF((P140+Q140)&gt;0,P140/(P140+Q140),"")</f>
        <v/>
      </c>
      <c r="AT140" s="12" t="str">
        <f aca="false">IF(AND(ISNUMBER(AR140),ISNUMBER(AS140)),(AR140-AS140)*100,"")</f>
        <v/>
      </c>
      <c r="AU140" s="12" t="n">
        <f aca="false">IF(G140&gt;0,I140/G140*1000,"")</f>
        <v>0</v>
      </c>
      <c r="AV140" s="12" t="n">
        <f aca="false">IF(G140&gt;0,H140/G140*10000,"")</f>
        <v>0</v>
      </c>
      <c r="AW140" s="12" t="n">
        <f aca="false">IF(G140&gt;0,W140/G140*10000,"")</f>
        <v>49.7512437810945</v>
      </c>
      <c r="AX140" s="12" t="str">
        <f aca="false">IF(I140&gt;0,K140/I140*100,"")</f>
        <v/>
      </c>
      <c r="AY140" s="9" t="str">
        <f aca="false">IF(AQ140&gt;=100,"ok",IF(AQ140&gt;0,"effectif faible (&lt;100)","aucune association"))</f>
        <v>aucune association</v>
      </c>
    </row>
    <row r="141" customFormat="false" ht="15" hidden="false" customHeight="false" outlineLevel="0" collapsed="false">
      <c r="A141" s="9" t="s">
        <v>396</v>
      </c>
      <c r="B141" s="9" t="s">
        <v>397</v>
      </c>
      <c r="C141" s="9" t="s">
        <v>133</v>
      </c>
      <c r="D141" s="9" t="s">
        <v>101</v>
      </c>
      <c r="E141" s="9" t="s">
        <v>125</v>
      </c>
      <c r="F141" s="9" t="s">
        <v>157</v>
      </c>
      <c r="G141" s="10" t="n">
        <v>3765</v>
      </c>
      <c r="H141" s="10" t="n">
        <v>3</v>
      </c>
      <c r="I141" s="10" t="n">
        <v>135</v>
      </c>
      <c r="J141" s="10" t="n">
        <v>227</v>
      </c>
      <c r="K141" s="10" t="n">
        <v>15</v>
      </c>
      <c r="L141" s="10" t="n">
        <v>3</v>
      </c>
      <c r="M141" s="10" t="n">
        <v>0</v>
      </c>
      <c r="N141" s="10" t="n">
        <v>1</v>
      </c>
      <c r="O141" s="10" t="n">
        <v>1</v>
      </c>
      <c r="P141" s="10" t="n">
        <v>68</v>
      </c>
      <c r="Q141" s="10" t="n">
        <v>128</v>
      </c>
      <c r="R141" s="10" t="n">
        <v>0</v>
      </c>
      <c r="S141" s="10" t="n">
        <v>0</v>
      </c>
      <c r="T141" s="10" t="n">
        <v>0</v>
      </c>
      <c r="U141" s="10" t="n">
        <v>3</v>
      </c>
      <c r="V141" s="10" t="n">
        <v>0</v>
      </c>
      <c r="W141" s="10" t="n">
        <v>6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2</v>
      </c>
      <c r="AF141" s="10" t="n">
        <v>1</v>
      </c>
      <c r="AG141" s="10" t="n">
        <v>2</v>
      </c>
      <c r="AH141" s="10" t="n">
        <v>0</v>
      </c>
      <c r="AI141" s="10" t="n">
        <v>0</v>
      </c>
      <c r="AJ141" s="10" t="n">
        <v>245</v>
      </c>
      <c r="AK141" s="10" t="n">
        <v>112</v>
      </c>
      <c r="AL141" s="10" t="n">
        <v>214</v>
      </c>
      <c r="AM141" s="10" t="n">
        <v>0</v>
      </c>
      <c r="AN141" s="10" t="n">
        <v>0</v>
      </c>
      <c r="AO141" s="10" t="n">
        <v>196</v>
      </c>
      <c r="AP141" s="10" t="n">
        <v>362</v>
      </c>
      <c r="AQ141" s="10" t="n">
        <f aca="false">I141+J141</f>
        <v>362</v>
      </c>
      <c r="AR141" s="11" t="n">
        <f aca="false">IF(AQ141&gt;0,I141/AQ141,"")</f>
        <v>0.37292817679558</v>
      </c>
      <c r="AS141" s="11" t="n">
        <f aca="false">IF((P141+Q141)&gt;0,P141/(P141+Q141),"")</f>
        <v>0.346938775510204</v>
      </c>
      <c r="AT141" s="12" t="n">
        <f aca="false">IF(AND(ISNUMBER(AR141),ISNUMBER(AS141)),(AR141-AS141)*100,"")</f>
        <v>2.5989401285376</v>
      </c>
      <c r="AU141" s="12" t="n">
        <f aca="false">IF(G141&gt;0,I141/G141*1000,"")</f>
        <v>35.8565737051793</v>
      </c>
      <c r="AV141" s="12" t="n">
        <f aca="false">IF(G141&gt;0,H141/G141*10000,"")</f>
        <v>7.96812749003984</v>
      </c>
      <c r="AW141" s="12" t="n">
        <f aca="false">IF(G141&gt;0,W141/G141*10000,"")</f>
        <v>15.9362549800797</v>
      </c>
      <c r="AX141" s="12" t="n">
        <f aca="false">IF(I141&gt;0,K141/I141*100,"")</f>
        <v>11.1111111111111</v>
      </c>
      <c r="AY141" s="9" t="str">
        <f aca="false">IF(AQ141&gt;=100,"ok",IF(AQ141&gt;0,"effectif faible (&lt;100)","aucune association"))</f>
        <v>ok</v>
      </c>
    </row>
    <row r="142" customFormat="false" ht="15" hidden="false" customHeight="false" outlineLevel="0" collapsed="false">
      <c r="A142" s="9" t="s">
        <v>398</v>
      </c>
      <c r="B142" s="9" t="s">
        <v>399</v>
      </c>
      <c r="C142" s="9" t="s">
        <v>182</v>
      </c>
      <c r="D142" s="9" t="s">
        <v>101</v>
      </c>
      <c r="E142" s="9" t="s">
        <v>125</v>
      </c>
      <c r="F142" s="9" t="s">
        <v>143</v>
      </c>
      <c r="G142" s="10" t="n">
        <v>2674</v>
      </c>
      <c r="H142" s="10" t="n">
        <v>2</v>
      </c>
      <c r="I142" s="10" t="n">
        <v>115</v>
      </c>
      <c r="J142" s="10" t="n">
        <v>261</v>
      </c>
      <c r="K142" s="10" t="n">
        <v>35</v>
      </c>
      <c r="L142" s="10" t="n">
        <v>1</v>
      </c>
      <c r="M142" s="10" t="n">
        <v>0</v>
      </c>
      <c r="N142" s="10" t="n">
        <v>0</v>
      </c>
      <c r="O142" s="10" t="n">
        <v>2</v>
      </c>
      <c r="P142" s="10" t="n">
        <v>106</v>
      </c>
      <c r="Q142" s="10" t="n">
        <v>260</v>
      </c>
      <c r="R142" s="10" t="n">
        <v>0</v>
      </c>
      <c r="S142" s="10" t="n">
        <v>0</v>
      </c>
      <c r="T142" s="10" t="n">
        <v>0</v>
      </c>
      <c r="U142" s="10" t="n">
        <v>2</v>
      </c>
      <c r="V142" s="10" t="n">
        <v>0</v>
      </c>
      <c r="W142" s="10" t="n">
        <v>10</v>
      </c>
      <c r="X142" s="10" t="n">
        <v>0</v>
      </c>
      <c r="Y142" s="10" t="n">
        <v>2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3</v>
      </c>
      <c r="AF142" s="10" t="n">
        <v>3</v>
      </c>
      <c r="AG142" s="10" t="n">
        <v>3</v>
      </c>
      <c r="AH142" s="10" t="n">
        <v>3</v>
      </c>
      <c r="AI142" s="10" t="n">
        <v>2</v>
      </c>
      <c r="AJ142" s="10" t="n">
        <v>1367</v>
      </c>
      <c r="AK142" s="10" t="n">
        <v>1297</v>
      </c>
      <c r="AL142" s="10" t="n">
        <v>1534</v>
      </c>
      <c r="AM142" s="10" t="n">
        <v>720</v>
      </c>
      <c r="AN142" s="10" t="n">
        <v>486</v>
      </c>
      <c r="AO142" s="10" t="n">
        <v>366</v>
      </c>
      <c r="AP142" s="10" t="n">
        <v>376</v>
      </c>
      <c r="AQ142" s="10" t="n">
        <f aca="false">I142+J142</f>
        <v>376</v>
      </c>
      <c r="AR142" s="11" t="n">
        <f aca="false">IF(AQ142&gt;0,I142/AQ142,"")</f>
        <v>0.305851063829787</v>
      </c>
      <c r="AS142" s="11" t="n">
        <f aca="false">IF((P142+Q142)&gt;0,P142/(P142+Q142),"")</f>
        <v>0.289617486338798</v>
      </c>
      <c r="AT142" s="12" t="n">
        <f aca="false">IF(AND(ISNUMBER(AR142),ISNUMBER(AS142)),(AR142-AS142)*100,"")</f>
        <v>1.62335774909894</v>
      </c>
      <c r="AU142" s="12" t="n">
        <f aca="false">IF(G142&gt;0,I142/G142*1000,"")</f>
        <v>43.0067314884069</v>
      </c>
      <c r="AV142" s="12" t="n">
        <f aca="false">IF(G142&gt;0,H142/G142*10000,"")</f>
        <v>7.4794315632012</v>
      </c>
      <c r="AW142" s="12" t="n">
        <f aca="false">IF(G142&gt;0,W142/G142*10000,"")</f>
        <v>37.397157816006</v>
      </c>
      <c r="AX142" s="12" t="n">
        <f aca="false">IF(I142&gt;0,K142/I142*100,"")</f>
        <v>30.4347826086957</v>
      </c>
      <c r="AY142" s="9" t="str">
        <f aca="false">IF(AQ142&gt;=100,"ok",IF(AQ142&gt;0,"effectif faible (&lt;100)","aucune association"))</f>
        <v>ok</v>
      </c>
    </row>
    <row r="143" customFormat="false" ht="15" hidden="false" customHeight="false" outlineLevel="0" collapsed="false">
      <c r="A143" s="9" t="s">
        <v>400</v>
      </c>
      <c r="B143" s="9" t="s">
        <v>401</v>
      </c>
      <c r="C143" s="9" t="s">
        <v>155</v>
      </c>
      <c r="D143" s="9" t="s">
        <v>107</v>
      </c>
      <c r="E143" s="9" t="s">
        <v>156</v>
      </c>
      <c r="F143" s="9" t="s">
        <v>135</v>
      </c>
      <c r="G143" s="10" t="n">
        <v>907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  <c r="S143" s="10" t="n">
        <v>0</v>
      </c>
      <c r="T143" s="10" t="n">
        <v>0</v>
      </c>
      <c r="U143" s="10" t="n">
        <v>0</v>
      </c>
      <c r="V143" s="10" t="n">
        <v>0</v>
      </c>
      <c r="W143" s="10" t="n">
        <v>5</v>
      </c>
      <c r="X143" s="10" t="n">
        <v>1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0" t="n">
        <v>0</v>
      </c>
      <c r="AO143" s="10" t="n">
        <v>0</v>
      </c>
      <c r="AP143" s="10" t="n">
        <v>0</v>
      </c>
      <c r="AQ143" s="10" t="n">
        <f aca="false">I143+J143</f>
        <v>0</v>
      </c>
      <c r="AR143" s="11" t="str">
        <f aca="false">IF(AQ143&gt;0,I143/AQ143,"")</f>
        <v/>
      </c>
      <c r="AS143" s="11" t="str">
        <f aca="false">IF((P143+Q143)&gt;0,P143/(P143+Q143),"")</f>
        <v/>
      </c>
      <c r="AT143" s="12" t="str">
        <f aca="false">IF(AND(ISNUMBER(AR143),ISNUMBER(AS143)),(AR143-AS143)*100,"")</f>
        <v/>
      </c>
      <c r="AU143" s="12" t="n">
        <f aca="false">IF(G143&gt;0,I143/G143*1000,"")</f>
        <v>0</v>
      </c>
      <c r="AV143" s="12" t="n">
        <f aca="false">IF(G143&gt;0,H143/G143*10000,"")</f>
        <v>0</v>
      </c>
      <c r="AW143" s="12" t="n">
        <f aca="false">IF(G143&gt;0,W143/G143*10000,"")</f>
        <v>55.1267916207277</v>
      </c>
      <c r="AX143" s="12" t="str">
        <f aca="false">IF(I143&gt;0,K143/I143*100,"")</f>
        <v/>
      </c>
      <c r="AY143" s="9" t="str">
        <f aca="false">IF(AQ143&gt;=100,"ok",IF(AQ143&gt;0,"effectif faible (&lt;100)","aucune association"))</f>
        <v>aucune association</v>
      </c>
    </row>
    <row r="144" customFormat="false" ht="15" hidden="false" customHeight="false" outlineLevel="0" collapsed="false">
      <c r="A144" s="9" t="s">
        <v>402</v>
      </c>
      <c r="B144" s="9" t="s">
        <v>403</v>
      </c>
      <c r="C144" s="9" t="s">
        <v>106</v>
      </c>
      <c r="D144" s="9" t="s">
        <v>101</v>
      </c>
      <c r="E144" s="9" t="s">
        <v>102</v>
      </c>
      <c r="F144" s="9" t="s">
        <v>103</v>
      </c>
      <c r="G144" s="10" t="n">
        <v>1096</v>
      </c>
      <c r="H144" s="10" t="n">
        <v>2</v>
      </c>
      <c r="I144" s="10" t="n">
        <v>39</v>
      </c>
      <c r="J144" s="10" t="n">
        <v>100</v>
      </c>
      <c r="K144" s="10" t="n">
        <v>16</v>
      </c>
      <c r="L144" s="10" t="n">
        <v>0</v>
      </c>
      <c r="M144" s="10" t="n">
        <v>0</v>
      </c>
      <c r="N144" s="10" t="n">
        <v>0</v>
      </c>
      <c r="O144" s="10" t="n">
        <v>1</v>
      </c>
      <c r="P144" s="10" t="n">
        <v>14</v>
      </c>
      <c r="Q144" s="10" t="n">
        <v>42</v>
      </c>
      <c r="R144" s="10" t="n">
        <v>0</v>
      </c>
      <c r="S144" s="10" t="n">
        <v>0</v>
      </c>
      <c r="T144" s="10" t="n">
        <v>0</v>
      </c>
      <c r="U144" s="10" t="n">
        <v>1</v>
      </c>
      <c r="V144" s="10" t="n">
        <v>0</v>
      </c>
      <c r="W144" s="10" t="n">
        <v>4</v>
      </c>
      <c r="X144" s="10" t="n">
        <v>1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1</v>
      </c>
      <c r="AF144" s="10" t="n">
        <v>3</v>
      </c>
      <c r="AG144" s="10" t="n">
        <v>3</v>
      </c>
      <c r="AH144" s="10" t="n">
        <v>1</v>
      </c>
      <c r="AI144" s="10" t="n">
        <v>1</v>
      </c>
      <c r="AJ144" s="10" t="n">
        <v>18</v>
      </c>
      <c r="AK144" s="10" t="n">
        <v>193</v>
      </c>
      <c r="AL144" s="10" t="n">
        <v>189</v>
      </c>
      <c r="AM144" s="10" t="n">
        <v>34</v>
      </c>
      <c r="AN144" s="10" t="n">
        <v>35</v>
      </c>
      <c r="AO144" s="10" t="n">
        <v>56</v>
      </c>
      <c r="AP144" s="10" t="n">
        <v>139</v>
      </c>
      <c r="AQ144" s="10" t="n">
        <f aca="false">I144+J144</f>
        <v>139</v>
      </c>
      <c r="AR144" s="11" t="n">
        <f aca="false">IF(AQ144&gt;0,I144/AQ144,"")</f>
        <v>0.280575539568345</v>
      </c>
      <c r="AS144" s="11" t="n">
        <f aca="false">IF((P144+Q144)&gt;0,P144/(P144+Q144),"")</f>
        <v>0.25</v>
      </c>
      <c r="AT144" s="12" t="n">
        <f aca="false">IF(AND(ISNUMBER(AR144),ISNUMBER(AS144)),(AR144-AS144)*100,"")</f>
        <v>3.05755395683453</v>
      </c>
      <c r="AU144" s="12" t="n">
        <f aca="false">IF(G144&gt;0,I144/G144*1000,"")</f>
        <v>35.5839416058394</v>
      </c>
      <c r="AV144" s="12" t="n">
        <f aca="false">IF(G144&gt;0,H144/G144*10000,"")</f>
        <v>18.2481751824818</v>
      </c>
      <c r="AW144" s="12" t="n">
        <f aca="false">IF(G144&gt;0,W144/G144*10000,"")</f>
        <v>36.4963503649635</v>
      </c>
      <c r="AX144" s="12" t="n">
        <f aca="false">IF(I144&gt;0,K144/I144*100,"")</f>
        <v>41.025641025641</v>
      </c>
      <c r="AY144" s="9" t="str">
        <f aca="false">IF(AQ144&gt;=100,"ok",IF(AQ144&gt;0,"effectif faible (&lt;100)","aucune association"))</f>
        <v>ok</v>
      </c>
    </row>
    <row r="145" customFormat="false" ht="15" hidden="false" customHeight="false" outlineLevel="0" collapsed="false">
      <c r="A145" s="9" t="s">
        <v>404</v>
      </c>
      <c r="B145" s="9" t="s">
        <v>405</v>
      </c>
      <c r="C145" s="9" t="s">
        <v>237</v>
      </c>
      <c r="D145" s="9" t="s">
        <v>101</v>
      </c>
      <c r="E145" s="9" t="s">
        <v>116</v>
      </c>
      <c r="F145" s="9" t="s">
        <v>117</v>
      </c>
      <c r="G145" s="10" t="n">
        <v>15063</v>
      </c>
      <c r="H145" s="10" t="n">
        <v>3</v>
      </c>
      <c r="I145" s="10" t="n">
        <v>874</v>
      </c>
      <c r="J145" s="10" t="n">
        <v>1264</v>
      </c>
      <c r="K145" s="10" t="n">
        <v>145</v>
      </c>
      <c r="L145" s="10" t="n">
        <v>18</v>
      </c>
      <c r="M145" s="10" t="n">
        <v>1</v>
      </c>
      <c r="N145" s="10" t="n">
        <v>2</v>
      </c>
      <c r="O145" s="10" t="n">
        <v>3</v>
      </c>
      <c r="P145" s="10" t="n">
        <v>777</v>
      </c>
      <c r="Q145" s="10" t="n">
        <v>1192</v>
      </c>
      <c r="R145" s="10" t="n">
        <v>0</v>
      </c>
      <c r="S145" s="10" t="n">
        <v>0</v>
      </c>
      <c r="T145" s="10" t="n">
        <v>0</v>
      </c>
      <c r="U145" s="10" t="n">
        <v>3</v>
      </c>
      <c r="V145" s="10" t="n">
        <v>0</v>
      </c>
      <c r="W145" s="10" t="n">
        <v>10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1</v>
      </c>
      <c r="AD145" s="10" t="n">
        <v>0</v>
      </c>
      <c r="AE145" s="10" t="n">
        <v>6</v>
      </c>
      <c r="AF145" s="10" t="n">
        <v>5</v>
      </c>
      <c r="AG145" s="10" t="n">
        <v>5</v>
      </c>
      <c r="AH145" s="10" t="n">
        <v>3</v>
      </c>
      <c r="AI145" s="10" t="n">
        <v>3</v>
      </c>
      <c r="AJ145" s="10" t="n">
        <v>2126</v>
      </c>
      <c r="AK145" s="10" t="n">
        <v>1453</v>
      </c>
      <c r="AL145" s="10" t="n">
        <v>1295</v>
      </c>
      <c r="AM145" s="10" t="n">
        <v>1077</v>
      </c>
      <c r="AN145" s="10" t="n">
        <v>1114</v>
      </c>
      <c r="AO145" s="10" t="n">
        <v>1969</v>
      </c>
      <c r="AP145" s="10" t="n">
        <v>2138</v>
      </c>
      <c r="AQ145" s="10" t="n">
        <f aca="false">I145+J145</f>
        <v>2138</v>
      </c>
      <c r="AR145" s="11" t="n">
        <f aca="false">IF(AQ145&gt;0,I145/AQ145,"")</f>
        <v>0.408793264733396</v>
      </c>
      <c r="AS145" s="11" t="n">
        <f aca="false">IF((P145+Q145)&gt;0,P145/(P145+Q145),"")</f>
        <v>0.39461655662773</v>
      </c>
      <c r="AT145" s="12" t="n">
        <f aca="false">IF(AND(ISNUMBER(AR145),ISNUMBER(AS145)),(AR145-AS145)*100,"")</f>
        <v>1.41767081056659</v>
      </c>
      <c r="AU145" s="12" t="n">
        <f aca="false">IF(G145&gt;0,I145/G145*1000,"")</f>
        <v>58.0229701918609</v>
      </c>
      <c r="AV145" s="12" t="n">
        <f aca="false">IF(G145&gt;0,H145/G145*10000,"")</f>
        <v>1.99163513244374</v>
      </c>
      <c r="AW145" s="12" t="n">
        <f aca="false">IF(G145&gt;0,W145/G145*10000,"")</f>
        <v>6.63878377481245</v>
      </c>
      <c r="AX145" s="12" t="n">
        <f aca="false">IF(I145&gt;0,K145/I145*100,"")</f>
        <v>16.5903890160183</v>
      </c>
      <c r="AY145" s="9" t="str">
        <f aca="false">IF(AQ145&gt;=100,"ok",IF(AQ145&gt;0,"effectif faible (&lt;100)","aucune association"))</f>
        <v>ok</v>
      </c>
    </row>
    <row r="146" customFormat="false" ht="15" hidden="false" customHeight="false" outlineLevel="0" collapsed="false">
      <c r="A146" s="9" t="s">
        <v>406</v>
      </c>
      <c r="B146" s="9" t="s">
        <v>407</v>
      </c>
      <c r="C146" s="9" t="s">
        <v>106</v>
      </c>
      <c r="D146" s="9" t="s">
        <v>107</v>
      </c>
      <c r="E146" s="9" t="s">
        <v>108</v>
      </c>
      <c r="F146" s="9" t="s">
        <v>143</v>
      </c>
      <c r="G146" s="10" t="n">
        <v>964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4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f aca="false">I146+J146</f>
        <v>0</v>
      </c>
      <c r="AR146" s="11" t="str">
        <f aca="false">IF(AQ146&gt;0,I146/AQ146,"")</f>
        <v/>
      </c>
      <c r="AS146" s="11" t="str">
        <f aca="false">IF((P146+Q146)&gt;0,P146/(P146+Q146),"")</f>
        <v/>
      </c>
      <c r="AT146" s="12" t="str">
        <f aca="false">IF(AND(ISNUMBER(AR146),ISNUMBER(AS146)),(AR146-AS146)*100,"")</f>
        <v/>
      </c>
      <c r="AU146" s="12" t="n">
        <f aca="false">IF(G146&gt;0,I146/G146*1000,"")</f>
        <v>0</v>
      </c>
      <c r="AV146" s="12" t="n">
        <f aca="false">IF(G146&gt;0,H146/G146*10000,"")</f>
        <v>0</v>
      </c>
      <c r="AW146" s="12" t="n">
        <f aca="false">IF(G146&gt;0,W146/G146*10000,"")</f>
        <v>41.49377593361</v>
      </c>
      <c r="AX146" s="12" t="str">
        <f aca="false">IF(I146&gt;0,K146/I146*100,"")</f>
        <v/>
      </c>
      <c r="AY146" s="9" t="str">
        <f aca="false">IF(AQ146&gt;=100,"ok",IF(AQ146&gt;0,"effectif faible (&lt;100)","aucune association"))</f>
        <v>aucune association</v>
      </c>
    </row>
    <row r="147" customFormat="false" ht="15" hidden="false" customHeight="false" outlineLevel="0" collapsed="false">
      <c r="A147" s="9" t="s">
        <v>408</v>
      </c>
      <c r="B147" s="9" t="s">
        <v>409</v>
      </c>
      <c r="C147" s="9" t="s">
        <v>106</v>
      </c>
      <c r="D147" s="9" t="s">
        <v>107</v>
      </c>
      <c r="E147" s="9" t="s">
        <v>108</v>
      </c>
      <c r="F147" s="9" t="s">
        <v>103</v>
      </c>
      <c r="G147" s="10" t="n">
        <v>236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1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f aca="false">I147+J147</f>
        <v>0</v>
      </c>
      <c r="AR147" s="11" t="str">
        <f aca="false">IF(AQ147&gt;0,I147/AQ147,"")</f>
        <v/>
      </c>
      <c r="AS147" s="11" t="str">
        <f aca="false">IF((P147+Q147)&gt;0,P147/(P147+Q147),"")</f>
        <v/>
      </c>
      <c r="AT147" s="12" t="str">
        <f aca="false">IF(AND(ISNUMBER(AR147),ISNUMBER(AS147)),(AR147-AS147)*100,"")</f>
        <v/>
      </c>
      <c r="AU147" s="12" t="n">
        <f aca="false">IF(G147&gt;0,I147/G147*1000,"")</f>
        <v>0</v>
      </c>
      <c r="AV147" s="12" t="n">
        <f aca="false">IF(G147&gt;0,H147/G147*10000,"")</f>
        <v>0</v>
      </c>
      <c r="AW147" s="12" t="n">
        <f aca="false">IF(G147&gt;0,W147/G147*10000,"")</f>
        <v>42.3728813559322</v>
      </c>
      <c r="AX147" s="12" t="str">
        <f aca="false">IF(I147&gt;0,K147/I147*100,"")</f>
        <v/>
      </c>
      <c r="AY147" s="9" t="str">
        <f aca="false">IF(AQ147&gt;=100,"ok",IF(AQ147&gt;0,"effectif faible (&lt;100)","aucune association"))</f>
        <v>aucune association</v>
      </c>
    </row>
    <row r="148" customFormat="false" ht="15" hidden="false" customHeight="false" outlineLevel="0" collapsed="false">
      <c r="A148" s="9" t="s">
        <v>410</v>
      </c>
      <c r="B148" s="9" t="s">
        <v>411</v>
      </c>
      <c r="C148" s="9" t="s">
        <v>106</v>
      </c>
      <c r="D148" s="9" t="s">
        <v>107</v>
      </c>
      <c r="E148" s="9" t="s">
        <v>108</v>
      </c>
      <c r="F148" s="9" t="s">
        <v>209</v>
      </c>
      <c r="G148" s="10" t="n">
        <v>878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2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f aca="false">I148+J148</f>
        <v>0</v>
      </c>
      <c r="AR148" s="11" t="str">
        <f aca="false">IF(AQ148&gt;0,I148/AQ148,"")</f>
        <v/>
      </c>
      <c r="AS148" s="11" t="str">
        <f aca="false">IF((P148+Q148)&gt;0,P148/(P148+Q148),"")</f>
        <v/>
      </c>
      <c r="AT148" s="12" t="str">
        <f aca="false">IF(AND(ISNUMBER(AR148),ISNUMBER(AS148)),(AR148-AS148)*100,"")</f>
        <v/>
      </c>
      <c r="AU148" s="12" t="n">
        <f aca="false">IF(G148&gt;0,I148/G148*1000,"")</f>
        <v>0</v>
      </c>
      <c r="AV148" s="12" t="n">
        <f aca="false">IF(G148&gt;0,H148/G148*10000,"")</f>
        <v>0</v>
      </c>
      <c r="AW148" s="12" t="n">
        <f aca="false">IF(G148&gt;0,W148/G148*10000,"")</f>
        <v>22.7790432801822</v>
      </c>
      <c r="AX148" s="12" t="str">
        <f aca="false">IF(I148&gt;0,K148/I148*100,"")</f>
        <v/>
      </c>
      <c r="AY148" s="9" t="str">
        <f aca="false">IF(AQ148&gt;=100,"ok",IF(AQ148&gt;0,"effectif faible (&lt;100)","aucune association"))</f>
        <v>aucune association</v>
      </c>
    </row>
    <row r="149" customFormat="false" ht="15" hidden="false" customHeight="false" outlineLevel="0" collapsed="false">
      <c r="A149" s="9" t="s">
        <v>412</v>
      </c>
      <c r="B149" s="9" t="s">
        <v>413</v>
      </c>
      <c r="C149" s="9" t="s">
        <v>120</v>
      </c>
      <c r="D149" s="9" t="s">
        <v>101</v>
      </c>
      <c r="E149" s="9" t="s">
        <v>116</v>
      </c>
      <c r="F149" s="9" t="s">
        <v>117</v>
      </c>
      <c r="G149" s="10" t="n">
        <v>21336</v>
      </c>
      <c r="H149" s="10" t="n">
        <v>2</v>
      </c>
      <c r="I149" s="10" t="n">
        <v>401</v>
      </c>
      <c r="J149" s="10" t="n">
        <v>618</v>
      </c>
      <c r="K149" s="10" t="n">
        <v>54</v>
      </c>
      <c r="L149" s="10" t="n">
        <v>24</v>
      </c>
      <c r="M149" s="10" t="n">
        <v>0</v>
      </c>
      <c r="N149" s="10" t="n">
        <v>1</v>
      </c>
      <c r="O149" s="10" t="n">
        <v>2</v>
      </c>
      <c r="P149" s="10" t="n">
        <v>429</v>
      </c>
      <c r="Q149" s="10" t="n">
        <v>425</v>
      </c>
      <c r="R149" s="10" t="n">
        <v>1</v>
      </c>
      <c r="S149" s="10" t="n">
        <v>141</v>
      </c>
      <c r="T149" s="10" t="n">
        <v>3</v>
      </c>
      <c r="U149" s="10" t="n">
        <v>2</v>
      </c>
      <c r="V149" s="10" t="n">
        <v>1</v>
      </c>
      <c r="W149" s="10" t="n">
        <v>30</v>
      </c>
      <c r="X149" s="10" t="n">
        <v>10</v>
      </c>
      <c r="Y149" s="10" t="n">
        <v>0</v>
      </c>
      <c r="Z149" s="10" t="n">
        <v>1</v>
      </c>
      <c r="AA149" s="10" t="n">
        <v>1</v>
      </c>
      <c r="AB149" s="10" t="n">
        <v>2</v>
      </c>
      <c r="AC149" s="10" t="n">
        <v>2</v>
      </c>
      <c r="AD149" s="10" t="n">
        <v>0</v>
      </c>
      <c r="AE149" s="10" t="n">
        <v>2</v>
      </c>
      <c r="AF149" s="10" t="n">
        <v>2</v>
      </c>
      <c r="AG149" s="10" t="n">
        <v>2</v>
      </c>
      <c r="AH149" s="10" t="n">
        <v>2</v>
      </c>
      <c r="AI149" s="10" t="n">
        <v>2</v>
      </c>
      <c r="AJ149" s="10" t="n">
        <v>864</v>
      </c>
      <c r="AK149" s="10" t="n">
        <v>807</v>
      </c>
      <c r="AL149" s="10" t="n">
        <v>553</v>
      </c>
      <c r="AM149" s="10" t="n">
        <v>553</v>
      </c>
      <c r="AN149" s="10" t="n">
        <v>646</v>
      </c>
      <c r="AO149" s="10" t="n">
        <v>854</v>
      </c>
      <c r="AP149" s="10" t="n">
        <v>1019</v>
      </c>
      <c r="AQ149" s="10" t="n">
        <f aca="false">I149+J149</f>
        <v>1019</v>
      </c>
      <c r="AR149" s="11" t="n">
        <f aca="false">IF(AQ149&gt;0,I149/AQ149,"")</f>
        <v>0.393523061825319</v>
      </c>
      <c r="AS149" s="11" t="n">
        <f aca="false">IF((P149+Q149)&gt;0,P149/(P149+Q149),"")</f>
        <v>0.502341920374707</v>
      </c>
      <c r="AT149" s="12" t="n">
        <f aca="false">IF(AND(ISNUMBER(AR149),ISNUMBER(AS149)),(AR149-AS149)*100,"")</f>
        <v>-10.8818858549388</v>
      </c>
      <c r="AU149" s="12" t="n">
        <f aca="false">IF(G149&gt;0,I149/G149*1000,"")</f>
        <v>18.7945256842895</v>
      </c>
      <c r="AV149" s="12" t="n">
        <f aca="false">IF(G149&gt;0,H149/G149*10000,"")</f>
        <v>0.937382827146607</v>
      </c>
      <c r="AW149" s="12" t="n">
        <f aca="false">IF(G149&gt;0,W149/G149*10000,"")</f>
        <v>14.0607424071991</v>
      </c>
      <c r="AX149" s="12" t="n">
        <f aca="false">IF(I149&gt;0,K149/I149*100,"")</f>
        <v>13.4663341645885</v>
      </c>
      <c r="AY149" s="9" t="str">
        <f aca="false">IF(AQ149&gt;=100,"ok",IF(AQ149&gt;0,"effectif faible (&lt;100)","aucune association"))</f>
        <v>ok</v>
      </c>
    </row>
    <row r="150" customFormat="false" ht="15" hidden="false" customHeight="false" outlineLevel="0" collapsed="false">
      <c r="A150" s="9" t="s">
        <v>414</v>
      </c>
      <c r="B150" s="9" t="s">
        <v>415</v>
      </c>
      <c r="C150" s="9" t="s">
        <v>146</v>
      </c>
      <c r="D150" s="9" t="s">
        <v>101</v>
      </c>
      <c r="E150" s="9" t="s">
        <v>152</v>
      </c>
      <c r="F150" s="9" t="s">
        <v>117</v>
      </c>
      <c r="G150" s="10" t="n">
        <v>16138</v>
      </c>
      <c r="H150" s="10" t="n">
        <v>12</v>
      </c>
      <c r="I150" s="10" t="n">
        <v>1566</v>
      </c>
      <c r="J150" s="10" t="n">
        <v>1495</v>
      </c>
      <c r="K150" s="10" t="n">
        <v>215</v>
      </c>
      <c r="L150" s="10" t="n">
        <v>38</v>
      </c>
      <c r="M150" s="10" t="n">
        <v>2</v>
      </c>
      <c r="N150" s="10" t="n">
        <v>4</v>
      </c>
      <c r="O150" s="10" t="n">
        <v>10</v>
      </c>
      <c r="P150" s="10" t="n">
        <v>1408</v>
      </c>
      <c r="Q150" s="10" t="n">
        <v>980</v>
      </c>
      <c r="R150" s="10" t="n">
        <v>0</v>
      </c>
      <c r="S150" s="10" t="n">
        <v>0</v>
      </c>
      <c r="T150" s="10" t="n">
        <v>0</v>
      </c>
      <c r="U150" s="10" t="n">
        <v>10</v>
      </c>
      <c r="V150" s="10" t="n">
        <v>0</v>
      </c>
      <c r="W150" s="10" t="n">
        <v>19</v>
      </c>
      <c r="X150" s="10" t="n">
        <v>6</v>
      </c>
      <c r="Y150" s="10" t="n">
        <v>1</v>
      </c>
      <c r="Z150" s="10" t="n">
        <v>1</v>
      </c>
      <c r="AA150" s="10" t="n">
        <v>0</v>
      </c>
      <c r="AB150" s="10" t="n">
        <v>1</v>
      </c>
      <c r="AC150" s="10" t="n">
        <v>0</v>
      </c>
      <c r="AD150" s="10" t="n">
        <v>0</v>
      </c>
      <c r="AE150" s="10" t="n">
        <v>10</v>
      </c>
      <c r="AF150" s="10" t="n">
        <v>9</v>
      </c>
      <c r="AG150" s="10" t="n">
        <v>10</v>
      </c>
      <c r="AH150" s="10" t="n">
        <v>11</v>
      </c>
      <c r="AI150" s="10" t="n">
        <v>10</v>
      </c>
      <c r="AJ150" s="10" t="n">
        <v>1534</v>
      </c>
      <c r="AK150" s="10" t="n">
        <v>1579</v>
      </c>
      <c r="AL150" s="10" t="n">
        <v>1583</v>
      </c>
      <c r="AM150" s="10" t="n">
        <v>1696</v>
      </c>
      <c r="AN150" s="10" t="n">
        <v>2029</v>
      </c>
      <c r="AO150" s="10" t="n">
        <v>2388</v>
      </c>
      <c r="AP150" s="10" t="n">
        <v>3061</v>
      </c>
      <c r="AQ150" s="10" t="n">
        <f aca="false">I150+J150</f>
        <v>3061</v>
      </c>
      <c r="AR150" s="11" t="n">
        <f aca="false">IF(AQ150&gt;0,I150/AQ150,"")</f>
        <v>0.511597517151258</v>
      </c>
      <c r="AS150" s="11" t="n">
        <f aca="false">IF((P150+Q150)&gt;0,P150/(P150+Q150),"")</f>
        <v>0.589614740368509</v>
      </c>
      <c r="AT150" s="12" t="n">
        <f aca="false">IF(AND(ISNUMBER(AR150),ISNUMBER(AS150)),(AR150-AS150)*100,"")</f>
        <v>-7.80172232172515</v>
      </c>
      <c r="AU150" s="12" t="n">
        <f aca="false">IF(G150&gt;0,I150/G150*1000,"")</f>
        <v>97.0380468459536</v>
      </c>
      <c r="AV150" s="12" t="n">
        <f aca="false">IF(G150&gt;0,H150/G150*10000,"")</f>
        <v>7.43586565869377</v>
      </c>
      <c r="AW150" s="12" t="n">
        <f aca="false">IF(G150&gt;0,W150/G150*10000,"")</f>
        <v>11.7734539595985</v>
      </c>
      <c r="AX150" s="12" t="n">
        <f aca="false">IF(I150&gt;0,K150/I150*100,"")</f>
        <v>13.7292464878672</v>
      </c>
      <c r="AY150" s="9" t="str">
        <f aca="false">IF(AQ150&gt;=100,"ok",IF(AQ150&gt;0,"effectif faible (&lt;100)","aucune association"))</f>
        <v>ok</v>
      </c>
    </row>
    <row r="151" customFormat="false" ht="15" hidden="false" customHeight="false" outlineLevel="0" collapsed="false">
      <c r="A151" s="9" t="s">
        <v>416</v>
      </c>
      <c r="B151" s="9" t="s">
        <v>417</v>
      </c>
      <c r="C151" s="9" t="s">
        <v>133</v>
      </c>
      <c r="D151" s="9" t="s">
        <v>101</v>
      </c>
      <c r="E151" s="9" t="s">
        <v>134</v>
      </c>
      <c r="F151" s="9" t="s">
        <v>135</v>
      </c>
      <c r="G151" s="10" t="n">
        <v>2689</v>
      </c>
      <c r="H151" s="10" t="n">
        <v>1</v>
      </c>
      <c r="I151" s="10" t="n">
        <v>48</v>
      </c>
      <c r="J151" s="10" t="n">
        <v>3</v>
      </c>
      <c r="K151" s="10" t="n">
        <v>5</v>
      </c>
      <c r="L151" s="10" t="n">
        <v>0</v>
      </c>
      <c r="M151" s="10" t="n">
        <v>0</v>
      </c>
      <c r="N151" s="10" t="n">
        <v>1</v>
      </c>
      <c r="O151" s="10" t="n">
        <v>1</v>
      </c>
      <c r="P151" s="10" t="n">
        <v>51</v>
      </c>
      <c r="Q151" s="10" t="n">
        <v>9</v>
      </c>
      <c r="R151" s="10" t="n">
        <v>0</v>
      </c>
      <c r="S151" s="10" t="n">
        <v>0</v>
      </c>
      <c r="T151" s="10" t="n">
        <v>0</v>
      </c>
      <c r="U151" s="10" t="n">
        <v>1</v>
      </c>
      <c r="V151" s="10" t="n">
        <v>0</v>
      </c>
      <c r="W151" s="10" t="n">
        <v>11</v>
      </c>
      <c r="X151" s="10" t="n">
        <v>2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0" t="n">
        <v>2</v>
      </c>
      <c r="AF151" s="10" t="n">
        <v>2</v>
      </c>
      <c r="AG151" s="10" t="n">
        <v>2</v>
      </c>
      <c r="AH151" s="10" t="n">
        <v>1</v>
      </c>
      <c r="AI151" s="10" t="n">
        <v>1</v>
      </c>
      <c r="AJ151" s="10" t="n">
        <v>158</v>
      </c>
      <c r="AK151" s="10" t="n">
        <v>174</v>
      </c>
      <c r="AL151" s="10" t="n">
        <v>137</v>
      </c>
      <c r="AM151" s="10" t="n">
        <v>45</v>
      </c>
      <c r="AN151" s="10" t="n">
        <v>60</v>
      </c>
      <c r="AO151" s="10" t="n">
        <v>60</v>
      </c>
      <c r="AP151" s="10" t="n">
        <v>51</v>
      </c>
      <c r="AQ151" s="10" t="n">
        <f aca="false">I151+J151</f>
        <v>51</v>
      </c>
      <c r="AR151" s="11" t="n">
        <f aca="false">IF(AQ151&gt;0,I151/AQ151,"")</f>
        <v>0.941176470588235</v>
      </c>
      <c r="AS151" s="11" t="n">
        <f aca="false">IF((P151+Q151)&gt;0,P151/(P151+Q151),"")</f>
        <v>0.85</v>
      </c>
      <c r="AT151" s="12" t="n">
        <f aca="false">IF(AND(ISNUMBER(AR151),ISNUMBER(AS151)),(AR151-AS151)*100,"")</f>
        <v>9.11764705882353</v>
      </c>
      <c r="AU151" s="12" t="n">
        <f aca="false">IF(G151&gt;0,I151/G151*1000,"")</f>
        <v>17.85050204537</v>
      </c>
      <c r="AV151" s="12" t="n">
        <f aca="false">IF(G151&gt;0,H151/G151*10000,"")</f>
        <v>3.71885459278542</v>
      </c>
      <c r="AW151" s="12" t="n">
        <f aca="false">IF(G151&gt;0,W151/G151*10000,"")</f>
        <v>40.9074005206396</v>
      </c>
      <c r="AX151" s="12" t="n">
        <f aca="false">IF(I151&gt;0,K151/I151*100,"")</f>
        <v>10.4166666666667</v>
      </c>
      <c r="AY151" s="9" t="str">
        <f aca="false">IF(AQ151&gt;=100,"ok",IF(AQ151&gt;0,"effectif faible (&lt;100)","aucune association"))</f>
        <v>effectif faible (&lt;100)</v>
      </c>
    </row>
    <row r="152" customFormat="false" ht="15" hidden="false" customHeight="false" outlineLevel="0" collapsed="false">
      <c r="A152" s="9" t="s">
        <v>418</v>
      </c>
      <c r="B152" s="9" t="s">
        <v>140</v>
      </c>
      <c r="C152" s="9" t="s">
        <v>140</v>
      </c>
      <c r="D152" s="9" t="s">
        <v>101</v>
      </c>
      <c r="E152" s="9" t="s">
        <v>173</v>
      </c>
      <c r="F152" s="9" t="s">
        <v>117</v>
      </c>
      <c r="G152" s="10" t="n">
        <v>25578</v>
      </c>
      <c r="H152" s="10" t="n">
        <v>10</v>
      </c>
      <c r="I152" s="10" t="n">
        <v>2076</v>
      </c>
      <c r="J152" s="10" t="n">
        <v>2629</v>
      </c>
      <c r="K152" s="10" t="n">
        <v>457</v>
      </c>
      <c r="L152" s="10" t="n">
        <v>37</v>
      </c>
      <c r="M152" s="10" t="n">
        <v>1</v>
      </c>
      <c r="N152" s="10" t="n">
        <v>5</v>
      </c>
      <c r="O152" s="10" t="n">
        <v>11</v>
      </c>
      <c r="P152" s="10" t="n">
        <v>1936</v>
      </c>
      <c r="Q152" s="10" t="n">
        <v>2688</v>
      </c>
      <c r="R152" s="10" t="n">
        <v>6</v>
      </c>
      <c r="S152" s="10" t="n">
        <v>1443</v>
      </c>
      <c r="T152" s="10" t="n">
        <v>38</v>
      </c>
      <c r="U152" s="10" t="n">
        <v>9</v>
      </c>
      <c r="V152" s="10" t="n">
        <v>6</v>
      </c>
      <c r="W152" s="10" t="n">
        <v>24</v>
      </c>
      <c r="X152" s="10" t="n">
        <v>2</v>
      </c>
      <c r="Y152" s="10" t="n">
        <v>1</v>
      </c>
      <c r="Z152" s="10" t="n">
        <v>1</v>
      </c>
      <c r="AA152" s="10" t="n">
        <v>3</v>
      </c>
      <c r="AB152" s="10" t="n">
        <v>1</v>
      </c>
      <c r="AC152" s="10" t="n">
        <v>2</v>
      </c>
      <c r="AD152" s="10" t="n">
        <v>0</v>
      </c>
      <c r="AE152" s="10" t="n">
        <v>9</v>
      </c>
      <c r="AF152" s="10" t="n">
        <v>10</v>
      </c>
      <c r="AG152" s="10" t="n">
        <v>10</v>
      </c>
      <c r="AH152" s="10" t="n">
        <v>9</v>
      </c>
      <c r="AI152" s="10" t="n">
        <v>11</v>
      </c>
      <c r="AJ152" s="10" t="n">
        <v>4827</v>
      </c>
      <c r="AK152" s="10" t="n">
        <v>4987</v>
      </c>
      <c r="AL152" s="10" t="n">
        <v>4170</v>
      </c>
      <c r="AM152" s="10" t="n">
        <v>3310</v>
      </c>
      <c r="AN152" s="10" t="n">
        <v>3748</v>
      </c>
      <c r="AO152" s="10" t="n">
        <v>4624</v>
      </c>
      <c r="AP152" s="10" t="n">
        <v>4705</v>
      </c>
      <c r="AQ152" s="10" t="n">
        <f aca="false">I152+J152</f>
        <v>4705</v>
      </c>
      <c r="AR152" s="11" t="n">
        <f aca="false">IF(AQ152&gt;0,I152/AQ152,"")</f>
        <v>0.441232731137088</v>
      </c>
      <c r="AS152" s="11" t="n">
        <f aca="false">IF((P152+Q152)&gt;0,P152/(P152+Q152),"")</f>
        <v>0.418685121107266</v>
      </c>
      <c r="AT152" s="12" t="n">
        <f aca="false">IF(AND(ISNUMBER(AR152),ISNUMBER(AS152)),(AR152-AS152)*100,"")</f>
        <v>2.25476100298218</v>
      </c>
      <c r="AU152" s="12" t="n">
        <f aca="false">IF(G152&gt;0,I152/G152*1000,"")</f>
        <v>81.1634998827117</v>
      </c>
      <c r="AV152" s="12" t="n">
        <f aca="false">IF(G152&gt;0,H152/G152*10000,"")</f>
        <v>3.90960982093987</v>
      </c>
      <c r="AW152" s="12" t="n">
        <f aca="false">IF(G152&gt;0,W152/G152*10000,"")</f>
        <v>9.38306357025569</v>
      </c>
      <c r="AX152" s="12" t="n">
        <f aca="false">IF(I152&gt;0,K152/I152*100,"")</f>
        <v>22.0134874759152</v>
      </c>
      <c r="AY152" s="9" t="str">
        <f aca="false">IF(AQ152&gt;=100,"ok",IF(AQ152&gt;0,"effectif faible (&lt;100)","aucune association"))</f>
        <v>ok</v>
      </c>
    </row>
    <row r="153" customFormat="false" ht="15" hidden="false" customHeight="false" outlineLevel="0" collapsed="false">
      <c r="A153" s="9" t="s">
        <v>419</v>
      </c>
      <c r="B153" s="9" t="s">
        <v>420</v>
      </c>
      <c r="C153" s="9" t="s">
        <v>146</v>
      </c>
      <c r="D153" s="9" t="s">
        <v>101</v>
      </c>
      <c r="E153" s="9" t="s">
        <v>116</v>
      </c>
      <c r="F153" s="9" t="s">
        <v>117</v>
      </c>
      <c r="G153" s="10" t="n">
        <v>7612</v>
      </c>
      <c r="H153" s="10" t="n">
        <v>7</v>
      </c>
      <c r="I153" s="10" t="n">
        <v>298</v>
      </c>
      <c r="J153" s="10" t="n">
        <v>997</v>
      </c>
      <c r="K153" s="10" t="n">
        <v>93</v>
      </c>
      <c r="L153" s="10" t="n">
        <v>7</v>
      </c>
      <c r="M153" s="10" t="n">
        <v>2</v>
      </c>
      <c r="N153" s="10" t="n">
        <v>0</v>
      </c>
      <c r="O153" s="10" t="n">
        <v>6</v>
      </c>
      <c r="P153" s="10" t="n">
        <v>275</v>
      </c>
      <c r="Q153" s="10" t="n">
        <v>912</v>
      </c>
      <c r="R153" s="10" t="n">
        <v>1</v>
      </c>
      <c r="S153" s="10" t="n">
        <v>120</v>
      </c>
      <c r="T153" s="10" t="n">
        <v>4</v>
      </c>
      <c r="U153" s="10" t="n">
        <v>8</v>
      </c>
      <c r="V153" s="10" t="n">
        <v>1</v>
      </c>
      <c r="W153" s="10" t="n">
        <v>7</v>
      </c>
      <c r="X153" s="10" t="n">
        <v>1</v>
      </c>
      <c r="Y153" s="10" t="n">
        <v>0</v>
      </c>
      <c r="Z153" s="10" t="n">
        <v>3</v>
      </c>
      <c r="AA153" s="10" t="n">
        <v>0</v>
      </c>
      <c r="AB153" s="10" t="n">
        <v>1</v>
      </c>
      <c r="AC153" s="10" t="n">
        <v>0</v>
      </c>
      <c r="AD153" s="10" t="n">
        <v>0</v>
      </c>
      <c r="AE153" s="10" t="n">
        <v>9</v>
      </c>
      <c r="AF153" s="10" t="n">
        <v>9</v>
      </c>
      <c r="AG153" s="10" t="n">
        <v>9</v>
      </c>
      <c r="AH153" s="10" t="n">
        <v>8</v>
      </c>
      <c r="AI153" s="10" t="n">
        <v>8</v>
      </c>
      <c r="AJ153" s="10" t="n">
        <v>1521</v>
      </c>
      <c r="AK153" s="10" t="n">
        <v>1466</v>
      </c>
      <c r="AL153" s="10" t="n">
        <v>1438</v>
      </c>
      <c r="AM153" s="10" t="n">
        <v>1171</v>
      </c>
      <c r="AN153" s="10" t="n">
        <v>1537</v>
      </c>
      <c r="AO153" s="10" t="n">
        <v>1187</v>
      </c>
      <c r="AP153" s="10" t="n">
        <v>1295</v>
      </c>
      <c r="AQ153" s="10" t="n">
        <f aca="false">I153+J153</f>
        <v>1295</v>
      </c>
      <c r="AR153" s="11" t="n">
        <f aca="false">IF(AQ153&gt;0,I153/AQ153,"")</f>
        <v>0.23011583011583</v>
      </c>
      <c r="AS153" s="11" t="n">
        <f aca="false">IF((P153+Q153)&gt;0,P153/(P153+Q153),"")</f>
        <v>0.23167649536647</v>
      </c>
      <c r="AT153" s="12" t="n">
        <f aca="false">IF(AND(ISNUMBER(AR153),ISNUMBER(AS153)),(AR153-AS153)*100,"")</f>
        <v>-0.156066525063997</v>
      </c>
      <c r="AU153" s="12" t="n">
        <f aca="false">IF(G153&gt;0,I153/G153*1000,"")</f>
        <v>39.1487125591172</v>
      </c>
      <c r="AV153" s="12" t="n">
        <f aca="false">IF(G153&gt;0,H153/G153*10000,"")</f>
        <v>9.1960063058329</v>
      </c>
      <c r="AW153" s="12" t="n">
        <f aca="false">IF(G153&gt;0,W153/G153*10000,"")</f>
        <v>9.1960063058329</v>
      </c>
      <c r="AX153" s="12" t="n">
        <f aca="false">IF(I153&gt;0,K153/I153*100,"")</f>
        <v>31.2080536912752</v>
      </c>
      <c r="AY153" s="9" t="str">
        <f aca="false">IF(AQ153&gt;=100,"ok",IF(AQ153&gt;0,"effectif faible (&lt;100)","aucune association"))</f>
        <v>ok</v>
      </c>
    </row>
    <row r="154" customFormat="false" ht="15" hidden="false" customHeight="false" outlineLevel="0" collapsed="false">
      <c r="A154" s="9" t="s">
        <v>421</v>
      </c>
      <c r="B154" s="9" t="s">
        <v>422</v>
      </c>
      <c r="C154" s="9" t="s">
        <v>216</v>
      </c>
      <c r="D154" s="9" t="s">
        <v>101</v>
      </c>
      <c r="E154" s="9" t="s">
        <v>125</v>
      </c>
      <c r="F154" s="9" t="s">
        <v>135</v>
      </c>
      <c r="G154" s="10" t="n">
        <v>2724</v>
      </c>
      <c r="H154" s="10" t="n">
        <v>3</v>
      </c>
      <c r="I154" s="10" t="n">
        <v>31</v>
      </c>
      <c r="J154" s="10" t="n">
        <v>103</v>
      </c>
      <c r="K154" s="10" t="n">
        <v>8</v>
      </c>
      <c r="L154" s="10" t="n">
        <v>1</v>
      </c>
      <c r="M154" s="10" t="n">
        <v>0</v>
      </c>
      <c r="N154" s="10" t="n">
        <v>0</v>
      </c>
      <c r="O154" s="10" t="n">
        <v>3</v>
      </c>
      <c r="P154" s="10" t="n">
        <v>33</v>
      </c>
      <c r="Q154" s="10" t="n">
        <v>101</v>
      </c>
      <c r="R154" s="10" t="n">
        <v>0</v>
      </c>
      <c r="S154" s="10" t="n">
        <v>0</v>
      </c>
      <c r="T154" s="10" t="n">
        <v>0</v>
      </c>
      <c r="U154" s="10" t="n">
        <v>3</v>
      </c>
      <c r="V154" s="10" t="n">
        <v>0</v>
      </c>
      <c r="W154" s="10" t="n">
        <v>9</v>
      </c>
      <c r="X154" s="10" t="n">
        <v>1</v>
      </c>
      <c r="Y154" s="10" t="n">
        <v>1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2</v>
      </c>
      <c r="AF154" s="10" t="n">
        <v>2</v>
      </c>
      <c r="AG154" s="10" t="n">
        <v>3</v>
      </c>
      <c r="AH154" s="10" t="n">
        <v>3</v>
      </c>
      <c r="AI154" s="10" t="n">
        <v>3</v>
      </c>
      <c r="AJ154" s="10" t="n">
        <v>67</v>
      </c>
      <c r="AK154" s="10" t="n">
        <v>68</v>
      </c>
      <c r="AL154" s="10" t="n">
        <v>299</v>
      </c>
      <c r="AM154" s="10" t="n">
        <v>93</v>
      </c>
      <c r="AN154" s="10" t="n">
        <v>108</v>
      </c>
      <c r="AO154" s="10" t="n">
        <v>134</v>
      </c>
      <c r="AP154" s="10" t="n">
        <v>134</v>
      </c>
      <c r="AQ154" s="10" t="n">
        <f aca="false">I154+J154</f>
        <v>134</v>
      </c>
      <c r="AR154" s="11" t="n">
        <f aca="false">IF(AQ154&gt;0,I154/AQ154,"")</f>
        <v>0.23134328358209</v>
      </c>
      <c r="AS154" s="11" t="n">
        <f aca="false">IF((P154+Q154)&gt;0,P154/(P154+Q154),"")</f>
        <v>0.246268656716418</v>
      </c>
      <c r="AT154" s="12" t="n">
        <f aca="false">IF(AND(ISNUMBER(AR154),ISNUMBER(AS154)),(AR154-AS154)*100,"")</f>
        <v>-1.49253731343283</v>
      </c>
      <c r="AU154" s="12" t="n">
        <f aca="false">IF(G154&gt;0,I154/G154*1000,"")</f>
        <v>11.3803230543319</v>
      </c>
      <c r="AV154" s="12" t="n">
        <f aca="false">IF(G154&gt;0,H154/G154*10000,"")</f>
        <v>11.0132158590308</v>
      </c>
      <c r="AW154" s="12" t="n">
        <f aca="false">IF(G154&gt;0,W154/G154*10000,"")</f>
        <v>33.0396475770925</v>
      </c>
      <c r="AX154" s="12" t="n">
        <f aca="false">IF(I154&gt;0,K154/I154*100,"")</f>
        <v>25.8064516129032</v>
      </c>
      <c r="AY154" s="9" t="str">
        <f aca="false">IF(AQ154&gt;=100,"ok",IF(AQ154&gt;0,"effectif faible (&lt;100)","aucune association"))</f>
        <v>ok</v>
      </c>
    </row>
    <row r="155" customFormat="false" ht="15" hidden="false" customHeight="false" outlineLevel="0" collapsed="false">
      <c r="A155" s="9" t="s">
        <v>423</v>
      </c>
      <c r="B155" s="9" t="s">
        <v>424</v>
      </c>
      <c r="C155" s="9" t="s">
        <v>120</v>
      </c>
      <c r="D155" s="9" t="s">
        <v>101</v>
      </c>
      <c r="E155" s="9" t="s">
        <v>152</v>
      </c>
      <c r="F155" s="9" t="s">
        <v>117</v>
      </c>
      <c r="G155" s="10" t="n">
        <v>26924</v>
      </c>
      <c r="H155" s="10" t="n">
        <v>9</v>
      </c>
      <c r="I155" s="10" t="n">
        <v>770</v>
      </c>
      <c r="J155" s="10" t="n">
        <v>635</v>
      </c>
      <c r="K155" s="10" t="n">
        <v>115</v>
      </c>
      <c r="L155" s="10" t="n">
        <v>16</v>
      </c>
      <c r="M155" s="10" t="n">
        <v>3</v>
      </c>
      <c r="N155" s="10" t="n">
        <v>4</v>
      </c>
      <c r="O155" s="10" t="n">
        <v>7</v>
      </c>
      <c r="P155" s="10" t="n">
        <v>567</v>
      </c>
      <c r="Q155" s="10" t="n">
        <v>542</v>
      </c>
      <c r="R155" s="10" t="n">
        <v>0</v>
      </c>
      <c r="S155" s="10" t="n">
        <v>0</v>
      </c>
      <c r="T155" s="10" t="n">
        <v>0</v>
      </c>
      <c r="U155" s="10" t="n">
        <v>9</v>
      </c>
      <c r="V155" s="10" t="n">
        <v>0</v>
      </c>
      <c r="W155" s="10" t="n">
        <v>41</v>
      </c>
      <c r="X155" s="10" t="n">
        <v>20</v>
      </c>
      <c r="Y155" s="10" t="n">
        <v>1</v>
      </c>
      <c r="Z155" s="10" t="n">
        <v>1</v>
      </c>
      <c r="AA155" s="10" t="n">
        <v>1</v>
      </c>
      <c r="AB155" s="10" t="n">
        <v>1</v>
      </c>
      <c r="AC155" s="10" t="n">
        <v>0</v>
      </c>
      <c r="AD155" s="10" t="n">
        <v>0</v>
      </c>
      <c r="AE155" s="10" t="n">
        <v>9</v>
      </c>
      <c r="AF155" s="10" t="n">
        <v>10</v>
      </c>
      <c r="AG155" s="10" t="n">
        <v>9</v>
      </c>
      <c r="AH155" s="10" t="n">
        <v>8</v>
      </c>
      <c r="AI155" s="10" t="n">
        <v>7</v>
      </c>
      <c r="AJ155" s="10" t="n">
        <v>1052</v>
      </c>
      <c r="AK155" s="10" t="n">
        <v>1516</v>
      </c>
      <c r="AL155" s="10" t="n">
        <v>1477</v>
      </c>
      <c r="AM155" s="10" t="n">
        <v>805</v>
      </c>
      <c r="AN155" s="10" t="n">
        <v>1026</v>
      </c>
      <c r="AO155" s="10" t="n">
        <v>1109</v>
      </c>
      <c r="AP155" s="10" t="n">
        <v>1405</v>
      </c>
      <c r="AQ155" s="10" t="n">
        <f aca="false">I155+J155</f>
        <v>1405</v>
      </c>
      <c r="AR155" s="11" t="n">
        <f aca="false">IF(AQ155&gt;0,I155/AQ155,"")</f>
        <v>0.548042704626335</v>
      </c>
      <c r="AS155" s="11" t="n">
        <f aca="false">IF((P155+Q155)&gt;0,P155/(P155+Q155),"")</f>
        <v>0.511271415689811</v>
      </c>
      <c r="AT155" s="12" t="n">
        <f aca="false">IF(AND(ISNUMBER(AR155),ISNUMBER(AS155)),(AR155-AS155)*100,"")</f>
        <v>3.67712889365239</v>
      </c>
      <c r="AU155" s="12" t="n">
        <f aca="false">IF(G155&gt;0,I155/G155*1000,"")</f>
        <v>28.5990194621899</v>
      </c>
      <c r="AV155" s="12" t="n">
        <f aca="false">IF(G155&gt;0,H155/G155*10000,"")</f>
        <v>3.34274253454167</v>
      </c>
      <c r="AW155" s="12" t="n">
        <f aca="false">IF(G155&gt;0,W155/G155*10000,"")</f>
        <v>15.2280493240232</v>
      </c>
      <c r="AX155" s="12" t="n">
        <f aca="false">IF(I155&gt;0,K155/I155*100,"")</f>
        <v>14.9350649350649</v>
      </c>
      <c r="AY155" s="9" t="str">
        <f aca="false">IF(AQ155&gt;=100,"ok",IF(AQ155&gt;0,"effectif faible (&lt;100)","aucune association"))</f>
        <v>ok</v>
      </c>
    </row>
    <row r="156" customFormat="false" ht="15" hidden="false" customHeight="false" outlineLevel="0" collapsed="false">
      <c r="A156" s="9" t="s">
        <v>425</v>
      </c>
      <c r="B156" s="9" t="s">
        <v>426</v>
      </c>
      <c r="C156" s="9" t="s">
        <v>100</v>
      </c>
      <c r="D156" s="9" t="s">
        <v>107</v>
      </c>
      <c r="E156" s="9" t="s">
        <v>102</v>
      </c>
      <c r="F156" s="9" t="s">
        <v>143</v>
      </c>
      <c r="G156" s="10" t="n">
        <v>658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1</v>
      </c>
      <c r="P156" s="10" t="n">
        <v>8</v>
      </c>
      <c r="Q156" s="10" t="n">
        <v>15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3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2</v>
      </c>
      <c r="AF156" s="10" t="n">
        <v>2</v>
      </c>
      <c r="AG156" s="10" t="n">
        <v>1</v>
      </c>
      <c r="AH156" s="10" t="n">
        <v>1</v>
      </c>
      <c r="AI156" s="10" t="n">
        <v>1</v>
      </c>
      <c r="AJ156" s="10" t="n">
        <v>38</v>
      </c>
      <c r="AK156" s="10" t="n">
        <v>43</v>
      </c>
      <c r="AL156" s="10" t="n">
        <v>27</v>
      </c>
      <c r="AM156" s="10" t="n">
        <v>27</v>
      </c>
      <c r="AN156" s="10" t="n">
        <v>23</v>
      </c>
      <c r="AO156" s="10" t="n">
        <v>23</v>
      </c>
      <c r="AP156" s="10" t="n">
        <v>0</v>
      </c>
      <c r="AQ156" s="10" t="n">
        <f aca="false">I156+J156</f>
        <v>0</v>
      </c>
      <c r="AR156" s="11" t="str">
        <f aca="false">IF(AQ156&gt;0,I156/AQ156,"")</f>
        <v/>
      </c>
      <c r="AS156" s="11" t="n">
        <f aca="false">IF((P156+Q156)&gt;0,P156/(P156+Q156),"")</f>
        <v>0.347826086956522</v>
      </c>
      <c r="AT156" s="12" t="str">
        <f aca="false">IF(AND(ISNUMBER(AR156),ISNUMBER(AS156)),(AR156-AS156)*100,"")</f>
        <v/>
      </c>
      <c r="AU156" s="12" t="n">
        <f aca="false">IF(G156&gt;0,I156/G156*1000,"")</f>
        <v>0</v>
      </c>
      <c r="AV156" s="12" t="n">
        <f aca="false">IF(G156&gt;0,H156/G156*10000,"")</f>
        <v>0</v>
      </c>
      <c r="AW156" s="12" t="n">
        <f aca="false">IF(G156&gt;0,W156/G156*10000,"")</f>
        <v>45.5927051671733</v>
      </c>
      <c r="AX156" s="12" t="str">
        <f aca="false">IF(I156&gt;0,K156/I156*100,"")</f>
        <v/>
      </c>
      <c r="AY156" s="9" t="str">
        <f aca="false">IF(AQ156&gt;=100,"ok",IF(AQ156&gt;0,"effectif faible (&lt;100)","aucune association"))</f>
        <v>aucune association</v>
      </c>
    </row>
    <row r="157" customFormat="false" ht="15" hidden="false" customHeight="false" outlineLevel="0" collapsed="false">
      <c r="A157" s="9" t="s">
        <v>427</v>
      </c>
      <c r="B157" s="9" t="s">
        <v>428</v>
      </c>
      <c r="C157" s="9" t="s">
        <v>428</v>
      </c>
      <c r="D157" s="9" t="s">
        <v>101</v>
      </c>
      <c r="E157" s="9" t="s">
        <v>125</v>
      </c>
      <c r="F157" s="9" t="s">
        <v>117</v>
      </c>
      <c r="G157" s="10" t="n">
        <v>59173</v>
      </c>
      <c r="H157" s="10" t="n">
        <v>23</v>
      </c>
      <c r="I157" s="10" t="n">
        <v>6686</v>
      </c>
      <c r="J157" s="10" t="n">
        <v>9657</v>
      </c>
      <c r="K157" s="10" t="n">
        <v>312</v>
      </c>
      <c r="L157" s="10" t="n">
        <v>71</v>
      </c>
      <c r="M157" s="10" t="n">
        <v>2</v>
      </c>
      <c r="N157" s="10" t="n">
        <v>8</v>
      </c>
      <c r="O157" s="10" t="n">
        <v>22</v>
      </c>
      <c r="P157" s="10" t="n">
        <v>5944</v>
      </c>
      <c r="Q157" s="10" t="n">
        <v>9736</v>
      </c>
      <c r="R157" s="10" t="n">
        <v>6</v>
      </c>
      <c r="S157" s="10" t="n">
        <v>840</v>
      </c>
      <c r="T157" s="10" t="n">
        <v>29</v>
      </c>
      <c r="U157" s="10" t="n">
        <v>24</v>
      </c>
      <c r="V157" s="10" t="n">
        <v>6</v>
      </c>
      <c r="W157" s="10" t="n">
        <v>28</v>
      </c>
      <c r="X157" s="10" t="n">
        <v>7</v>
      </c>
      <c r="Y157" s="10" t="n">
        <v>1</v>
      </c>
      <c r="Z157" s="10" t="n">
        <v>1</v>
      </c>
      <c r="AA157" s="10" t="n">
        <v>1</v>
      </c>
      <c r="AB157" s="10" t="n">
        <v>3</v>
      </c>
      <c r="AC157" s="10" t="n">
        <v>5</v>
      </c>
      <c r="AD157" s="10" t="n">
        <v>0</v>
      </c>
      <c r="AE157" s="10" t="n">
        <v>24</v>
      </c>
      <c r="AF157" s="10" t="n">
        <v>26</v>
      </c>
      <c r="AG157" s="10" t="n">
        <v>26</v>
      </c>
      <c r="AH157" s="10" t="n">
        <v>25</v>
      </c>
      <c r="AI157" s="10" t="n">
        <v>25</v>
      </c>
      <c r="AJ157" s="10" t="n">
        <v>13985</v>
      </c>
      <c r="AK157" s="10" t="n">
        <v>12818</v>
      </c>
      <c r="AL157" s="10" t="n">
        <v>12760</v>
      </c>
      <c r="AM157" s="10" t="n">
        <v>12531</v>
      </c>
      <c r="AN157" s="10" t="n">
        <v>15594</v>
      </c>
      <c r="AO157" s="10" t="n">
        <v>15680</v>
      </c>
      <c r="AP157" s="10" t="n">
        <v>16343</v>
      </c>
      <c r="AQ157" s="10" t="n">
        <f aca="false">I157+J157</f>
        <v>16343</v>
      </c>
      <c r="AR157" s="11" t="n">
        <f aca="false">IF(AQ157&gt;0,I157/AQ157,"")</f>
        <v>0.409104815517347</v>
      </c>
      <c r="AS157" s="11" t="n">
        <f aca="false">IF((P157+Q157)&gt;0,P157/(P157+Q157),"")</f>
        <v>0.379081632653061</v>
      </c>
      <c r="AT157" s="12" t="n">
        <f aca="false">IF(AND(ISNUMBER(AR157),ISNUMBER(AS157)),(AR157-AS157)*100,"")</f>
        <v>3.00231828642857</v>
      </c>
      <c r="AU157" s="12" t="n">
        <f aca="false">IF(G157&gt;0,I157/G157*1000,"")</f>
        <v>112.990722119886</v>
      </c>
      <c r="AV157" s="12" t="n">
        <f aca="false">IF(G157&gt;0,H157/G157*10000,"")</f>
        <v>3.88690788028324</v>
      </c>
      <c r="AW157" s="12" t="n">
        <f aca="false">IF(G157&gt;0,W157/G157*10000,"")</f>
        <v>4.73188785425785</v>
      </c>
      <c r="AX157" s="12" t="n">
        <f aca="false">IF(I157&gt;0,K157/I157*100,"")</f>
        <v>4.66646724498953</v>
      </c>
      <c r="AY157" s="9" t="str">
        <f aca="false">IF(AQ157&gt;=100,"ok",IF(AQ157&gt;0,"effectif faible (&lt;100)","aucune association"))</f>
        <v>ok</v>
      </c>
    </row>
    <row r="158" customFormat="false" ht="15" hidden="false" customHeight="false" outlineLevel="0" collapsed="false">
      <c r="A158" s="9" t="s">
        <v>429</v>
      </c>
      <c r="B158" s="9" t="s">
        <v>430</v>
      </c>
      <c r="C158" s="9" t="s">
        <v>106</v>
      </c>
      <c r="D158" s="9" t="s">
        <v>101</v>
      </c>
      <c r="E158" s="9" t="s">
        <v>102</v>
      </c>
      <c r="F158" s="9" t="s">
        <v>143</v>
      </c>
      <c r="G158" s="10" t="n">
        <v>1305</v>
      </c>
      <c r="H158" s="10" t="n">
        <v>1</v>
      </c>
      <c r="I158" s="10" t="n">
        <v>606</v>
      </c>
      <c r="J158" s="10" t="n">
        <v>154</v>
      </c>
      <c r="K158" s="10" t="n">
        <v>16</v>
      </c>
      <c r="L158" s="10" t="n">
        <v>10</v>
      </c>
      <c r="M158" s="10" t="n">
        <v>0</v>
      </c>
      <c r="N158" s="10" t="n">
        <v>1</v>
      </c>
      <c r="O158" s="10" t="n">
        <v>1</v>
      </c>
      <c r="P158" s="10" t="n">
        <v>590</v>
      </c>
      <c r="Q158" s="10" t="n">
        <v>168</v>
      </c>
      <c r="R158" s="10" t="n">
        <v>0</v>
      </c>
      <c r="S158" s="10" t="n">
        <v>0</v>
      </c>
      <c r="T158" s="10" t="n">
        <v>0</v>
      </c>
      <c r="U158" s="10" t="n">
        <v>1</v>
      </c>
      <c r="V158" s="10" t="n">
        <v>0</v>
      </c>
      <c r="W158" s="10" t="n">
        <v>3</v>
      </c>
      <c r="X158" s="10" t="n">
        <v>1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1</v>
      </c>
      <c r="AF158" s="10" t="n">
        <v>2</v>
      </c>
      <c r="AG158" s="10" t="n">
        <v>2</v>
      </c>
      <c r="AH158" s="10" t="n">
        <v>2</v>
      </c>
      <c r="AI158" s="10" t="n">
        <v>1</v>
      </c>
      <c r="AJ158" s="10" t="n">
        <v>95</v>
      </c>
      <c r="AK158" s="10" t="n">
        <v>232</v>
      </c>
      <c r="AL158" s="10" t="n">
        <v>186</v>
      </c>
      <c r="AM158" s="10" t="n">
        <v>243</v>
      </c>
      <c r="AN158" s="10" t="n">
        <v>117</v>
      </c>
      <c r="AO158" s="10" t="n">
        <v>758</v>
      </c>
      <c r="AP158" s="10" t="n">
        <v>760</v>
      </c>
      <c r="AQ158" s="10" t="n">
        <f aca="false">I158+J158</f>
        <v>760</v>
      </c>
      <c r="AR158" s="11" t="n">
        <f aca="false">IF(AQ158&gt;0,I158/AQ158,"")</f>
        <v>0.797368421052632</v>
      </c>
      <c r="AS158" s="11" t="n">
        <f aca="false">IF((P158+Q158)&gt;0,P158/(P158+Q158),"")</f>
        <v>0.778364116094987</v>
      </c>
      <c r="AT158" s="12" t="n">
        <f aca="false">IF(AND(ISNUMBER(AR158),ISNUMBER(AS158)),(AR158-AS158)*100,"")</f>
        <v>1.90043049576448</v>
      </c>
      <c r="AU158" s="12" t="n">
        <f aca="false">IF(G158&gt;0,I158/G158*1000,"")</f>
        <v>464.367816091954</v>
      </c>
      <c r="AV158" s="12" t="n">
        <f aca="false">IF(G158&gt;0,H158/G158*10000,"")</f>
        <v>7.66283524904215</v>
      </c>
      <c r="AW158" s="12" t="n">
        <f aca="false">IF(G158&gt;0,W158/G158*10000,"")</f>
        <v>22.9885057471264</v>
      </c>
      <c r="AX158" s="12" t="n">
        <f aca="false">IF(I158&gt;0,K158/I158*100,"")</f>
        <v>2.64026402640264</v>
      </c>
      <c r="AY158" s="9" t="str">
        <f aca="false">IF(AQ158&gt;=100,"ok",IF(AQ158&gt;0,"effectif faible (&lt;100)","aucune association"))</f>
        <v>ok</v>
      </c>
    </row>
    <row r="159" customFormat="false" ht="15" hidden="false" customHeight="false" outlineLevel="0" collapsed="false">
      <c r="A159" s="9" t="s">
        <v>431</v>
      </c>
      <c r="B159" s="9" t="s">
        <v>432</v>
      </c>
      <c r="C159" s="9" t="s">
        <v>133</v>
      </c>
      <c r="D159" s="9" t="s">
        <v>107</v>
      </c>
      <c r="E159" s="9" t="s">
        <v>134</v>
      </c>
      <c r="F159" s="9" t="s">
        <v>135</v>
      </c>
      <c r="G159" s="10" t="n">
        <v>1044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0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2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f aca="false">I159+J159</f>
        <v>0</v>
      </c>
      <c r="AR159" s="11" t="str">
        <f aca="false">IF(AQ159&gt;0,I159/AQ159,"")</f>
        <v/>
      </c>
      <c r="AS159" s="11" t="str">
        <f aca="false">IF((P159+Q159)&gt;0,P159/(P159+Q159),"")</f>
        <v/>
      </c>
      <c r="AT159" s="12" t="str">
        <f aca="false">IF(AND(ISNUMBER(AR159),ISNUMBER(AS159)),(AR159-AS159)*100,"")</f>
        <v/>
      </c>
      <c r="AU159" s="12" t="n">
        <f aca="false">IF(G159&gt;0,I159/G159*1000,"")</f>
        <v>0</v>
      </c>
      <c r="AV159" s="12" t="n">
        <f aca="false">IF(G159&gt;0,H159/G159*10000,"")</f>
        <v>0</v>
      </c>
      <c r="AW159" s="12" t="n">
        <f aca="false">IF(G159&gt;0,W159/G159*10000,"")</f>
        <v>19.1570881226054</v>
      </c>
      <c r="AX159" s="12" t="str">
        <f aca="false">IF(I159&gt;0,K159/I159*100,"")</f>
        <v/>
      </c>
      <c r="AY159" s="9" t="str">
        <f aca="false">IF(AQ159&gt;=100,"ok",IF(AQ159&gt;0,"effectif faible (&lt;100)","aucune association"))</f>
        <v>aucune association</v>
      </c>
    </row>
    <row r="160" customFormat="false" ht="15" hidden="false" customHeight="false" outlineLevel="0" collapsed="false">
      <c r="A160" s="9" t="s">
        <v>433</v>
      </c>
      <c r="B160" s="9" t="s">
        <v>434</v>
      </c>
      <c r="C160" s="9" t="s">
        <v>115</v>
      </c>
      <c r="D160" s="9" t="s">
        <v>101</v>
      </c>
      <c r="E160" s="9" t="s">
        <v>116</v>
      </c>
      <c r="F160" s="9" t="s">
        <v>117</v>
      </c>
      <c r="G160" s="10" t="n">
        <v>18008</v>
      </c>
      <c r="H160" s="10" t="n">
        <v>11</v>
      </c>
      <c r="I160" s="10" t="n">
        <v>988</v>
      </c>
      <c r="J160" s="10" t="n">
        <v>1832</v>
      </c>
      <c r="K160" s="10" t="n">
        <v>222</v>
      </c>
      <c r="L160" s="10" t="n">
        <v>14</v>
      </c>
      <c r="M160" s="10" t="n">
        <v>2</v>
      </c>
      <c r="N160" s="10" t="n">
        <v>1</v>
      </c>
      <c r="O160" s="10" t="n">
        <v>10</v>
      </c>
      <c r="P160" s="10" t="n">
        <v>931</v>
      </c>
      <c r="Q160" s="10" t="n">
        <v>1628</v>
      </c>
      <c r="R160" s="10" t="n">
        <v>1</v>
      </c>
      <c r="S160" s="10" t="n">
        <v>125</v>
      </c>
      <c r="T160" s="10" t="n">
        <v>3</v>
      </c>
      <c r="U160" s="10" t="n">
        <v>12</v>
      </c>
      <c r="V160" s="10" t="n">
        <v>1</v>
      </c>
      <c r="W160" s="10" t="n">
        <v>15</v>
      </c>
      <c r="X160" s="10" t="n">
        <v>9</v>
      </c>
      <c r="Y160" s="10" t="n">
        <v>1</v>
      </c>
      <c r="Z160" s="10" t="n">
        <v>1</v>
      </c>
      <c r="AA160" s="10" t="n">
        <v>2</v>
      </c>
      <c r="AB160" s="10" t="n">
        <v>1</v>
      </c>
      <c r="AC160" s="10" t="n">
        <v>0</v>
      </c>
      <c r="AD160" s="10" t="n">
        <v>0</v>
      </c>
      <c r="AE160" s="10" t="n">
        <v>6</v>
      </c>
      <c r="AF160" s="10" t="n">
        <v>9</v>
      </c>
      <c r="AG160" s="10" t="n">
        <v>10</v>
      </c>
      <c r="AH160" s="10" t="n">
        <v>11</v>
      </c>
      <c r="AI160" s="10" t="n">
        <v>10</v>
      </c>
      <c r="AJ160" s="10" t="n">
        <v>1235</v>
      </c>
      <c r="AK160" s="10" t="n">
        <v>2381</v>
      </c>
      <c r="AL160" s="10" t="n">
        <v>2423</v>
      </c>
      <c r="AM160" s="10" t="n">
        <v>2742</v>
      </c>
      <c r="AN160" s="10" t="n">
        <v>2576</v>
      </c>
      <c r="AO160" s="10" t="n">
        <v>2559</v>
      </c>
      <c r="AP160" s="10" t="n">
        <v>2820</v>
      </c>
      <c r="AQ160" s="10" t="n">
        <f aca="false">I160+J160</f>
        <v>2820</v>
      </c>
      <c r="AR160" s="11" t="n">
        <f aca="false">IF(AQ160&gt;0,I160/AQ160,"")</f>
        <v>0.350354609929078</v>
      </c>
      <c r="AS160" s="11" t="n">
        <f aca="false">IF((P160+Q160)&gt;0,P160/(P160+Q160),"")</f>
        <v>0.363813989839781</v>
      </c>
      <c r="AT160" s="12" t="n">
        <f aca="false">IF(AND(ISNUMBER(AR160),ISNUMBER(AS160)),(AR160-AS160)*100,"")</f>
        <v>-1.34593799107031</v>
      </c>
      <c r="AU160" s="12" t="n">
        <f aca="false">IF(G160&gt;0,I160/G160*1000,"")</f>
        <v>54.8645046645935</v>
      </c>
      <c r="AV160" s="12" t="n">
        <f aca="false">IF(G160&gt;0,H160/G160*10000,"")</f>
        <v>6.10839626832519</v>
      </c>
      <c r="AW160" s="12" t="n">
        <f aca="false">IF(G160&gt;0,W160/G160*10000,"")</f>
        <v>8.3296312749889</v>
      </c>
      <c r="AX160" s="12" t="n">
        <f aca="false">IF(I160&gt;0,K160/I160*100,"")</f>
        <v>22.4696356275304</v>
      </c>
      <c r="AY160" s="9" t="str">
        <f aca="false">IF(AQ160&gt;=100,"ok",IF(AQ160&gt;0,"effectif faible (&lt;100)","aucune association"))</f>
        <v>ok</v>
      </c>
    </row>
    <row r="161" customFormat="false" ht="15" hidden="false" customHeight="false" outlineLevel="0" collapsed="false">
      <c r="A161" s="9" t="s">
        <v>435</v>
      </c>
      <c r="B161" s="9" t="s">
        <v>436</v>
      </c>
      <c r="C161" s="9" t="s">
        <v>216</v>
      </c>
      <c r="D161" s="9" t="s">
        <v>101</v>
      </c>
      <c r="E161" s="9" t="s">
        <v>125</v>
      </c>
      <c r="F161" s="9" t="s">
        <v>135</v>
      </c>
      <c r="G161" s="10" t="n">
        <v>4091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1</v>
      </c>
      <c r="P161" s="10" t="n">
        <v>1220</v>
      </c>
      <c r="Q161" s="10" t="n">
        <v>913</v>
      </c>
      <c r="R161" s="10" t="n">
        <v>0</v>
      </c>
      <c r="S161" s="10" t="n">
        <v>0</v>
      </c>
      <c r="T161" s="10" t="n">
        <v>0</v>
      </c>
      <c r="U161" s="10" t="n">
        <v>1</v>
      </c>
      <c r="V161" s="10" t="n">
        <v>0</v>
      </c>
      <c r="W161" s="10" t="n">
        <v>4</v>
      </c>
      <c r="X161" s="10" t="n">
        <v>0</v>
      </c>
      <c r="Y161" s="10" t="n">
        <v>1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1</v>
      </c>
      <c r="AF161" s="10" t="n">
        <v>1</v>
      </c>
      <c r="AG161" s="10" t="n">
        <v>1</v>
      </c>
      <c r="AH161" s="10" t="n">
        <v>1</v>
      </c>
      <c r="AI161" s="10" t="n">
        <v>1</v>
      </c>
      <c r="AJ161" s="10" t="n">
        <v>1426</v>
      </c>
      <c r="AK161" s="10" t="n">
        <v>1790</v>
      </c>
      <c r="AL161" s="10" t="n">
        <v>1469</v>
      </c>
      <c r="AM161" s="10" t="n">
        <v>1450</v>
      </c>
      <c r="AN161" s="10" t="n">
        <v>1898</v>
      </c>
      <c r="AO161" s="10" t="n">
        <v>2133</v>
      </c>
      <c r="AP161" s="10" t="n">
        <v>0</v>
      </c>
      <c r="AQ161" s="10" t="n">
        <f aca="false">I161+J161</f>
        <v>0</v>
      </c>
      <c r="AR161" s="11" t="str">
        <f aca="false">IF(AQ161&gt;0,I161/AQ161,"")</f>
        <v/>
      </c>
      <c r="AS161" s="11" t="n">
        <f aca="false">IF((P161+Q161)&gt;0,P161/(P161+Q161),"")</f>
        <v>0.571964369432724</v>
      </c>
      <c r="AT161" s="12" t="str">
        <f aca="false">IF(AND(ISNUMBER(AR161),ISNUMBER(AS161)),(AR161-AS161)*100,"")</f>
        <v/>
      </c>
      <c r="AU161" s="12" t="n">
        <f aca="false">IF(G161&gt;0,I161/G161*1000,"")</f>
        <v>0</v>
      </c>
      <c r="AV161" s="12" t="n">
        <f aca="false">IF(G161&gt;0,H161/G161*10000,"")</f>
        <v>0</v>
      </c>
      <c r="AW161" s="12" t="n">
        <f aca="false">IF(G161&gt;0,W161/G161*10000,"")</f>
        <v>9.77756049865559</v>
      </c>
      <c r="AX161" s="12" t="str">
        <f aca="false">IF(I161&gt;0,K161/I161*100,"")</f>
        <v/>
      </c>
      <c r="AY161" s="9" t="str">
        <f aca="false">IF(AQ161&gt;=100,"ok",IF(AQ161&gt;0,"effectif faible (&lt;100)","aucune association"))</f>
        <v>aucune association</v>
      </c>
    </row>
    <row r="162" customFormat="false" ht="15" hidden="false" customHeight="false" outlineLevel="0" collapsed="false">
      <c r="A162" s="9" t="s">
        <v>437</v>
      </c>
      <c r="B162" s="9" t="s">
        <v>151</v>
      </c>
      <c r="C162" s="9" t="s">
        <v>151</v>
      </c>
      <c r="D162" s="9" t="s">
        <v>101</v>
      </c>
      <c r="E162" s="9" t="s">
        <v>152</v>
      </c>
      <c r="F162" s="9" t="s">
        <v>117</v>
      </c>
      <c r="G162" s="10" t="n">
        <v>27593</v>
      </c>
      <c r="H162" s="10" t="n">
        <v>14</v>
      </c>
      <c r="I162" s="10" t="n">
        <v>2405</v>
      </c>
      <c r="J162" s="10" t="n">
        <v>2978</v>
      </c>
      <c r="K162" s="10" t="n">
        <v>384</v>
      </c>
      <c r="L162" s="10" t="n">
        <v>48</v>
      </c>
      <c r="M162" s="10" t="n">
        <v>2</v>
      </c>
      <c r="N162" s="10" t="n">
        <v>3</v>
      </c>
      <c r="O162" s="10" t="n">
        <v>17</v>
      </c>
      <c r="P162" s="10" t="n">
        <v>2444</v>
      </c>
      <c r="Q162" s="10" t="n">
        <v>3134</v>
      </c>
      <c r="R162" s="10" t="n">
        <v>1</v>
      </c>
      <c r="S162" s="10" t="n">
        <v>123</v>
      </c>
      <c r="T162" s="10" t="n">
        <v>6</v>
      </c>
      <c r="U162" s="10" t="n">
        <v>13</v>
      </c>
      <c r="V162" s="10" t="n">
        <v>1</v>
      </c>
      <c r="W162" s="10" t="n">
        <v>19</v>
      </c>
      <c r="X162" s="10" t="n">
        <v>0</v>
      </c>
      <c r="Y162" s="10" t="n">
        <v>2</v>
      </c>
      <c r="Z162" s="10" t="n">
        <v>0</v>
      </c>
      <c r="AA162" s="10" t="n">
        <v>0</v>
      </c>
      <c r="AB162" s="10" t="n">
        <v>0</v>
      </c>
      <c r="AC162" s="10" t="n">
        <v>1</v>
      </c>
      <c r="AD162" s="10" t="n">
        <v>0</v>
      </c>
      <c r="AE162" s="10" t="n">
        <v>15</v>
      </c>
      <c r="AF162" s="10" t="n">
        <v>15</v>
      </c>
      <c r="AG162" s="10" t="n">
        <v>13</v>
      </c>
      <c r="AH162" s="10" t="n">
        <v>13</v>
      </c>
      <c r="AI162" s="10" t="n">
        <v>17</v>
      </c>
      <c r="AJ162" s="10" t="n">
        <v>3785</v>
      </c>
      <c r="AK162" s="10" t="n">
        <v>4850</v>
      </c>
      <c r="AL162" s="10" t="n">
        <v>4000</v>
      </c>
      <c r="AM162" s="10" t="n">
        <v>4105</v>
      </c>
      <c r="AN162" s="10" t="n">
        <v>4966</v>
      </c>
      <c r="AO162" s="10" t="n">
        <v>5578</v>
      </c>
      <c r="AP162" s="10" t="n">
        <v>5383</v>
      </c>
      <c r="AQ162" s="10" t="n">
        <f aca="false">I162+J162</f>
        <v>5383</v>
      </c>
      <c r="AR162" s="11" t="n">
        <f aca="false">IF(AQ162&gt;0,I162/AQ162,"")</f>
        <v>0.44677689020992</v>
      </c>
      <c r="AS162" s="11" t="n">
        <f aca="false">IF((P162+Q162)&gt;0,P162/(P162+Q162),"")</f>
        <v>0.438149874506992</v>
      </c>
      <c r="AT162" s="12" t="n">
        <f aca="false">IF(AND(ISNUMBER(AR162),ISNUMBER(AS162)),(AR162-AS162)*100,"")</f>
        <v>0.862701570292834</v>
      </c>
      <c r="AU162" s="12" t="n">
        <f aca="false">IF(G162&gt;0,I162/G162*1000,"")</f>
        <v>87.1597869024753</v>
      </c>
      <c r="AV162" s="12" t="n">
        <f aca="false">IF(G162&gt;0,H162/G162*10000,"")</f>
        <v>5.07375058891748</v>
      </c>
      <c r="AW162" s="12" t="n">
        <f aca="false">IF(G162&gt;0,W162/G162*10000,"")</f>
        <v>6.88580437067372</v>
      </c>
      <c r="AX162" s="12" t="n">
        <f aca="false">IF(I162&gt;0,K162/I162*100,"")</f>
        <v>15.966735966736</v>
      </c>
      <c r="AY162" s="9" t="str">
        <f aca="false">IF(AQ162&gt;=100,"ok",IF(AQ162&gt;0,"effectif faible (&lt;100)","aucune association"))</f>
        <v>ok</v>
      </c>
    </row>
    <row r="163" customFormat="false" ht="15" hidden="false" customHeight="false" outlineLevel="0" collapsed="false">
      <c r="A163" s="9" t="s">
        <v>438</v>
      </c>
      <c r="B163" s="9" t="s">
        <v>439</v>
      </c>
      <c r="C163" s="9" t="s">
        <v>100</v>
      </c>
      <c r="D163" s="9" t="s">
        <v>107</v>
      </c>
      <c r="E163" s="9" t="s">
        <v>102</v>
      </c>
      <c r="F163" s="9"/>
      <c r="G163" s="10" t="n">
        <v>53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f aca="false">I163+J163</f>
        <v>0</v>
      </c>
      <c r="AR163" s="11" t="str">
        <f aca="false">IF(AQ163&gt;0,I163/AQ163,"")</f>
        <v/>
      </c>
      <c r="AS163" s="11" t="str">
        <f aca="false">IF((P163+Q163)&gt;0,P163/(P163+Q163),"")</f>
        <v/>
      </c>
      <c r="AT163" s="12" t="str">
        <f aca="false">IF(AND(ISNUMBER(AR163),ISNUMBER(AS163)),(AR163-AS163)*100,"")</f>
        <v/>
      </c>
      <c r="AU163" s="12" t="n">
        <f aca="false">IF(G163&gt;0,I163/G163*1000,"")</f>
        <v>0</v>
      </c>
      <c r="AV163" s="12" t="n">
        <f aca="false">IF(G163&gt;0,H163/G163*10000,"")</f>
        <v>0</v>
      </c>
      <c r="AW163" s="12" t="n">
        <f aca="false">IF(G163&gt;0,W163/G163*10000,"")</f>
        <v>0</v>
      </c>
      <c r="AX163" s="12" t="str">
        <f aca="false">IF(I163&gt;0,K163/I163*100,"")</f>
        <v/>
      </c>
      <c r="AY163" s="9" t="str">
        <f aca="false">IF(AQ163&gt;=100,"ok",IF(AQ163&gt;0,"effectif faible (&lt;100)","aucune association"))</f>
        <v>aucune association</v>
      </c>
    </row>
    <row r="164" customFormat="false" ht="15" hidden="false" customHeight="false" outlineLevel="0" collapsed="false">
      <c r="A164" s="9" t="s">
        <v>440</v>
      </c>
      <c r="B164" s="9" t="s">
        <v>441</v>
      </c>
      <c r="C164" s="9" t="s">
        <v>106</v>
      </c>
      <c r="D164" s="9" t="s">
        <v>107</v>
      </c>
      <c r="E164" s="9" t="s">
        <v>102</v>
      </c>
      <c r="F164" s="9" t="s">
        <v>103</v>
      </c>
      <c r="G164" s="10" t="n">
        <v>283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2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f aca="false">I164+J164</f>
        <v>0</v>
      </c>
      <c r="AR164" s="11" t="str">
        <f aca="false">IF(AQ164&gt;0,I164/AQ164,"")</f>
        <v/>
      </c>
      <c r="AS164" s="11" t="str">
        <f aca="false">IF((P164+Q164)&gt;0,P164/(P164+Q164),"")</f>
        <v/>
      </c>
      <c r="AT164" s="12" t="str">
        <f aca="false">IF(AND(ISNUMBER(AR164),ISNUMBER(AS164)),(AR164-AS164)*100,"")</f>
        <v/>
      </c>
      <c r="AU164" s="12" t="n">
        <f aca="false">IF(G164&gt;0,I164/G164*1000,"")</f>
        <v>0</v>
      </c>
      <c r="AV164" s="12" t="n">
        <f aca="false">IF(G164&gt;0,H164/G164*10000,"")</f>
        <v>0</v>
      </c>
      <c r="AW164" s="12" t="n">
        <f aca="false">IF(G164&gt;0,W164/G164*10000,"")</f>
        <v>70.6713780918728</v>
      </c>
      <c r="AX164" s="12" t="str">
        <f aca="false">IF(I164&gt;0,K164/I164*100,"")</f>
        <v/>
      </c>
      <c r="AY164" s="9" t="str">
        <f aca="false">IF(AQ164&gt;=100,"ok",IF(AQ164&gt;0,"effectif faible (&lt;100)","aucune association"))</f>
        <v>aucune association</v>
      </c>
    </row>
    <row r="165" customFormat="false" ht="15" hidden="false" customHeight="false" outlineLevel="0" collapsed="false">
      <c r="A165" s="9" t="s">
        <v>442</v>
      </c>
      <c r="B165" s="9" t="s">
        <v>443</v>
      </c>
      <c r="C165" s="9" t="s">
        <v>100</v>
      </c>
      <c r="D165" s="9" t="s">
        <v>101</v>
      </c>
      <c r="E165" s="9" t="s">
        <v>102</v>
      </c>
      <c r="F165" s="9" t="s">
        <v>143</v>
      </c>
      <c r="G165" s="10" t="n">
        <v>1374</v>
      </c>
      <c r="H165" s="10" t="n">
        <v>1</v>
      </c>
      <c r="I165" s="10" t="n">
        <v>17</v>
      </c>
      <c r="J165" s="10" t="n">
        <v>59</v>
      </c>
      <c r="K165" s="10" t="n">
        <v>8</v>
      </c>
      <c r="L165" s="10" t="n">
        <v>1</v>
      </c>
      <c r="M165" s="10" t="n">
        <v>0</v>
      </c>
      <c r="N165" s="10" t="n">
        <v>0</v>
      </c>
      <c r="O165" s="10" t="n">
        <v>1</v>
      </c>
      <c r="P165" s="10" t="n">
        <v>24</v>
      </c>
      <c r="Q165" s="10" t="n">
        <v>70</v>
      </c>
      <c r="R165" s="10" t="n">
        <v>0</v>
      </c>
      <c r="S165" s="10" t="n">
        <v>0</v>
      </c>
      <c r="T165" s="10" t="n">
        <v>0</v>
      </c>
      <c r="U165" s="10" t="n">
        <v>1</v>
      </c>
      <c r="V165" s="10" t="n">
        <v>0</v>
      </c>
      <c r="W165" s="10" t="n">
        <v>7</v>
      </c>
      <c r="X165" s="10" t="n">
        <v>1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1</v>
      </c>
      <c r="AF165" s="10" t="n">
        <v>1</v>
      </c>
      <c r="AG165" s="10" t="n">
        <v>1</v>
      </c>
      <c r="AH165" s="10" t="n">
        <v>1</v>
      </c>
      <c r="AI165" s="10" t="n">
        <v>1</v>
      </c>
      <c r="AJ165" s="10" t="n">
        <v>360</v>
      </c>
      <c r="AK165" s="10" t="n">
        <v>89</v>
      </c>
      <c r="AL165" s="10" t="n">
        <v>111</v>
      </c>
      <c r="AM165" s="10" t="n">
        <v>123</v>
      </c>
      <c r="AN165" s="10" t="n">
        <v>111</v>
      </c>
      <c r="AO165" s="10" t="n">
        <v>94</v>
      </c>
      <c r="AP165" s="10" t="n">
        <v>76</v>
      </c>
      <c r="AQ165" s="10" t="n">
        <f aca="false">I165+J165</f>
        <v>76</v>
      </c>
      <c r="AR165" s="11" t="n">
        <f aca="false">IF(AQ165&gt;0,I165/AQ165,"")</f>
        <v>0.223684210526316</v>
      </c>
      <c r="AS165" s="11" t="n">
        <f aca="false">IF((P165+Q165)&gt;0,P165/(P165+Q165),"")</f>
        <v>0.25531914893617</v>
      </c>
      <c r="AT165" s="12" t="n">
        <f aca="false">IF(AND(ISNUMBER(AR165),ISNUMBER(AS165)),(AR165-AS165)*100,"")</f>
        <v>-3.16349384098544</v>
      </c>
      <c r="AU165" s="12" t="n">
        <f aca="false">IF(G165&gt;0,I165/G165*1000,"")</f>
        <v>12.372634643377</v>
      </c>
      <c r="AV165" s="12" t="n">
        <f aca="false">IF(G165&gt;0,H165/G165*10000,"")</f>
        <v>7.27802037845706</v>
      </c>
      <c r="AW165" s="12" t="n">
        <f aca="false">IF(G165&gt;0,W165/G165*10000,"")</f>
        <v>50.9461426491994</v>
      </c>
      <c r="AX165" s="12" t="n">
        <f aca="false">IF(I165&gt;0,K165/I165*100,"")</f>
        <v>47.0588235294118</v>
      </c>
      <c r="AY165" s="9" t="str">
        <f aca="false">IF(AQ165&gt;=100,"ok",IF(AQ165&gt;0,"effectif faible (&lt;100)","aucune association"))</f>
        <v>effectif faible (&lt;100)</v>
      </c>
    </row>
    <row r="166" customFormat="false" ht="15" hidden="false" customHeight="false" outlineLevel="0" collapsed="false">
      <c r="A166" s="9" t="s">
        <v>444</v>
      </c>
      <c r="B166" s="9" t="s">
        <v>445</v>
      </c>
      <c r="C166" s="9" t="s">
        <v>100</v>
      </c>
      <c r="D166" s="9" t="s">
        <v>101</v>
      </c>
      <c r="E166" s="9" t="s">
        <v>128</v>
      </c>
      <c r="F166" s="9" t="s">
        <v>103</v>
      </c>
      <c r="G166" s="10" t="n">
        <v>625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1</v>
      </c>
      <c r="S166" s="10" t="n">
        <v>85</v>
      </c>
      <c r="T166" s="10" t="n">
        <v>6</v>
      </c>
      <c r="U166" s="10" t="n">
        <v>0</v>
      </c>
      <c r="V166" s="10" t="n">
        <v>1</v>
      </c>
      <c r="W166" s="10" t="n">
        <v>6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1</v>
      </c>
      <c r="AF166" s="10" t="n">
        <v>1</v>
      </c>
      <c r="AG166" s="10" t="n">
        <v>0</v>
      </c>
      <c r="AH166" s="10" t="n">
        <v>0</v>
      </c>
      <c r="AI166" s="10" t="n">
        <v>0</v>
      </c>
      <c r="AJ166" s="10" t="n">
        <v>119</v>
      </c>
      <c r="AK166" s="10" t="n">
        <v>144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f aca="false">I166+J166</f>
        <v>0</v>
      </c>
      <c r="AR166" s="11" t="str">
        <f aca="false">IF(AQ166&gt;0,I166/AQ166,"")</f>
        <v/>
      </c>
      <c r="AS166" s="11" t="str">
        <f aca="false">IF((P166+Q166)&gt;0,P166/(P166+Q166),"")</f>
        <v/>
      </c>
      <c r="AT166" s="12" t="str">
        <f aca="false">IF(AND(ISNUMBER(AR166),ISNUMBER(AS166)),(AR166-AS166)*100,"")</f>
        <v/>
      </c>
      <c r="AU166" s="12" t="n">
        <f aca="false">IF(G166&gt;0,I166/G166*1000,"")</f>
        <v>0</v>
      </c>
      <c r="AV166" s="12" t="n">
        <f aca="false">IF(G166&gt;0,H166/G166*10000,"")</f>
        <v>0</v>
      </c>
      <c r="AW166" s="12" t="n">
        <f aca="false">IF(G166&gt;0,W166/G166*10000,"")</f>
        <v>96</v>
      </c>
      <c r="AX166" s="12" t="str">
        <f aca="false">IF(I166&gt;0,K166/I166*100,"")</f>
        <v/>
      </c>
      <c r="AY166" s="9" t="str">
        <f aca="false">IF(AQ166&gt;=100,"ok",IF(AQ166&gt;0,"effectif faible (&lt;100)","aucune association"))</f>
        <v>aucune association</v>
      </c>
    </row>
    <row r="167" customFormat="false" ht="15" hidden="false" customHeight="false" outlineLevel="0" collapsed="false">
      <c r="A167" s="9" t="s">
        <v>446</v>
      </c>
      <c r="B167" s="9" t="s">
        <v>447</v>
      </c>
      <c r="C167" s="9" t="s">
        <v>140</v>
      </c>
      <c r="D167" s="9" t="s">
        <v>107</v>
      </c>
      <c r="E167" s="9" t="s">
        <v>128</v>
      </c>
      <c r="F167" s="9" t="s">
        <v>135</v>
      </c>
      <c r="G167" s="10" t="n">
        <v>1208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5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10" t="n">
        <v>0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f aca="false">I167+J167</f>
        <v>0</v>
      </c>
      <c r="AR167" s="11" t="str">
        <f aca="false">IF(AQ167&gt;0,I167/AQ167,"")</f>
        <v/>
      </c>
      <c r="AS167" s="11" t="str">
        <f aca="false">IF((P167+Q167)&gt;0,P167/(P167+Q167),"")</f>
        <v/>
      </c>
      <c r="AT167" s="12" t="str">
        <f aca="false">IF(AND(ISNUMBER(AR167),ISNUMBER(AS167)),(AR167-AS167)*100,"")</f>
        <v/>
      </c>
      <c r="AU167" s="12" t="n">
        <f aca="false">IF(G167&gt;0,I167/G167*1000,"")</f>
        <v>0</v>
      </c>
      <c r="AV167" s="12" t="n">
        <f aca="false">IF(G167&gt;0,H167/G167*10000,"")</f>
        <v>0</v>
      </c>
      <c r="AW167" s="12" t="n">
        <f aca="false">IF(G167&gt;0,W167/G167*10000,"")</f>
        <v>41.3907284768212</v>
      </c>
      <c r="AX167" s="12" t="str">
        <f aca="false">IF(I167&gt;0,K167/I167*100,"")</f>
        <v/>
      </c>
      <c r="AY167" s="9" t="str">
        <f aca="false">IF(AQ167&gt;=100,"ok",IF(AQ167&gt;0,"effectif faible (&lt;100)","aucune association"))</f>
        <v>aucune association</v>
      </c>
    </row>
    <row r="168" customFormat="false" ht="15" hidden="false" customHeight="false" outlineLevel="0" collapsed="false">
      <c r="A168" s="9" t="s">
        <v>448</v>
      </c>
      <c r="B168" s="9" t="s">
        <v>449</v>
      </c>
      <c r="C168" s="9" t="s">
        <v>182</v>
      </c>
      <c r="D168" s="9" t="s">
        <v>107</v>
      </c>
      <c r="E168" s="9" t="s">
        <v>125</v>
      </c>
      <c r="F168" s="9"/>
      <c r="G168" s="10" t="n">
        <v>104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f aca="false">I168+J168</f>
        <v>0</v>
      </c>
      <c r="AR168" s="11" t="str">
        <f aca="false">IF(AQ168&gt;0,I168/AQ168,"")</f>
        <v/>
      </c>
      <c r="AS168" s="11" t="str">
        <f aca="false">IF((P168+Q168)&gt;0,P168/(P168+Q168),"")</f>
        <v/>
      </c>
      <c r="AT168" s="12" t="str">
        <f aca="false">IF(AND(ISNUMBER(AR168),ISNUMBER(AS168)),(AR168-AS168)*100,"")</f>
        <v/>
      </c>
      <c r="AU168" s="12" t="n">
        <f aca="false">IF(G168&gt;0,I168/G168*1000,"")</f>
        <v>0</v>
      </c>
      <c r="AV168" s="12" t="n">
        <f aca="false">IF(G168&gt;0,H168/G168*10000,"")</f>
        <v>0</v>
      </c>
      <c r="AW168" s="12" t="n">
        <f aca="false">IF(G168&gt;0,W168/G168*10000,"")</f>
        <v>0</v>
      </c>
      <c r="AX168" s="12" t="str">
        <f aca="false">IF(I168&gt;0,K168/I168*100,"")</f>
        <v/>
      </c>
      <c r="AY168" s="9" t="str">
        <f aca="false">IF(AQ168&gt;=100,"ok",IF(AQ168&gt;0,"effectif faible (&lt;100)","aucune association"))</f>
        <v>aucune association</v>
      </c>
    </row>
    <row r="169" customFormat="false" ht="15" hidden="false" customHeight="false" outlineLevel="0" collapsed="false">
      <c r="A169" s="9" t="s">
        <v>450</v>
      </c>
      <c r="B169" s="9" t="s">
        <v>106</v>
      </c>
      <c r="C169" s="9" t="s">
        <v>106</v>
      </c>
      <c r="D169" s="9" t="s">
        <v>101</v>
      </c>
      <c r="E169" s="9" t="s">
        <v>173</v>
      </c>
      <c r="F169" s="9" t="s">
        <v>117</v>
      </c>
      <c r="G169" s="10" t="n">
        <v>16079</v>
      </c>
      <c r="H169" s="10" t="n">
        <v>13</v>
      </c>
      <c r="I169" s="10" t="n">
        <v>1033</v>
      </c>
      <c r="J169" s="10" t="n">
        <v>1372</v>
      </c>
      <c r="K169" s="10" t="n">
        <v>160</v>
      </c>
      <c r="L169" s="10" t="n">
        <v>33</v>
      </c>
      <c r="M169" s="10" t="n">
        <v>3</v>
      </c>
      <c r="N169" s="10" t="n">
        <v>2</v>
      </c>
      <c r="O169" s="10" t="n">
        <v>11</v>
      </c>
      <c r="P169" s="10" t="n">
        <v>864</v>
      </c>
      <c r="Q169" s="10" t="n">
        <v>965</v>
      </c>
      <c r="R169" s="10" t="n">
        <v>4</v>
      </c>
      <c r="S169" s="10" t="n">
        <v>743</v>
      </c>
      <c r="T169" s="10" t="n">
        <v>30</v>
      </c>
      <c r="U169" s="10" t="n">
        <v>13</v>
      </c>
      <c r="V169" s="10" t="n">
        <v>4</v>
      </c>
      <c r="W169" s="10" t="n">
        <v>20</v>
      </c>
      <c r="X169" s="10" t="n">
        <v>1</v>
      </c>
      <c r="Y169" s="10" t="n">
        <v>1</v>
      </c>
      <c r="Z169" s="10" t="n">
        <v>0</v>
      </c>
      <c r="AA169" s="10" t="n">
        <v>0</v>
      </c>
      <c r="AB169" s="10" t="n">
        <v>0</v>
      </c>
      <c r="AC169" s="10" t="n">
        <v>2</v>
      </c>
      <c r="AD169" s="10" t="n">
        <v>0</v>
      </c>
      <c r="AE169" s="10" t="n">
        <v>9</v>
      </c>
      <c r="AF169" s="10" t="n">
        <v>10</v>
      </c>
      <c r="AG169" s="10" t="n">
        <v>9</v>
      </c>
      <c r="AH169" s="10" t="n">
        <v>8</v>
      </c>
      <c r="AI169" s="10" t="n">
        <v>9</v>
      </c>
      <c r="AJ169" s="10" t="n">
        <v>1798</v>
      </c>
      <c r="AK169" s="10" t="n">
        <v>1523</v>
      </c>
      <c r="AL169" s="10" t="n">
        <v>804</v>
      </c>
      <c r="AM169" s="10" t="n">
        <v>893</v>
      </c>
      <c r="AN169" s="10" t="n">
        <v>1315</v>
      </c>
      <c r="AO169" s="10" t="n">
        <v>1829</v>
      </c>
      <c r="AP169" s="10" t="n">
        <v>2405</v>
      </c>
      <c r="AQ169" s="10" t="n">
        <f aca="false">I169+J169</f>
        <v>2405</v>
      </c>
      <c r="AR169" s="11" t="n">
        <f aca="false">IF(AQ169&gt;0,I169/AQ169,"")</f>
        <v>0.42952182952183</v>
      </c>
      <c r="AS169" s="11" t="n">
        <f aca="false">IF((P169+Q169)&gt;0,P169/(P169+Q169),"")</f>
        <v>0.472389283761618</v>
      </c>
      <c r="AT169" s="12" t="n">
        <f aca="false">IF(AND(ISNUMBER(AR169),ISNUMBER(AS169)),(AR169-AS169)*100,"")</f>
        <v>-4.28674542397888</v>
      </c>
      <c r="AU169" s="12" t="n">
        <f aca="false">IF(G169&gt;0,I169/G169*1000,"")</f>
        <v>64.2452888861248</v>
      </c>
      <c r="AV169" s="12" t="n">
        <f aca="false">IF(G169&gt;0,H169/G169*10000,"")</f>
        <v>8.08507991790534</v>
      </c>
      <c r="AW169" s="12" t="n">
        <f aca="false">IF(G169&gt;0,W169/G169*10000,"")</f>
        <v>12.4385844890851</v>
      </c>
      <c r="AX169" s="12" t="n">
        <f aca="false">IF(I169&gt;0,K169/I169*100,"")</f>
        <v>15.4888673765731</v>
      </c>
      <c r="AY169" s="9" t="str">
        <f aca="false">IF(AQ169&gt;=100,"ok",IF(AQ169&gt;0,"effectif faible (&lt;100)","aucune association"))</f>
        <v>ok</v>
      </c>
    </row>
    <row r="170" customFormat="false" ht="15" hidden="false" customHeight="false" outlineLevel="0" collapsed="false">
      <c r="A170" s="9" t="s">
        <v>451</v>
      </c>
      <c r="B170" s="9" t="s">
        <v>452</v>
      </c>
      <c r="C170" s="9" t="s">
        <v>133</v>
      </c>
      <c r="D170" s="9" t="s">
        <v>101</v>
      </c>
      <c r="E170" s="9" t="s">
        <v>134</v>
      </c>
      <c r="F170" s="9" t="s">
        <v>135</v>
      </c>
      <c r="G170" s="10" t="n">
        <v>5558</v>
      </c>
      <c r="H170" s="10" t="n">
        <v>5</v>
      </c>
      <c r="I170" s="10" t="n">
        <v>259</v>
      </c>
      <c r="J170" s="10" t="n">
        <v>788</v>
      </c>
      <c r="K170" s="10" t="n">
        <v>159</v>
      </c>
      <c r="L170" s="10" t="n">
        <v>5</v>
      </c>
      <c r="M170" s="10" t="n">
        <v>1</v>
      </c>
      <c r="N170" s="10" t="n">
        <v>1</v>
      </c>
      <c r="O170" s="10" t="n">
        <v>5</v>
      </c>
      <c r="P170" s="10" t="n">
        <v>229</v>
      </c>
      <c r="Q170" s="10" t="n">
        <v>785</v>
      </c>
      <c r="R170" s="10" t="n">
        <v>0</v>
      </c>
      <c r="S170" s="10" t="n">
        <v>0</v>
      </c>
      <c r="T170" s="10" t="n">
        <v>0</v>
      </c>
      <c r="U170" s="10" t="n">
        <v>5</v>
      </c>
      <c r="V170" s="10" t="n">
        <v>0</v>
      </c>
      <c r="W170" s="10" t="n">
        <v>14</v>
      </c>
      <c r="X170" s="10" t="n">
        <v>1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5</v>
      </c>
      <c r="AF170" s="10" t="n">
        <v>6</v>
      </c>
      <c r="AG170" s="10" t="n">
        <v>6</v>
      </c>
      <c r="AH170" s="10" t="n">
        <v>5</v>
      </c>
      <c r="AI170" s="10" t="n">
        <v>5</v>
      </c>
      <c r="AJ170" s="10" t="n">
        <v>899</v>
      </c>
      <c r="AK170" s="10" t="n">
        <v>1010</v>
      </c>
      <c r="AL170" s="10" t="n">
        <v>873</v>
      </c>
      <c r="AM170" s="10" t="n">
        <v>947</v>
      </c>
      <c r="AN170" s="10" t="n">
        <v>999</v>
      </c>
      <c r="AO170" s="10" t="n">
        <v>1014</v>
      </c>
      <c r="AP170" s="10" t="n">
        <v>1047</v>
      </c>
      <c r="AQ170" s="10" t="n">
        <f aca="false">I170+J170</f>
        <v>1047</v>
      </c>
      <c r="AR170" s="11" t="n">
        <f aca="false">IF(AQ170&gt;0,I170/AQ170,"")</f>
        <v>0.247373447946514</v>
      </c>
      <c r="AS170" s="11" t="n">
        <f aca="false">IF((P170+Q170)&gt;0,P170/(P170+Q170),"")</f>
        <v>0.225838264299803</v>
      </c>
      <c r="AT170" s="12" t="n">
        <f aca="false">IF(AND(ISNUMBER(AR170),ISNUMBER(AS170)),(AR170-AS170)*100,"")</f>
        <v>2.15351836467111</v>
      </c>
      <c r="AU170" s="12" t="n">
        <f aca="false">IF(G170&gt;0,I170/G170*1000,"")</f>
        <v>46.5994962216625</v>
      </c>
      <c r="AV170" s="12" t="n">
        <f aca="false">IF(G170&gt;0,H170/G170*10000,"")</f>
        <v>8.99604174163368</v>
      </c>
      <c r="AW170" s="12" t="n">
        <f aca="false">IF(G170&gt;0,W170/G170*10000,"")</f>
        <v>25.1889168765743</v>
      </c>
      <c r="AX170" s="12" t="n">
        <f aca="false">IF(I170&gt;0,K170/I170*100,"")</f>
        <v>61.3899613899614</v>
      </c>
      <c r="AY170" s="9" t="str">
        <f aca="false">IF(AQ170&gt;=100,"ok",IF(AQ170&gt;0,"effectif faible (&lt;100)","aucune association"))</f>
        <v>ok</v>
      </c>
    </row>
    <row r="171" customFormat="false" ht="15" hidden="false" customHeight="false" outlineLevel="0" collapsed="false">
      <c r="A171" s="9" t="s">
        <v>453</v>
      </c>
      <c r="B171" s="9" t="s">
        <v>454</v>
      </c>
      <c r="C171" s="9" t="s">
        <v>106</v>
      </c>
      <c r="D171" s="9" t="s">
        <v>107</v>
      </c>
      <c r="E171" s="9" t="s">
        <v>108</v>
      </c>
      <c r="F171" s="9" t="s">
        <v>103</v>
      </c>
      <c r="G171" s="10" t="n">
        <v>379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1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f aca="false">I171+J171</f>
        <v>0</v>
      </c>
      <c r="AR171" s="11" t="str">
        <f aca="false">IF(AQ171&gt;0,I171/AQ171,"")</f>
        <v/>
      </c>
      <c r="AS171" s="11" t="str">
        <f aca="false">IF((P171+Q171)&gt;0,P171/(P171+Q171),"")</f>
        <v/>
      </c>
      <c r="AT171" s="12" t="str">
        <f aca="false">IF(AND(ISNUMBER(AR171),ISNUMBER(AS171)),(AR171-AS171)*100,"")</f>
        <v/>
      </c>
      <c r="AU171" s="12" t="n">
        <f aca="false">IF(G171&gt;0,I171/G171*1000,"")</f>
        <v>0</v>
      </c>
      <c r="AV171" s="12" t="n">
        <f aca="false">IF(G171&gt;0,H171/G171*10000,"")</f>
        <v>0</v>
      </c>
      <c r="AW171" s="12" t="n">
        <f aca="false">IF(G171&gt;0,W171/G171*10000,"")</f>
        <v>26.3852242744063</v>
      </c>
      <c r="AX171" s="12" t="str">
        <f aca="false">IF(I171&gt;0,K171/I171*100,"")</f>
        <v/>
      </c>
      <c r="AY171" s="9" t="str">
        <f aca="false">IF(AQ171&gt;=100,"ok",IF(AQ171&gt;0,"effectif faible (&lt;100)","aucune association"))</f>
        <v>aucune association</v>
      </c>
    </row>
    <row r="172" customFormat="false" ht="15" hidden="false" customHeight="false" outlineLevel="0" collapsed="false">
      <c r="A172" s="9" t="s">
        <v>455</v>
      </c>
      <c r="B172" s="9" t="s">
        <v>456</v>
      </c>
      <c r="C172" s="9" t="s">
        <v>106</v>
      </c>
      <c r="D172" s="9" t="s">
        <v>101</v>
      </c>
      <c r="E172" s="9" t="s">
        <v>102</v>
      </c>
      <c r="F172" s="9" t="s">
        <v>143</v>
      </c>
      <c r="G172" s="10" t="n">
        <v>1137</v>
      </c>
      <c r="H172" s="10" t="n">
        <v>1</v>
      </c>
      <c r="I172" s="10" t="n">
        <v>26</v>
      </c>
      <c r="J172" s="10" t="n">
        <v>27</v>
      </c>
      <c r="K172" s="10" t="n">
        <v>6</v>
      </c>
      <c r="L172" s="10" t="n">
        <v>1</v>
      </c>
      <c r="M172" s="10" t="n">
        <v>0</v>
      </c>
      <c r="N172" s="10" t="n">
        <v>0</v>
      </c>
      <c r="O172" s="10" t="n">
        <v>1</v>
      </c>
      <c r="P172" s="10" t="n">
        <v>25</v>
      </c>
      <c r="Q172" s="10" t="n">
        <v>31</v>
      </c>
      <c r="R172" s="10" t="n">
        <v>0</v>
      </c>
      <c r="S172" s="10" t="n">
        <v>0</v>
      </c>
      <c r="T172" s="10" t="n">
        <v>0</v>
      </c>
      <c r="U172" s="10" t="n">
        <v>1</v>
      </c>
      <c r="V172" s="10" t="n">
        <v>0</v>
      </c>
      <c r="W172" s="10" t="n">
        <v>4</v>
      </c>
      <c r="X172" s="10" t="n">
        <v>1</v>
      </c>
      <c r="Y172" s="10" t="n">
        <v>0</v>
      </c>
      <c r="Z172" s="10" t="n">
        <v>0</v>
      </c>
      <c r="AA172" s="10" t="n">
        <v>1</v>
      </c>
      <c r="AB172" s="10" t="n">
        <v>0</v>
      </c>
      <c r="AC172" s="10" t="n">
        <v>0</v>
      </c>
      <c r="AD172" s="10" t="n">
        <v>0</v>
      </c>
      <c r="AE172" s="10" t="n">
        <v>1</v>
      </c>
      <c r="AF172" s="10" t="n">
        <v>1</v>
      </c>
      <c r="AG172" s="10" t="n">
        <v>1</v>
      </c>
      <c r="AH172" s="10" t="n">
        <v>2</v>
      </c>
      <c r="AI172" s="10" t="n">
        <v>1</v>
      </c>
      <c r="AJ172" s="10" t="n">
        <v>50</v>
      </c>
      <c r="AK172" s="10" t="n">
        <v>46</v>
      </c>
      <c r="AL172" s="10" t="n">
        <v>54</v>
      </c>
      <c r="AM172" s="10" t="n">
        <v>162</v>
      </c>
      <c r="AN172" s="10" t="n">
        <v>37</v>
      </c>
      <c r="AO172" s="10" t="n">
        <v>56</v>
      </c>
      <c r="AP172" s="10" t="n">
        <v>53</v>
      </c>
      <c r="AQ172" s="10" t="n">
        <f aca="false">I172+J172</f>
        <v>53</v>
      </c>
      <c r="AR172" s="11" t="n">
        <f aca="false">IF(AQ172&gt;0,I172/AQ172,"")</f>
        <v>0.490566037735849</v>
      </c>
      <c r="AS172" s="11" t="n">
        <f aca="false">IF((P172+Q172)&gt;0,P172/(P172+Q172),"")</f>
        <v>0.446428571428571</v>
      </c>
      <c r="AT172" s="12" t="n">
        <f aca="false">IF(AND(ISNUMBER(AR172),ISNUMBER(AS172)),(AR172-AS172)*100,"")</f>
        <v>4.41374663072776</v>
      </c>
      <c r="AU172" s="12" t="n">
        <f aca="false">IF(G172&gt;0,I172/G172*1000,"")</f>
        <v>22.8671943711522</v>
      </c>
      <c r="AV172" s="12" t="n">
        <f aca="false">IF(G172&gt;0,H172/G172*10000,"")</f>
        <v>8.79507475813544</v>
      </c>
      <c r="AW172" s="12" t="n">
        <f aca="false">IF(G172&gt;0,W172/G172*10000,"")</f>
        <v>35.1802990325418</v>
      </c>
      <c r="AX172" s="12" t="n">
        <f aca="false">IF(I172&gt;0,K172/I172*100,"")</f>
        <v>23.0769230769231</v>
      </c>
      <c r="AY172" s="9" t="str">
        <f aca="false">IF(AQ172&gt;=100,"ok",IF(AQ172&gt;0,"effectif faible (&lt;100)","aucune association"))</f>
        <v>effectif faible (&lt;100)</v>
      </c>
    </row>
    <row r="173" customFormat="false" ht="15" hidden="false" customHeight="false" outlineLevel="0" collapsed="false">
      <c r="A173" s="9" t="s">
        <v>457</v>
      </c>
      <c r="B173" s="9" t="s">
        <v>458</v>
      </c>
      <c r="C173" s="9" t="s">
        <v>133</v>
      </c>
      <c r="D173" s="9" t="s">
        <v>107</v>
      </c>
      <c r="E173" s="9" t="s">
        <v>134</v>
      </c>
      <c r="F173" s="9" t="s">
        <v>143</v>
      </c>
      <c r="G173" s="10" t="n">
        <v>778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4</v>
      </c>
      <c r="X173" s="10" t="n">
        <v>1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f aca="false">I173+J173</f>
        <v>0</v>
      </c>
      <c r="AR173" s="11" t="str">
        <f aca="false">IF(AQ173&gt;0,I173/AQ173,"")</f>
        <v/>
      </c>
      <c r="AS173" s="11" t="str">
        <f aca="false">IF((P173+Q173)&gt;0,P173/(P173+Q173),"")</f>
        <v/>
      </c>
      <c r="AT173" s="12" t="str">
        <f aca="false">IF(AND(ISNUMBER(AR173),ISNUMBER(AS173)),(AR173-AS173)*100,"")</f>
        <v/>
      </c>
      <c r="AU173" s="12" t="n">
        <f aca="false">IF(G173&gt;0,I173/G173*1000,"")</f>
        <v>0</v>
      </c>
      <c r="AV173" s="12" t="n">
        <f aca="false">IF(G173&gt;0,H173/G173*10000,"")</f>
        <v>0</v>
      </c>
      <c r="AW173" s="12" t="n">
        <f aca="false">IF(G173&gt;0,W173/G173*10000,"")</f>
        <v>51.413881748072</v>
      </c>
      <c r="AX173" s="12" t="str">
        <f aca="false">IF(I173&gt;0,K173/I173*100,"")</f>
        <v/>
      </c>
      <c r="AY173" s="9" t="str">
        <f aca="false">IF(AQ173&gt;=100,"ok",IF(AQ173&gt;0,"effectif faible (&lt;100)","aucune association"))</f>
        <v>aucune association</v>
      </c>
    </row>
    <row r="174" customFormat="false" ht="15" hidden="false" customHeight="false" outlineLevel="0" collapsed="false">
      <c r="A174" s="9" t="s">
        <v>459</v>
      </c>
      <c r="B174" s="9" t="s">
        <v>460</v>
      </c>
      <c r="C174" s="9" t="s">
        <v>216</v>
      </c>
      <c r="D174" s="9" t="s">
        <v>107</v>
      </c>
      <c r="E174" s="9" t="s">
        <v>125</v>
      </c>
      <c r="F174" s="9" t="s">
        <v>143</v>
      </c>
      <c r="G174" s="10" t="n">
        <v>1766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4</v>
      </c>
      <c r="X174" s="10" t="n">
        <v>1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1</v>
      </c>
      <c r="AF174" s="10" t="n">
        <v>1</v>
      </c>
      <c r="AG174" s="10" t="n">
        <v>0</v>
      </c>
      <c r="AH174" s="10" t="n">
        <v>0</v>
      </c>
      <c r="AI174" s="10" t="n">
        <v>0</v>
      </c>
      <c r="AJ174" s="10" t="n">
        <v>52</v>
      </c>
      <c r="AK174" s="10" t="n">
        <v>80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f aca="false">I174+J174</f>
        <v>0</v>
      </c>
      <c r="AR174" s="11" t="str">
        <f aca="false">IF(AQ174&gt;0,I174/AQ174,"")</f>
        <v/>
      </c>
      <c r="AS174" s="11" t="str">
        <f aca="false">IF((P174+Q174)&gt;0,P174/(P174+Q174),"")</f>
        <v/>
      </c>
      <c r="AT174" s="12" t="str">
        <f aca="false">IF(AND(ISNUMBER(AR174),ISNUMBER(AS174)),(AR174-AS174)*100,"")</f>
        <v/>
      </c>
      <c r="AU174" s="12" t="n">
        <f aca="false">IF(G174&gt;0,I174/G174*1000,"")</f>
        <v>0</v>
      </c>
      <c r="AV174" s="12" t="n">
        <f aca="false">IF(G174&gt;0,H174/G174*10000,"")</f>
        <v>0</v>
      </c>
      <c r="AW174" s="12" t="n">
        <f aca="false">IF(G174&gt;0,W174/G174*10000,"")</f>
        <v>22.6500566251416</v>
      </c>
      <c r="AX174" s="12" t="str">
        <f aca="false">IF(I174&gt;0,K174/I174*100,"")</f>
        <v/>
      </c>
      <c r="AY174" s="9" t="str">
        <f aca="false">IF(AQ174&gt;=100,"ok",IF(AQ174&gt;0,"effectif faible (&lt;100)","aucune association"))</f>
        <v>aucune association</v>
      </c>
    </row>
    <row r="175" customFormat="false" ht="15" hidden="false" customHeight="false" outlineLevel="0" collapsed="false">
      <c r="A175" s="9" t="s">
        <v>461</v>
      </c>
      <c r="B175" s="9" t="s">
        <v>462</v>
      </c>
      <c r="C175" s="9" t="s">
        <v>106</v>
      </c>
      <c r="D175" s="9" t="s">
        <v>107</v>
      </c>
      <c r="E175" s="9" t="s">
        <v>108</v>
      </c>
      <c r="F175" s="9" t="s">
        <v>103</v>
      </c>
      <c r="G175" s="10" t="n">
        <v>498</v>
      </c>
      <c r="H175" s="10" t="n">
        <v>0</v>
      </c>
      <c r="I175" s="10" t="n">
        <v>0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0</v>
      </c>
      <c r="R175" s="10" t="n">
        <v>0</v>
      </c>
      <c r="S175" s="10" t="n">
        <v>0</v>
      </c>
      <c r="T175" s="10" t="n">
        <v>0</v>
      </c>
      <c r="U175" s="10" t="n">
        <v>0</v>
      </c>
      <c r="V175" s="10" t="n">
        <v>0</v>
      </c>
      <c r="W175" s="10" t="n">
        <v>2</v>
      </c>
      <c r="X175" s="10" t="n">
        <v>0</v>
      </c>
      <c r="Y175" s="10" t="n">
        <v>0</v>
      </c>
      <c r="Z175" s="10" t="n">
        <v>0</v>
      </c>
      <c r="AA175" s="10" t="n">
        <v>0</v>
      </c>
      <c r="AB175" s="10" t="n">
        <v>0</v>
      </c>
      <c r="AC175" s="10" t="n">
        <v>0</v>
      </c>
      <c r="AD175" s="10" t="n">
        <v>0</v>
      </c>
      <c r="AE175" s="10" t="n">
        <v>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0</v>
      </c>
      <c r="AQ175" s="10" t="n">
        <f aca="false">I175+J175</f>
        <v>0</v>
      </c>
      <c r="AR175" s="11" t="str">
        <f aca="false">IF(AQ175&gt;0,I175/AQ175,"")</f>
        <v/>
      </c>
      <c r="AS175" s="11" t="str">
        <f aca="false">IF((P175+Q175)&gt;0,P175/(P175+Q175),"")</f>
        <v/>
      </c>
      <c r="AT175" s="12" t="str">
        <f aca="false">IF(AND(ISNUMBER(AR175),ISNUMBER(AS175)),(AR175-AS175)*100,"")</f>
        <v/>
      </c>
      <c r="AU175" s="12" t="n">
        <f aca="false">IF(G175&gt;0,I175/G175*1000,"")</f>
        <v>0</v>
      </c>
      <c r="AV175" s="12" t="n">
        <f aca="false">IF(G175&gt;0,H175/G175*10000,"")</f>
        <v>0</v>
      </c>
      <c r="AW175" s="12" t="n">
        <f aca="false">IF(G175&gt;0,W175/G175*10000,"")</f>
        <v>40.1606425702811</v>
      </c>
      <c r="AX175" s="12" t="str">
        <f aca="false">IF(I175&gt;0,K175/I175*100,"")</f>
        <v/>
      </c>
      <c r="AY175" s="9" t="str">
        <f aca="false">IF(AQ175&gt;=100,"ok",IF(AQ175&gt;0,"effectif faible (&lt;100)","aucune association"))</f>
        <v>aucune association</v>
      </c>
    </row>
    <row r="176" customFormat="false" ht="15" hidden="false" customHeight="false" outlineLevel="0" collapsed="false">
      <c r="A176" s="9" t="s">
        <v>463</v>
      </c>
      <c r="B176" s="9" t="s">
        <v>464</v>
      </c>
      <c r="C176" s="9" t="s">
        <v>155</v>
      </c>
      <c r="D176" s="9" t="s">
        <v>101</v>
      </c>
      <c r="E176" s="9" t="s">
        <v>197</v>
      </c>
      <c r="F176" s="9" t="s">
        <v>135</v>
      </c>
      <c r="G176" s="10" t="n">
        <v>858</v>
      </c>
      <c r="H176" s="10" t="n">
        <v>1</v>
      </c>
      <c r="I176" s="10" t="n">
        <v>56</v>
      </c>
      <c r="J176" s="10" t="n">
        <v>103</v>
      </c>
      <c r="K176" s="10" t="n">
        <v>3</v>
      </c>
      <c r="L176" s="10" t="n">
        <v>0</v>
      </c>
      <c r="M176" s="10" t="n">
        <v>0</v>
      </c>
      <c r="N176" s="10" t="n">
        <v>0</v>
      </c>
      <c r="O176" s="10" t="n">
        <v>1</v>
      </c>
      <c r="P176" s="10" t="n">
        <v>45</v>
      </c>
      <c r="Q176" s="10" t="n">
        <v>95</v>
      </c>
      <c r="R176" s="10" t="n">
        <v>0</v>
      </c>
      <c r="S176" s="10" t="n">
        <v>0</v>
      </c>
      <c r="T176" s="10" t="n">
        <v>0</v>
      </c>
      <c r="U176" s="10" t="n">
        <v>1</v>
      </c>
      <c r="V176" s="10" t="n">
        <v>0</v>
      </c>
      <c r="W176" s="10" t="n">
        <v>5</v>
      </c>
      <c r="X176" s="10" t="n">
        <v>1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1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151</v>
      </c>
      <c r="AO176" s="10" t="n">
        <v>140</v>
      </c>
      <c r="AP176" s="10" t="n">
        <v>159</v>
      </c>
      <c r="AQ176" s="10" t="n">
        <f aca="false">I176+J176</f>
        <v>159</v>
      </c>
      <c r="AR176" s="11" t="n">
        <f aca="false">IF(AQ176&gt;0,I176/AQ176,"")</f>
        <v>0.352201257861635</v>
      </c>
      <c r="AS176" s="11" t="n">
        <f aca="false">IF((P176+Q176)&gt;0,P176/(P176+Q176),"")</f>
        <v>0.321428571428571</v>
      </c>
      <c r="AT176" s="12" t="n">
        <f aca="false">IF(AND(ISNUMBER(AR176),ISNUMBER(AS176)),(AR176-AS176)*100,"")</f>
        <v>3.07726864330637</v>
      </c>
      <c r="AU176" s="12" t="n">
        <f aca="false">IF(G176&gt;0,I176/G176*1000,"")</f>
        <v>65.2680652680653</v>
      </c>
      <c r="AV176" s="12" t="n">
        <f aca="false">IF(G176&gt;0,H176/G176*10000,"")</f>
        <v>11.6550116550117</v>
      </c>
      <c r="AW176" s="12" t="n">
        <f aca="false">IF(G176&gt;0,W176/G176*10000,"")</f>
        <v>58.2750582750583</v>
      </c>
      <c r="AX176" s="12" t="n">
        <f aca="false">IF(I176&gt;0,K176/I176*100,"")</f>
        <v>5.35714285714286</v>
      </c>
      <c r="AY176" s="9" t="str">
        <f aca="false">IF(AQ176&gt;=100,"ok",IF(AQ176&gt;0,"effectif faible (&lt;100)","aucune association"))</f>
        <v>ok</v>
      </c>
    </row>
    <row r="177" customFormat="false" ht="15" hidden="false" customHeight="false" outlineLevel="0" collapsed="false">
      <c r="A177" s="9" t="s">
        <v>465</v>
      </c>
      <c r="B177" s="9" t="s">
        <v>182</v>
      </c>
      <c r="C177" s="9" t="s">
        <v>182</v>
      </c>
      <c r="D177" s="9" t="s">
        <v>101</v>
      </c>
      <c r="E177" s="9" t="s">
        <v>125</v>
      </c>
      <c r="F177" s="9" t="s">
        <v>117</v>
      </c>
      <c r="G177" s="10" t="n">
        <v>30053</v>
      </c>
      <c r="H177" s="10" t="n">
        <v>9</v>
      </c>
      <c r="I177" s="10" t="n">
        <v>738</v>
      </c>
      <c r="J177" s="10" t="n">
        <v>1610</v>
      </c>
      <c r="K177" s="10" t="n">
        <v>92</v>
      </c>
      <c r="L177" s="10" t="n">
        <v>25</v>
      </c>
      <c r="M177" s="10" t="n">
        <v>3</v>
      </c>
      <c r="N177" s="10" t="n">
        <v>0</v>
      </c>
      <c r="O177" s="10" t="n">
        <v>11</v>
      </c>
      <c r="P177" s="10" t="n">
        <v>705</v>
      </c>
      <c r="Q177" s="10" t="n">
        <v>868</v>
      </c>
      <c r="R177" s="10" t="n">
        <v>3</v>
      </c>
      <c r="S177" s="10" t="n">
        <v>390</v>
      </c>
      <c r="T177" s="10" t="n">
        <v>19</v>
      </c>
      <c r="U177" s="10" t="n">
        <v>9</v>
      </c>
      <c r="V177" s="10" t="n">
        <v>3</v>
      </c>
      <c r="W177" s="10" t="n">
        <v>36</v>
      </c>
      <c r="X177" s="10" t="n">
        <v>20</v>
      </c>
      <c r="Y177" s="10" t="n">
        <v>1</v>
      </c>
      <c r="Z177" s="10" t="n">
        <v>1</v>
      </c>
      <c r="AA177" s="10" t="n">
        <v>1</v>
      </c>
      <c r="AB177" s="10" t="n">
        <v>0</v>
      </c>
      <c r="AC177" s="10" t="n">
        <v>2</v>
      </c>
      <c r="AD177" s="10" t="n">
        <v>0</v>
      </c>
      <c r="AE177" s="10" t="n">
        <v>9</v>
      </c>
      <c r="AF177" s="10" t="n">
        <v>7</v>
      </c>
      <c r="AG177" s="10" t="n">
        <v>10</v>
      </c>
      <c r="AH177" s="10" t="n">
        <v>8</v>
      </c>
      <c r="AI177" s="10" t="n">
        <v>7</v>
      </c>
      <c r="AJ177" s="10" t="n">
        <v>1071</v>
      </c>
      <c r="AK177" s="10" t="n">
        <v>1234</v>
      </c>
      <c r="AL177" s="10" t="n">
        <v>1728</v>
      </c>
      <c r="AM177" s="10" t="n">
        <v>1031</v>
      </c>
      <c r="AN177" s="10" t="n">
        <v>1234</v>
      </c>
      <c r="AO177" s="10" t="n">
        <v>1573</v>
      </c>
      <c r="AP177" s="10" t="n">
        <v>2348</v>
      </c>
      <c r="AQ177" s="10" t="n">
        <f aca="false">I177+J177</f>
        <v>2348</v>
      </c>
      <c r="AR177" s="11" t="n">
        <f aca="false">IF(AQ177&gt;0,I177/AQ177,"")</f>
        <v>0.314310051107325</v>
      </c>
      <c r="AS177" s="11" t="n">
        <f aca="false">IF((P177+Q177)&gt;0,P177/(P177+Q177),"")</f>
        <v>0.448188175460903</v>
      </c>
      <c r="AT177" s="12" t="n">
        <f aca="false">IF(AND(ISNUMBER(AR177),ISNUMBER(AS177)),(AR177-AS177)*100,"")</f>
        <v>-13.3878124353577</v>
      </c>
      <c r="AU177" s="12" t="n">
        <f aca="false">IF(G177&gt;0,I177/G177*1000,"")</f>
        <v>24.5566166439291</v>
      </c>
      <c r="AV177" s="12" t="n">
        <f aca="false">IF(G177&gt;0,H177/G177*10000,"")</f>
        <v>2.99470934682062</v>
      </c>
      <c r="AW177" s="12" t="n">
        <f aca="false">IF(G177&gt;0,W177/G177*10000,"")</f>
        <v>11.9788373872825</v>
      </c>
      <c r="AX177" s="12" t="n">
        <f aca="false">IF(I177&gt;0,K177/I177*100,"")</f>
        <v>12.4661246612466</v>
      </c>
      <c r="AY177" s="9" t="str">
        <f aca="false">IF(AQ177&gt;=100,"ok",IF(AQ177&gt;0,"effectif faible (&lt;100)","aucune association"))</f>
        <v>ok</v>
      </c>
    </row>
    <row r="178" customFormat="false" ht="15" hidden="false" customHeight="false" outlineLevel="0" collapsed="false">
      <c r="A178" s="9" t="s">
        <v>466</v>
      </c>
      <c r="B178" s="9" t="s">
        <v>467</v>
      </c>
      <c r="C178" s="9" t="s">
        <v>133</v>
      </c>
      <c r="D178" s="9" t="s">
        <v>107</v>
      </c>
      <c r="E178" s="9" t="s">
        <v>134</v>
      </c>
      <c r="F178" s="9" t="s">
        <v>103</v>
      </c>
      <c r="G178" s="10" t="n">
        <v>205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2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f aca="false">I178+J178</f>
        <v>0</v>
      </c>
      <c r="AR178" s="11" t="str">
        <f aca="false">IF(AQ178&gt;0,I178/AQ178,"")</f>
        <v/>
      </c>
      <c r="AS178" s="11" t="str">
        <f aca="false">IF((P178+Q178)&gt;0,P178/(P178+Q178),"")</f>
        <v/>
      </c>
      <c r="AT178" s="12" t="str">
        <f aca="false">IF(AND(ISNUMBER(AR178),ISNUMBER(AS178)),(AR178-AS178)*100,"")</f>
        <v/>
      </c>
      <c r="AU178" s="12" t="n">
        <f aca="false">IF(G178&gt;0,I178/G178*1000,"")</f>
        <v>0</v>
      </c>
      <c r="AV178" s="12" t="n">
        <f aca="false">IF(G178&gt;0,H178/G178*10000,"")</f>
        <v>0</v>
      </c>
      <c r="AW178" s="12" t="n">
        <f aca="false">IF(G178&gt;0,W178/G178*10000,"")</f>
        <v>97.5609756097561</v>
      </c>
      <c r="AX178" s="12" t="str">
        <f aca="false">IF(I178&gt;0,K178/I178*100,"")</f>
        <v/>
      </c>
      <c r="AY178" s="9" t="str">
        <f aca="false">IF(AQ178&gt;=100,"ok",IF(AQ178&gt;0,"effectif faible (&lt;100)","aucune association"))</f>
        <v>aucune association</v>
      </c>
    </row>
    <row r="179" customFormat="false" ht="15" hidden="false" customHeight="false" outlineLevel="0" collapsed="false">
      <c r="A179" s="9" t="s">
        <v>468</v>
      </c>
      <c r="B179" s="9" t="s">
        <v>469</v>
      </c>
      <c r="C179" s="9" t="s">
        <v>216</v>
      </c>
      <c r="D179" s="9" t="s">
        <v>101</v>
      </c>
      <c r="E179" s="9" t="s">
        <v>125</v>
      </c>
      <c r="F179" s="9" t="s">
        <v>143</v>
      </c>
      <c r="G179" s="10" t="n">
        <v>3124</v>
      </c>
      <c r="H179" s="10" t="n">
        <v>1</v>
      </c>
      <c r="I179" s="10" t="n">
        <v>110</v>
      </c>
      <c r="J179" s="10" t="n">
        <v>50</v>
      </c>
      <c r="K179" s="10" t="n">
        <v>8</v>
      </c>
      <c r="L179" s="10" t="n">
        <v>2</v>
      </c>
      <c r="M179" s="10" t="n">
        <v>0</v>
      </c>
      <c r="N179" s="10" t="n">
        <v>1</v>
      </c>
      <c r="O179" s="10" t="n">
        <v>2</v>
      </c>
      <c r="P179" s="10" t="n">
        <v>86</v>
      </c>
      <c r="Q179" s="10" t="n">
        <v>235</v>
      </c>
      <c r="R179" s="10" t="n">
        <v>0</v>
      </c>
      <c r="S179" s="10" t="n">
        <v>0</v>
      </c>
      <c r="T179" s="10" t="n">
        <v>0</v>
      </c>
      <c r="U179" s="10" t="n">
        <v>1</v>
      </c>
      <c r="V179" s="10" t="n">
        <v>0</v>
      </c>
      <c r="W179" s="10" t="n">
        <v>6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  <c r="AD179" s="10" t="n">
        <v>0</v>
      </c>
      <c r="AE179" s="10" t="n">
        <v>1</v>
      </c>
      <c r="AF179" s="10" t="n">
        <v>1</v>
      </c>
      <c r="AG179" s="10" t="n">
        <v>1</v>
      </c>
      <c r="AH179" s="10" t="n">
        <v>1</v>
      </c>
      <c r="AI179" s="10" t="n">
        <v>1</v>
      </c>
      <c r="AJ179" s="10" t="n">
        <v>77</v>
      </c>
      <c r="AK179" s="10" t="n">
        <v>138</v>
      </c>
      <c r="AL179" s="10" t="n">
        <v>51</v>
      </c>
      <c r="AM179" s="10" t="n">
        <v>48</v>
      </c>
      <c r="AN179" s="10" t="n">
        <v>60</v>
      </c>
      <c r="AO179" s="10" t="n">
        <v>321</v>
      </c>
      <c r="AP179" s="10" t="n">
        <v>160</v>
      </c>
      <c r="AQ179" s="10" t="n">
        <f aca="false">I179+J179</f>
        <v>160</v>
      </c>
      <c r="AR179" s="11" t="n">
        <f aca="false">IF(AQ179&gt;0,I179/AQ179,"")</f>
        <v>0.6875</v>
      </c>
      <c r="AS179" s="11" t="n">
        <f aca="false">IF((P179+Q179)&gt;0,P179/(P179+Q179),"")</f>
        <v>0.26791277258567</v>
      </c>
      <c r="AT179" s="12" t="n">
        <f aca="false">IF(AND(ISNUMBER(AR179),ISNUMBER(AS179)),(AR179-AS179)*100,"")</f>
        <v>41.958722741433</v>
      </c>
      <c r="AU179" s="12" t="n">
        <f aca="false">IF(G179&gt;0,I179/G179*1000,"")</f>
        <v>35.2112676056338</v>
      </c>
      <c r="AV179" s="12" t="n">
        <f aca="false">IF(G179&gt;0,H179/G179*10000,"")</f>
        <v>3.20102432778489</v>
      </c>
      <c r="AW179" s="12" t="n">
        <f aca="false">IF(G179&gt;0,W179/G179*10000,"")</f>
        <v>19.2061459667093</v>
      </c>
      <c r="AX179" s="12" t="n">
        <f aca="false">IF(I179&gt;0,K179/I179*100,"")</f>
        <v>7.27272727272727</v>
      </c>
      <c r="AY179" s="9" t="str">
        <f aca="false">IF(AQ179&gt;=100,"ok",IF(AQ179&gt;0,"effectif faible (&lt;100)","aucune association"))</f>
        <v>ok</v>
      </c>
    </row>
    <row r="180" customFormat="false" ht="15" hidden="false" customHeight="false" outlineLevel="0" collapsed="false">
      <c r="A180" s="9" t="s">
        <v>470</v>
      </c>
      <c r="B180" s="9" t="s">
        <v>471</v>
      </c>
      <c r="C180" s="9" t="s">
        <v>106</v>
      </c>
      <c r="D180" s="9" t="s">
        <v>101</v>
      </c>
      <c r="E180" s="9" t="s">
        <v>108</v>
      </c>
      <c r="F180" s="9" t="s">
        <v>143</v>
      </c>
      <c r="G180" s="10" t="n">
        <v>849</v>
      </c>
      <c r="H180" s="10" t="n">
        <v>1</v>
      </c>
      <c r="I180" s="10" t="n">
        <v>13</v>
      </c>
      <c r="J180" s="10" t="n">
        <v>48</v>
      </c>
      <c r="K180" s="10" t="n">
        <v>5</v>
      </c>
      <c r="L180" s="10" t="n">
        <v>1</v>
      </c>
      <c r="M180" s="10" t="n">
        <v>0</v>
      </c>
      <c r="N180" s="10" t="n">
        <v>0</v>
      </c>
      <c r="O180" s="10" t="n">
        <v>2</v>
      </c>
      <c r="P180" s="10" t="n">
        <v>26</v>
      </c>
      <c r="Q180" s="10" t="n">
        <v>57</v>
      </c>
      <c r="R180" s="10" t="n">
        <v>0</v>
      </c>
      <c r="S180" s="10" t="n">
        <v>0</v>
      </c>
      <c r="T180" s="10" t="n">
        <v>0</v>
      </c>
      <c r="U180" s="10" t="n">
        <v>1</v>
      </c>
      <c r="V180" s="10" t="n">
        <v>0</v>
      </c>
      <c r="W180" s="10" t="n">
        <v>3</v>
      </c>
      <c r="X180" s="10" t="n">
        <v>1</v>
      </c>
      <c r="Y180" s="10" t="n">
        <v>0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2</v>
      </c>
      <c r="AF180" s="10" t="n">
        <v>2</v>
      </c>
      <c r="AG180" s="10" t="n">
        <v>2</v>
      </c>
      <c r="AH180" s="10" t="n">
        <v>2</v>
      </c>
      <c r="AI180" s="10" t="n">
        <v>2</v>
      </c>
      <c r="AJ180" s="10" t="n">
        <v>48</v>
      </c>
      <c r="AK180" s="10" t="n">
        <v>41</v>
      </c>
      <c r="AL180" s="10" t="n">
        <v>41</v>
      </c>
      <c r="AM180" s="10" t="n">
        <v>46</v>
      </c>
      <c r="AN180" s="10" t="n">
        <v>53</v>
      </c>
      <c r="AO180" s="10" t="n">
        <v>83</v>
      </c>
      <c r="AP180" s="10" t="n">
        <v>61</v>
      </c>
      <c r="AQ180" s="10" t="n">
        <f aca="false">I180+J180</f>
        <v>61</v>
      </c>
      <c r="AR180" s="11" t="n">
        <f aca="false">IF(AQ180&gt;0,I180/AQ180,"")</f>
        <v>0.213114754098361</v>
      </c>
      <c r="AS180" s="11" t="n">
        <f aca="false">IF((P180+Q180)&gt;0,P180/(P180+Q180),"")</f>
        <v>0.313253012048193</v>
      </c>
      <c r="AT180" s="12" t="n">
        <f aca="false">IF(AND(ISNUMBER(AR180),ISNUMBER(AS180)),(AR180-AS180)*100,"")</f>
        <v>-10.0138257949832</v>
      </c>
      <c r="AU180" s="12" t="n">
        <f aca="false">IF(G180&gt;0,I180/G180*1000,"")</f>
        <v>15.3121319199058</v>
      </c>
      <c r="AV180" s="12" t="n">
        <f aca="false">IF(G180&gt;0,H180/G180*10000,"")</f>
        <v>11.7785630153121</v>
      </c>
      <c r="AW180" s="12" t="n">
        <f aca="false">IF(G180&gt;0,W180/G180*10000,"")</f>
        <v>35.3356890459364</v>
      </c>
      <c r="AX180" s="12" t="n">
        <f aca="false">IF(I180&gt;0,K180/I180*100,"")</f>
        <v>38.4615384615385</v>
      </c>
      <c r="AY180" s="9" t="str">
        <f aca="false">IF(AQ180&gt;=100,"ok",IF(AQ180&gt;0,"effectif faible (&lt;100)","aucune association"))</f>
        <v>effectif faible (&lt;100)</v>
      </c>
    </row>
    <row r="181" customFormat="false" ht="15" hidden="false" customHeight="false" outlineLevel="0" collapsed="false">
      <c r="A181" s="9" t="s">
        <v>472</v>
      </c>
      <c r="B181" s="9" t="s">
        <v>473</v>
      </c>
      <c r="C181" s="9" t="s">
        <v>106</v>
      </c>
      <c r="D181" s="9" t="s">
        <v>107</v>
      </c>
      <c r="E181" s="9" t="s">
        <v>108</v>
      </c>
      <c r="F181" s="9" t="s">
        <v>103</v>
      </c>
      <c r="G181" s="10" t="n">
        <v>326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1</v>
      </c>
      <c r="P181" s="10" t="n">
        <v>81</v>
      </c>
      <c r="Q181" s="10" t="n">
        <v>66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2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1</v>
      </c>
      <c r="AF181" s="10" t="n">
        <v>1</v>
      </c>
      <c r="AG181" s="10" t="n">
        <v>1</v>
      </c>
      <c r="AH181" s="10" t="n">
        <v>1</v>
      </c>
      <c r="AI181" s="10" t="n">
        <v>1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0" t="n">
        <v>0</v>
      </c>
      <c r="AO181" s="10" t="n">
        <v>147</v>
      </c>
      <c r="AP181" s="10" t="n">
        <v>0</v>
      </c>
      <c r="AQ181" s="10" t="n">
        <f aca="false">I181+J181</f>
        <v>0</v>
      </c>
      <c r="AR181" s="11" t="str">
        <f aca="false">IF(AQ181&gt;0,I181/AQ181,"")</f>
        <v/>
      </c>
      <c r="AS181" s="11" t="n">
        <f aca="false">IF((P181+Q181)&gt;0,P181/(P181+Q181),"")</f>
        <v>0.551020408163265</v>
      </c>
      <c r="AT181" s="12" t="str">
        <f aca="false">IF(AND(ISNUMBER(AR181),ISNUMBER(AS181)),(AR181-AS181)*100,"")</f>
        <v/>
      </c>
      <c r="AU181" s="12" t="n">
        <f aca="false">IF(G181&gt;0,I181/G181*1000,"")</f>
        <v>0</v>
      </c>
      <c r="AV181" s="12" t="n">
        <f aca="false">IF(G181&gt;0,H181/G181*10000,"")</f>
        <v>0</v>
      </c>
      <c r="AW181" s="12" t="n">
        <f aca="false">IF(G181&gt;0,W181/G181*10000,"")</f>
        <v>61.3496932515337</v>
      </c>
      <c r="AX181" s="12" t="str">
        <f aca="false">IF(I181&gt;0,K181/I181*100,"")</f>
        <v/>
      </c>
      <c r="AY181" s="9" t="str">
        <f aca="false">IF(AQ181&gt;=100,"ok",IF(AQ181&gt;0,"effectif faible (&lt;100)","aucune association"))</f>
        <v>aucune association</v>
      </c>
    </row>
    <row r="182" customFormat="false" ht="15" hidden="false" customHeight="false" outlineLevel="0" collapsed="false">
      <c r="A182" s="9" t="s">
        <v>474</v>
      </c>
      <c r="B182" s="9" t="s">
        <v>475</v>
      </c>
      <c r="C182" s="9" t="s">
        <v>133</v>
      </c>
      <c r="D182" s="9" t="s">
        <v>101</v>
      </c>
      <c r="E182" s="9" t="s">
        <v>125</v>
      </c>
      <c r="F182" s="9" t="s">
        <v>117</v>
      </c>
      <c r="G182" s="10" t="n">
        <v>7202</v>
      </c>
      <c r="H182" s="10" t="n">
        <v>4</v>
      </c>
      <c r="I182" s="10" t="n">
        <v>168</v>
      </c>
      <c r="J182" s="10" t="n">
        <v>924</v>
      </c>
      <c r="K182" s="10" t="n">
        <v>239</v>
      </c>
      <c r="L182" s="10" t="n">
        <v>22</v>
      </c>
      <c r="M182" s="10" t="n">
        <v>2</v>
      </c>
      <c r="N182" s="10" t="n">
        <v>1</v>
      </c>
      <c r="O182" s="10" t="n">
        <v>4</v>
      </c>
      <c r="P182" s="10" t="n">
        <v>1149</v>
      </c>
      <c r="Q182" s="10" t="n">
        <v>1139</v>
      </c>
      <c r="R182" s="10" t="n">
        <v>1</v>
      </c>
      <c r="S182" s="10" t="n">
        <v>150</v>
      </c>
      <c r="T182" s="10" t="n">
        <v>4</v>
      </c>
      <c r="U182" s="10" t="n">
        <v>4</v>
      </c>
      <c r="V182" s="10" t="n">
        <v>1</v>
      </c>
      <c r="W182" s="10" t="n">
        <v>18</v>
      </c>
      <c r="X182" s="10" t="n">
        <v>4</v>
      </c>
      <c r="Y182" s="10" t="n">
        <v>0</v>
      </c>
      <c r="Z182" s="10" t="n">
        <v>0</v>
      </c>
      <c r="AA182" s="10" t="n">
        <v>1</v>
      </c>
      <c r="AB182" s="10" t="n">
        <v>0</v>
      </c>
      <c r="AC182" s="10" t="n">
        <v>1</v>
      </c>
      <c r="AD182" s="10" t="n">
        <v>0</v>
      </c>
      <c r="AE182" s="10" t="n">
        <v>5</v>
      </c>
      <c r="AF182" s="10" t="n">
        <v>5</v>
      </c>
      <c r="AG182" s="10" t="n">
        <v>5</v>
      </c>
      <c r="AH182" s="10" t="n">
        <v>4</v>
      </c>
      <c r="AI182" s="10" t="n">
        <v>4</v>
      </c>
      <c r="AJ182" s="10" t="n">
        <v>1763</v>
      </c>
      <c r="AK182" s="10" t="n">
        <v>1010</v>
      </c>
      <c r="AL182" s="10" t="n">
        <v>937</v>
      </c>
      <c r="AM182" s="10" t="n">
        <v>944</v>
      </c>
      <c r="AN182" s="10" t="n">
        <v>1013</v>
      </c>
      <c r="AO182" s="10" t="n">
        <v>2288</v>
      </c>
      <c r="AP182" s="10" t="n">
        <v>1092</v>
      </c>
      <c r="AQ182" s="10" t="n">
        <f aca="false">I182+J182</f>
        <v>1092</v>
      </c>
      <c r="AR182" s="11" t="n">
        <f aca="false">IF(AQ182&gt;0,I182/AQ182,"")</f>
        <v>0.153846153846154</v>
      </c>
      <c r="AS182" s="11" t="n">
        <f aca="false">IF((P182+Q182)&gt;0,P182/(P182+Q182),"")</f>
        <v>0.502185314685315</v>
      </c>
      <c r="AT182" s="12" t="n">
        <f aca="false">IF(AND(ISNUMBER(AR182),ISNUMBER(AS182)),(AR182-AS182)*100,"")</f>
        <v>-34.8339160839161</v>
      </c>
      <c r="AU182" s="12" t="n">
        <f aca="false">IF(G182&gt;0,I182/G182*1000,"")</f>
        <v>23.3268536517634</v>
      </c>
      <c r="AV182" s="12" t="n">
        <f aca="false">IF(G182&gt;0,H182/G182*10000,"")</f>
        <v>5.55401277422938</v>
      </c>
      <c r="AW182" s="12" t="n">
        <f aca="false">IF(G182&gt;0,W182/G182*10000,"")</f>
        <v>24.9930574840322</v>
      </c>
      <c r="AX182" s="12" t="n">
        <f aca="false">IF(I182&gt;0,K182/I182*100,"")</f>
        <v>142.261904761905</v>
      </c>
      <c r="AY182" s="9" t="str">
        <f aca="false">IF(AQ182&gt;=100,"ok",IF(AQ182&gt;0,"effectif faible (&lt;100)","aucune association"))</f>
        <v>ok</v>
      </c>
    </row>
    <row r="183" customFormat="false" ht="15" hidden="false" customHeight="false" outlineLevel="0" collapsed="false">
      <c r="A183" s="9" t="s">
        <v>476</v>
      </c>
      <c r="B183" s="9" t="s">
        <v>477</v>
      </c>
      <c r="C183" s="9" t="s">
        <v>100</v>
      </c>
      <c r="D183" s="9" t="s">
        <v>107</v>
      </c>
      <c r="E183" s="9" t="s">
        <v>128</v>
      </c>
      <c r="F183" s="9" t="s">
        <v>143</v>
      </c>
      <c r="G183" s="10" t="n">
        <v>603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3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0</v>
      </c>
      <c r="AG183" s="10" t="n">
        <v>0</v>
      </c>
      <c r="AH183" s="10" t="n">
        <v>0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f aca="false">I183+J183</f>
        <v>0</v>
      </c>
      <c r="AR183" s="11" t="str">
        <f aca="false">IF(AQ183&gt;0,I183/AQ183,"")</f>
        <v/>
      </c>
      <c r="AS183" s="11" t="str">
        <f aca="false">IF((P183+Q183)&gt;0,P183/(P183+Q183),"")</f>
        <v/>
      </c>
      <c r="AT183" s="12" t="str">
        <f aca="false">IF(AND(ISNUMBER(AR183),ISNUMBER(AS183)),(AR183-AS183)*100,"")</f>
        <v/>
      </c>
      <c r="AU183" s="12" t="n">
        <f aca="false">IF(G183&gt;0,I183/G183*1000,"")</f>
        <v>0</v>
      </c>
      <c r="AV183" s="12" t="n">
        <f aca="false">IF(G183&gt;0,H183/G183*10000,"")</f>
        <v>0</v>
      </c>
      <c r="AW183" s="12" t="n">
        <f aca="false">IF(G183&gt;0,W183/G183*10000,"")</f>
        <v>49.7512437810945</v>
      </c>
      <c r="AX183" s="12" t="str">
        <f aca="false">IF(I183&gt;0,K183/I183*100,"")</f>
        <v/>
      </c>
      <c r="AY183" s="9" t="str">
        <f aca="false">IF(AQ183&gt;=100,"ok",IF(AQ183&gt;0,"effectif faible (&lt;100)","aucune association"))</f>
        <v>aucune association</v>
      </c>
    </row>
    <row r="184" customFormat="false" ht="15" hidden="false" customHeight="false" outlineLevel="0" collapsed="false">
      <c r="A184" s="9" t="s">
        <v>478</v>
      </c>
      <c r="B184" s="9" t="s">
        <v>479</v>
      </c>
      <c r="C184" s="9" t="s">
        <v>216</v>
      </c>
      <c r="D184" s="9" t="s">
        <v>107</v>
      </c>
      <c r="E184" s="9" t="s">
        <v>125</v>
      </c>
      <c r="F184" s="9" t="s">
        <v>103</v>
      </c>
      <c r="G184" s="10" t="n">
        <v>156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0</v>
      </c>
      <c r="W184" s="10" t="n">
        <v>1</v>
      </c>
      <c r="X184" s="10" t="n">
        <v>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10" t="n">
        <v>0</v>
      </c>
      <c r="AG184" s="10" t="n">
        <v>0</v>
      </c>
      <c r="AH184" s="10" t="n">
        <v>0</v>
      </c>
      <c r="AI184" s="10" t="n">
        <v>0</v>
      </c>
      <c r="AJ184" s="10" t="n">
        <v>0</v>
      </c>
      <c r="AK184" s="10" t="n">
        <v>0</v>
      </c>
      <c r="AL184" s="10" t="n">
        <v>0</v>
      </c>
      <c r="AM184" s="10" t="n">
        <v>0</v>
      </c>
      <c r="AN184" s="10" t="n">
        <v>0</v>
      </c>
      <c r="AO184" s="10" t="n">
        <v>0</v>
      </c>
      <c r="AP184" s="10" t="n">
        <v>0</v>
      </c>
      <c r="AQ184" s="10" t="n">
        <f aca="false">I184+J184</f>
        <v>0</v>
      </c>
      <c r="AR184" s="11" t="str">
        <f aca="false">IF(AQ184&gt;0,I184/AQ184,"")</f>
        <v/>
      </c>
      <c r="AS184" s="11" t="str">
        <f aca="false">IF((P184+Q184)&gt;0,P184/(P184+Q184),"")</f>
        <v/>
      </c>
      <c r="AT184" s="12" t="str">
        <f aca="false">IF(AND(ISNUMBER(AR184),ISNUMBER(AS184)),(AR184-AS184)*100,"")</f>
        <v/>
      </c>
      <c r="AU184" s="12" t="n">
        <f aca="false">IF(G184&gt;0,I184/G184*1000,"")</f>
        <v>0</v>
      </c>
      <c r="AV184" s="12" t="n">
        <f aca="false">IF(G184&gt;0,H184/G184*10000,"")</f>
        <v>0</v>
      </c>
      <c r="AW184" s="12" t="n">
        <f aca="false">IF(G184&gt;0,W184/G184*10000,"")</f>
        <v>64.1025641025641</v>
      </c>
      <c r="AX184" s="12" t="str">
        <f aca="false">IF(I184&gt;0,K184/I184*100,"")</f>
        <v/>
      </c>
      <c r="AY184" s="9" t="str">
        <f aca="false">IF(AQ184&gt;=100,"ok",IF(AQ184&gt;0,"effectif faible (&lt;100)","aucune association"))</f>
        <v>aucune association</v>
      </c>
    </row>
    <row r="185" customFormat="false" ht="15" hidden="false" customHeight="false" outlineLevel="0" collapsed="false">
      <c r="A185" s="9" t="s">
        <v>480</v>
      </c>
      <c r="B185" s="9" t="s">
        <v>481</v>
      </c>
      <c r="C185" s="9" t="s">
        <v>133</v>
      </c>
      <c r="D185" s="9" t="s">
        <v>107</v>
      </c>
      <c r="E185" s="9" t="s">
        <v>134</v>
      </c>
      <c r="F185" s="9" t="s">
        <v>482</v>
      </c>
      <c r="G185" s="10" t="n">
        <v>57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  <c r="S185" s="10" t="n">
        <v>0</v>
      </c>
      <c r="T185" s="10" t="n">
        <v>0</v>
      </c>
      <c r="U185" s="10" t="n">
        <v>0</v>
      </c>
      <c r="V185" s="10" t="n">
        <v>0</v>
      </c>
      <c r="W185" s="10" t="n">
        <v>2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0</v>
      </c>
      <c r="AG185" s="10" t="n">
        <v>0</v>
      </c>
      <c r="AH185" s="10" t="n">
        <v>0</v>
      </c>
      <c r="AI185" s="10" t="n">
        <v>0</v>
      </c>
      <c r="AJ185" s="10" t="n">
        <v>0</v>
      </c>
      <c r="AK185" s="10" t="n">
        <v>0</v>
      </c>
      <c r="AL185" s="10" t="n">
        <v>0</v>
      </c>
      <c r="AM185" s="10" t="n">
        <v>0</v>
      </c>
      <c r="AN185" s="10" t="n">
        <v>0</v>
      </c>
      <c r="AO185" s="10" t="n">
        <v>0</v>
      </c>
      <c r="AP185" s="10" t="n">
        <v>0</v>
      </c>
      <c r="AQ185" s="10" t="n">
        <f aca="false">I185+J185</f>
        <v>0</v>
      </c>
      <c r="AR185" s="11" t="str">
        <f aca="false">IF(AQ185&gt;0,I185/AQ185,"")</f>
        <v/>
      </c>
      <c r="AS185" s="11" t="str">
        <f aca="false">IF((P185+Q185)&gt;0,P185/(P185+Q185),"")</f>
        <v/>
      </c>
      <c r="AT185" s="12" t="str">
        <f aca="false">IF(AND(ISNUMBER(AR185),ISNUMBER(AS185)),(AR185-AS185)*100,"")</f>
        <v/>
      </c>
      <c r="AU185" s="12" t="n">
        <f aca="false">IF(G185&gt;0,I185/G185*1000,"")</f>
        <v>0</v>
      </c>
      <c r="AV185" s="12" t="n">
        <f aca="false">IF(G185&gt;0,H185/G185*10000,"")</f>
        <v>0</v>
      </c>
      <c r="AW185" s="12" t="n">
        <f aca="false">IF(G185&gt;0,W185/G185*10000,"")</f>
        <v>350.877192982456</v>
      </c>
      <c r="AX185" s="12" t="str">
        <f aca="false">IF(I185&gt;0,K185/I185*100,"")</f>
        <v/>
      </c>
      <c r="AY185" s="9" t="str">
        <f aca="false">IF(AQ185&gt;=100,"ok",IF(AQ185&gt;0,"effectif faible (&lt;100)","aucune association"))</f>
        <v>aucune association</v>
      </c>
    </row>
    <row r="186" customFormat="false" ht="15" hidden="false" customHeight="false" outlineLevel="0" collapsed="false">
      <c r="A186" s="9" t="s">
        <v>483</v>
      </c>
      <c r="B186" s="9" t="s">
        <v>484</v>
      </c>
      <c r="C186" s="9" t="s">
        <v>200</v>
      </c>
      <c r="D186" s="9" t="s">
        <v>101</v>
      </c>
      <c r="E186" s="9" t="s">
        <v>173</v>
      </c>
      <c r="F186" s="9" t="s">
        <v>117</v>
      </c>
      <c r="G186" s="10" t="n">
        <v>18436</v>
      </c>
      <c r="H186" s="10" t="n">
        <v>12</v>
      </c>
      <c r="I186" s="10" t="n">
        <v>1527</v>
      </c>
      <c r="J186" s="10" t="n">
        <v>1686</v>
      </c>
      <c r="K186" s="10" t="n">
        <v>156</v>
      </c>
      <c r="L186" s="10" t="n">
        <v>29</v>
      </c>
      <c r="M186" s="10" t="n">
        <v>2</v>
      </c>
      <c r="N186" s="10" t="n">
        <v>3</v>
      </c>
      <c r="O186" s="10" t="n">
        <v>14</v>
      </c>
      <c r="P186" s="10" t="n">
        <v>1641</v>
      </c>
      <c r="Q186" s="10" t="n">
        <v>1869</v>
      </c>
      <c r="R186" s="10" t="n">
        <v>2</v>
      </c>
      <c r="S186" s="10" t="n">
        <v>216</v>
      </c>
      <c r="T186" s="10" t="n">
        <v>10</v>
      </c>
      <c r="U186" s="10" t="n">
        <v>14</v>
      </c>
      <c r="V186" s="10" t="n">
        <v>2</v>
      </c>
      <c r="W186" s="10" t="n">
        <v>25</v>
      </c>
      <c r="X186" s="10" t="n">
        <v>8</v>
      </c>
      <c r="Y186" s="10" t="n">
        <v>1</v>
      </c>
      <c r="Z186" s="10" t="n">
        <v>0</v>
      </c>
      <c r="AA186" s="10" t="n">
        <v>0</v>
      </c>
      <c r="AB186" s="10" t="n">
        <v>0</v>
      </c>
      <c r="AC186" s="10" t="n">
        <v>1</v>
      </c>
      <c r="AD186" s="10" t="n">
        <v>0</v>
      </c>
      <c r="AE186" s="10" t="n">
        <v>9</v>
      </c>
      <c r="AF186" s="10" t="n">
        <v>13</v>
      </c>
      <c r="AG186" s="10" t="n">
        <v>12</v>
      </c>
      <c r="AH186" s="10" t="n">
        <v>13</v>
      </c>
      <c r="AI186" s="10" t="n">
        <v>13</v>
      </c>
      <c r="AJ186" s="10" t="n">
        <v>2053</v>
      </c>
      <c r="AK186" s="10" t="n">
        <v>2642</v>
      </c>
      <c r="AL186" s="10" t="n">
        <v>2226</v>
      </c>
      <c r="AM186" s="10" t="n">
        <v>2295</v>
      </c>
      <c r="AN186" s="10" t="n">
        <v>3152</v>
      </c>
      <c r="AO186" s="10" t="n">
        <v>3510</v>
      </c>
      <c r="AP186" s="10" t="n">
        <v>3213</v>
      </c>
      <c r="AQ186" s="10" t="n">
        <f aca="false">I186+J186</f>
        <v>3213</v>
      </c>
      <c r="AR186" s="11" t="n">
        <f aca="false">IF(AQ186&gt;0,I186/AQ186,"")</f>
        <v>0.475256769374416</v>
      </c>
      <c r="AS186" s="11" t="n">
        <f aca="false">IF((P186+Q186)&gt;0,P186/(P186+Q186),"")</f>
        <v>0.467521367521368</v>
      </c>
      <c r="AT186" s="12" t="n">
        <f aca="false">IF(AND(ISNUMBER(AR186),ISNUMBER(AS186)),(AR186-AS186)*100,"")</f>
        <v>0.773540185304888</v>
      </c>
      <c r="AU186" s="12" t="n">
        <f aca="false">IF(G186&gt;0,I186/G186*1000,"")</f>
        <v>82.8270774571491</v>
      </c>
      <c r="AV186" s="12" t="n">
        <f aca="false">IF(G186&gt;0,H186/G186*10000,"")</f>
        <v>6.50900412236928</v>
      </c>
      <c r="AW186" s="12" t="n">
        <f aca="false">IF(G186&gt;0,W186/G186*10000,"")</f>
        <v>13.560425254936</v>
      </c>
      <c r="AX186" s="12" t="n">
        <f aca="false">IF(I186&gt;0,K186/I186*100,"")</f>
        <v>10.2161100196464</v>
      </c>
      <c r="AY186" s="9" t="str">
        <f aca="false">IF(AQ186&gt;=100,"ok",IF(AQ186&gt;0,"effectif faible (&lt;100)","aucune association"))</f>
        <v>ok</v>
      </c>
    </row>
    <row r="187" customFormat="false" ht="15" hidden="false" customHeight="false" outlineLevel="0" collapsed="false">
      <c r="A187" s="9" t="s">
        <v>485</v>
      </c>
      <c r="B187" s="9" t="s">
        <v>486</v>
      </c>
      <c r="C187" s="9" t="s">
        <v>133</v>
      </c>
      <c r="D187" s="9" t="s">
        <v>101</v>
      </c>
      <c r="E187" s="9" t="s">
        <v>116</v>
      </c>
      <c r="F187" s="9" t="s">
        <v>117</v>
      </c>
      <c r="G187" s="10" t="n">
        <v>9858</v>
      </c>
      <c r="H187" s="10" t="n">
        <v>2</v>
      </c>
      <c r="I187" s="10" t="n">
        <v>1099</v>
      </c>
      <c r="J187" s="10" t="n">
        <v>1826</v>
      </c>
      <c r="K187" s="10" t="n">
        <v>295</v>
      </c>
      <c r="L187" s="10" t="n">
        <v>25</v>
      </c>
      <c r="M187" s="10" t="n">
        <v>0</v>
      </c>
      <c r="N187" s="10" t="n">
        <v>0</v>
      </c>
      <c r="O187" s="10" t="n">
        <v>2</v>
      </c>
      <c r="P187" s="10" t="n">
        <v>992</v>
      </c>
      <c r="Q187" s="10" t="n">
        <v>1610</v>
      </c>
      <c r="R187" s="10" t="n">
        <v>0</v>
      </c>
      <c r="S187" s="10" t="n">
        <v>0</v>
      </c>
      <c r="T187" s="10" t="n">
        <v>0</v>
      </c>
      <c r="U187" s="10" t="n">
        <v>2</v>
      </c>
      <c r="V187" s="10" t="n">
        <v>0</v>
      </c>
      <c r="W187" s="10" t="n">
        <v>7</v>
      </c>
      <c r="X187" s="10" t="n">
        <v>1</v>
      </c>
      <c r="Y187" s="10" t="n">
        <v>1</v>
      </c>
      <c r="Z187" s="10" t="n">
        <v>0</v>
      </c>
      <c r="AA187" s="10" t="n">
        <v>0</v>
      </c>
      <c r="AB187" s="10" t="n">
        <v>1</v>
      </c>
      <c r="AC187" s="10" t="n">
        <v>0</v>
      </c>
      <c r="AD187" s="10" t="n">
        <v>0</v>
      </c>
      <c r="AE187" s="10" t="n">
        <v>3</v>
      </c>
      <c r="AF187" s="10" t="n">
        <v>3</v>
      </c>
      <c r="AG187" s="10" t="n">
        <v>3</v>
      </c>
      <c r="AH187" s="10" t="n">
        <v>3</v>
      </c>
      <c r="AI187" s="10" t="n">
        <v>3</v>
      </c>
      <c r="AJ187" s="10" t="n">
        <v>2096</v>
      </c>
      <c r="AK187" s="10" t="n">
        <v>2012</v>
      </c>
      <c r="AL187" s="10" t="n">
        <v>1970</v>
      </c>
      <c r="AM187" s="10" t="n">
        <v>1966</v>
      </c>
      <c r="AN187" s="10" t="n">
        <v>1893</v>
      </c>
      <c r="AO187" s="10" t="n">
        <v>2602</v>
      </c>
      <c r="AP187" s="10" t="n">
        <v>2925</v>
      </c>
      <c r="AQ187" s="10" t="n">
        <f aca="false">I187+J187</f>
        <v>2925</v>
      </c>
      <c r="AR187" s="11" t="n">
        <f aca="false">IF(AQ187&gt;0,I187/AQ187,"")</f>
        <v>0.375726495726496</v>
      </c>
      <c r="AS187" s="11" t="n">
        <f aca="false">IF((P187+Q187)&gt;0,P187/(P187+Q187),"")</f>
        <v>0.381245196003075</v>
      </c>
      <c r="AT187" s="12" t="n">
        <f aca="false">IF(AND(ISNUMBER(AR187),ISNUMBER(AS187)),(AR187-AS187)*100,"")</f>
        <v>-0.55187002765788</v>
      </c>
      <c r="AU187" s="12" t="n">
        <f aca="false">IF(G187&gt;0,I187/G187*1000,"")</f>
        <v>111.483059444106</v>
      </c>
      <c r="AV187" s="12" t="n">
        <f aca="false">IF(G187&gt;0,H187/G187*10000,"")</f>
        <v>2.02880908906472</v>
      </c>
      <c r="AW187" s="12" t="n">
        <f aca="false">IF(G187&gt;0,W187/G187*10000,"")</f>
        <v>7.10083181172652</v>
      </c>
      <c r="AX187" s="12" t="n">
        <f aca="false">IF(I187&gt;0,K187/I187*100,"")</f>
        <v>26.8425841674249</v>
      </c>
      <c r="AY187" s="9" t="str">
        <f aca="false">IF(AQ187&gt;=100,"ok",IF(AQ187&gt;0,"effectif faible (&lt;100)","aucune association"))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8" min="4" style="0" width="11"/>
  </cols>
  <sheetData>
    <row r="1" customFormat="false" ht="17.35" hidden="false" customHeight="false" outlineLevel="0" collapsed="false">
      <c r="A1" s="1" t="s">
        <v>487</v>
      </c>
    </row>
    <row r="2" customFormat="false" ht="15" hidden="false" customHeight="false" outlineLevel="0" collapsed="false">
      <c r="A2" s="2" t="s">
        <v>488</v>
      </c>
    </row>
    <row r="4" customFormat="false" ht="42" hidden="false" customHeight="true" outlineLevel="0" collapsed="false">
      <c r="A4" s="8" t="s">
        <v>52</v>
      </c>
      <c r="B4" s="8" t="s">
        <v>489</v>
      </c>
      <c r="C4" s="8" t="s">
        <v>490</v>
      </c>
      <c r="D4" s="8" t="s">
        <v>34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  <c r="J4" s="8" t="s">
        <v>60</v>
      </c>
      <c r="K4" s="8" t="s">
        <v>61</v>
      </c>
      <c r="L4" s="8" t="s">
        <v>62</v>
      </c>
      <c r="M4" s="8" t="s">
        <v>63</v>
      </c>
      <c r="N4" s="8" t="s">
        <v>64</v>
      </c>
      <c r="O4" s="8" t="s">
        <v>65</v>
      </c>
      <c r="P4" s="8" t="s">
        <v>66</v>
      </c>
      <c r="Q4" s="8" t="s">
        <v>67</v>
      </c>
      <c r="R4" s="8" t="s">
        <v>68</v>
      </c>
      <c r="S4" s="8" t="s">
        <v>69</v>
      </c>
      <c r="T4" s="8" t="s">
        <v>70</v>
      </c>
      <c r="U4" s="8" t="s">
        <v>71</v>
      </c>
      <c r="V4" s="8" t="s">
        <v>72</v>
      </c>
      <c r="W4" s="8" t="s">
        <v>73</v>
      </c>
      <c r="X4" s="8" t="s">
        <v>74</v>
      </c>
      <c r="Y4" s="8" t="s">
        <v>75</v>
      </c>
      <c r="Z4" s="8" t="s">
        <v>76</v>
      </c>
      <c r="AA4" s="8" t="s">
        <v>77</v>
      </c>
      <c r="AB4" s="8" t="s">
        <v>78</v>
      </c>
      <c r="AC4" s="8" t="s">
        <v>79</v>
      </c>
      <c r="AD4" s="8" t="s">
        <v>80</v>
      </c>
      <c r="AE4" s="8" t="s">
        <v>81</v>
      </c>
      <c r="AF4" s="8" t="s">
        <v>82</v>
      </c>
      <c r="AG4" s="8" t="s">
        <v>83</v>
      </c>
      <c r="AH4" s="8" t="s">
        <v>84</v>
      </c>
      <c r="AI4" s="8" t="s">
        <v>85</v>
      </c>
      <c r="AJ4" s="8" t="s">
        <v>86</v>
      </c>
      <c r="AK4" s="8" t="s">
        <v>87</v>
      </c>
      <c r="AL4" s="8" t="s">
        <v>88</v>
      </c>
      <c r="AM4" s="8" t="s">
        <v>89</v>
      </c>
      <c r="AN4" s="8" t="s">
        <v>90</v>
      </c>
      <c r="AO4" s="8" t="s">
        <v>25</v>
      </c>
      <c r="AP4" s="8" t="s">
        <v>91</v>
      </c>
      <c r="AQ4" s="8" t="s">
        <v>92</v>
      </c>
      <c r="AR4" s="8" t="s">
        <v>93</v>
      </c>
      <c r="AS4" s="8" t="s">
        <v>94</v>
      </c>
      <c r="AT4" s="8" t="s">
        <v>95</v>
      </c>
      <c r="AU4" s="8" t="s">
        <v>96</v>
      </c>
      <c r="AV4" s="8" t="s">
        <v>97</v>
      </c>
    </row>
    <row r="5" customFormat="false" ht="15" hidden="false" customHeight="false" outlineLevel="0" collapsed="false">
      <c r="A5" s="9" t="s">
        <v>120</v>
      </c>
      <c r="B5" s="9" t="n">
        <f aca="false">COUNTIF(Communes!$C$5:$C$187,A5)</f>
        <v>4</v>
      </c>
      <c r="C5" s="9" t="n">
        <f aca="false">COUNTIFS(Communes!$C$5:$C$187,A5,Communes!$H$5:$H$187,0)</f>
        <v>0</v>
      </c>
      <c r="D5" s="10" t="n">
        <f aca="false">SUMIFS(Communes!$G$5:$G$187,Communes!$C$5:$C$187,A5)</f>
        <v>190824</v>
      </c>
      <c r="E5" s="10" t="n">
        <f aca="false">SUMIFS(Communes!$H$5:$H$187,Communes!$C$5:$C$187,A5)</f>
        <v>37</v>
      </c>
      <c r="F5" s="10" t="n">
        <f aca="false">SUMIFS(Communes!$I$5:$I$187,Communes!$C$5:$C$187,A5)</f>
        <v>5781</v>
      </c>
      <c r="G5" s="10" t="n">
        <f aca="false">SUMIFS(Communes!$J$5:$J$187,Communes!$C$5:$C$187,A5)</f>
        <v>8420</v>
      </c>
      <c r="H5" s="10" t="n">
        <f aca="false">SUMIFS(Communes!$K$5:$K$187,Communes!$C$5:$C$187,A5)</f>
        <v>1158</v>
      </c>
      <c r="I5" s="10" t="n">
        <f aca="false">SUMIFS(Communes!$L$5:$L$187,Communes!$C$5:$C$187,A5)</f>
        <v>130</v>
      </c>
      <c r="J5" s="10" t="n">
        <f aca="false">SUMIFS(Communes!$M$5:$M$187,Communes!$C$5:$C$187,A5)</f>
        <v>10</v>
      </c>
      <c r="K5" s="10" t="n">
        <f aca="false">SUMIFS(Communes!$N$5:$N$187,Communes!$C$5:$C$187,A5)</f>
        <v>8</v>
      </c>
      <c r="L5" s="10" t="n">
        <f aca="false">SUMIFS(Communes!$O$5:$O$187,Communes!$C$5:$C$187,A5)</f>
        <v>33</v>
      </c>
      <c r="M5" s="10" t="n">
        <f aca="false">SUMIFS(Communes!$P$5:$P$187,Communes!$C$5:$C$187,A5)</f>
        <v>5481</v>
      </c>
      <c r="N5" s="10" t="n">
        <f aca="false">SUMIFS(Communes!$Q$5:$Q$187,Communes!$C$5:$C$187,A5)</f>
        <v>6561</v>
      </c>
      <c r="O5" s="10" t="n">
        <f aca="false">SUMIFS(Communes!$R$5:$R$187,Communes!$C$5:$C$187,A5)</f>
        <v>8</v>
      </c>
      <c r="P5" s="10" t="n">
        <f aca="false">SUMIFS(Communes!$S$5:$S$187,Communes!$C$5:$C$187,A5)</f>
        <v>1058</v>
      </c>
      <c r="Q5" s="10" t="n">
        <f aca="false">SUMIFS(Communes!$T$5:$T$187,Communes!$C$5:$C$187,A5)</f>
        <v>36</v>
      </c>
      <c r="R5" s="10" t="n">
        <f aca="false">SUMIFS(Communes!$U$5:$U$187,Communes!$C$5:$C$187,A5)</f>
        <v>37</v>
      </c>
      <c r="S5" s="10" t="n">
        <f aca="false">SUMIFS(Communes!$V$5:$V$187,Communes!$C$5:$C$187,A5)</f>
        <v>8</v>
      </c>
      <c r="T5" s="10" t="n">
        <f aca="false">SUMIFS(Communes!$W$5:$W$187,Communes!$C$5:$C$187,A5)</f>
        <v>161</v>
      </c>
      <c r="U5" s="10" t="n">
        <f aca="false">SUMIFS(Communes!$X$5:$X$187,Communes!$C$5:$C$187,A5)</f>
        <v>47</v>
      </c>
      <c r="V5" s="10" t="n">
        <f aca="false">SUMIFS(Communes!$Y$5:$Y$187,Communes!$C$5:$C$187,A5)</f>
        <v>2</v>
      </c>
      <c r="W5" s="10" t="n">
        <f aca="false">SUMIFS(Communes!$Z$5:$Z$187,Communes!$C$5:$C$187,A5)</f>
        <v>5</v>
      </c>
      <c r="X5" s="10" t="n">
        <f aca="false">SUMIFS(Communes!$AA$5:$AA$187,Communes!$C$5:$C$187,A5)</f>
        <v>5</v>
      </c>
      <c r="Y5" s="10" t="n">
        <f aca="false">SUMIFS(Communes!$AB$5:$AB$187,Communes!$C$5:$C$187,A5)</f>
        <v>4</v>
      </c>
      <c r="Z5" s="10" t="n">
        <f aca="false">SUMIFS(Communes!$AC$5:$AC$187,Communes!$C$5:$C$187,A5)</f>
        <v>7</v>
      </c>
      <c r="AA5" s="10" t="n">
        <f aca="false">SUMIFS(Communes!$AD$5:$AD$187,Communes!$C$5:$C$187,A5)</f>
        <v>0</v>
      </c>
      <c r="AB5" s="10" t="n">
        <f aca="false">SUMIFS(Communes!$AE$5:$AE$187,Communes!$C$5:$C$187,A5)</f>
        <v>35</v>
      </c>
      <c r="AC5" s="10" t="n">
        <f aca="false">SUMIFS(Communes!$AF$5:$AF$187,Communes!$C$5:$C$187,A5)</f>
        <v>40</v>
      </c>
      <c r="AD5" s="10" t="n">
        <f aca="false">SUMIFS(Communes!$AG$5:$AG$187,Communes!$C$5:$C$187,A5)</f>
        <v>38</v>
      </c>
      <c r="AE5" s="10" t="n">
        <f aca="false">SUMIFS(Communes!$AH$5:$AH$187,Communes!$C$5:$C$187,A5)</f>
        <v>36</v>
      </c>
      <c r="AF5" s="10" t="n">
        <f aca="false">SUMIFS(Communes!$AI$5:$AI$187,Communes!$C$5:$C$187,A5)</f>
        <v>34</v>
      </c>
      <c r="AG5" s="10" t="n">
        <f aca="false">SUMIFS(Communes!$AJ$5:$AJ$187,Communes!$C$5:$C$187,A5)</f>
        <v>12104</v>
      </c>
      <c r="AH5" s="10" t="n">
        <f aca="false">SUMIFS(Communes!$AK$5:$AK$187,Communes!$C$5:$C$187,A5)</f>
        <v>13474</v>
      </c>
      <c r="AI5" s="10" t="n">
        <f aca="false">SUMIFS(Communes!$AL$5:$AL$187,Communes!$C$5:$C$187,A5)</f>
        <v>12159</v>
      </c>
      <c r="AJ5" s="10" t="n">
        <f aca="false">SUMIFS(Communes!$AM$5:$AM$187,Communes!$C$5:$C$187,A5)</f>
        <v>10325</v>
      </c>
      <c r="AK5" s="10" t="n">
        <f aca="false">SUMIFS(Communes!$AN$5:$AN$187,Communes!$C$5:$C$187,A5)</f>
        <v>10715</v>
      </c>
      <c r="AL5" s="10" t="n">
        <f aca="false">SUMIFS(Communes!$AO$5:$AO$187,Communes!$C$5:$C$187,A5)</f>
        <v>12042</v>
      </c>
      <c r="AM5" s="10" t="n">
        <f aca="false">SUMIFS(Communes!$AP$5:$AP$187,Communes!$C$5:$C$187,A5)</f>
        <v>14201</v>
      </c>
      <c r="AN5" s="10" t="n">
        <f aca="false">F5+G5</f>
        <v>14201</v>
      </c>
      <c r="AO5" s="11" t="n">
        <f aca="false">IF(AN5&gt;0,F5/AN5,"")</f>
        <v>0.407084008168439</v>
      </c>
      <c r="AP5" s="11" t="n">
        <f aca="false">IF((M5+N5)&gt;0,M5/(M5+N5),"")</f>
        <v>0.455156950672646</v>
      </c>
      <c r="AQ5" s="12" t="n">
        <f aca="false">IF(AND(ISNUMBER(AO5),ISNUMBER(AP5)),(AO5-AP5)*100,"")</f>
        <v>-4.80729425042069</v>
      </c>
      <c r="AR5" s="12" t="n">
        <f aca="false">IF(D5&gt;0,F5/D5*1000,"")</f>
        <v>30.2949314551629</v>
      </c>
      <c r="AS5" s="12" t="n">
        <f aca="false">IF(D5&gt;0,E5/D5*10000,"")</f>
        <v>1.93895946002599</v>
      </c>
      <c r="AT5" s="12" t="n">
        <f aca="false">IF(D5&gt;0,T5/D5*10000,"")</f>
        <v>8.43709386659959</v>
      </c>
      <c r="AU5" s="12" t="n">
        <f aca="false">IF(F5&gt;0,H5/F5*100,"")</f>
        <v>20.0311364815776</v>
      </c>
      <c r="AV5" s="9" t="str">
        <f aca="false">IF(AN5&gt;=100,"ok",IF(AN5&gt;0,"effectif faible (&lt;100)","aucune association"))</f>
        <v>ok</v>
      </c>
    </row>
    <row r="6" customFormat="false" ht="15" hidden="false" customHeight="false" outlineLevel="0" collapsed="false">
      <c r="A6" s="9" t="s">
        <v>200</v>
      </c>
      <c r="B6" s="9" t="n">
        <f aca="false">COUNTIF(Communes!$C$5:$C$187,A6)</f>
        <v>5</v>
      </c>
      <c r="C6" s="9" t="n">
        <f aca="false">COUNTIFS(Communes!$C$5:$C$187,A6,Communes!$H$5:$H$187,0)</f>
        <v>0</v>
      </c>
      <c r="D6" s="10" t="n">
        <f aca="false">SUMIFS(Communes!$G$5:$G$187,Communes!$C$5:$C$187,A6)</f>
        <v>127208</v>
      </c>
      <c r="E6" s="10" t="n">
        <f aca="false">SUMIFS(Communes!$H$5:$H$187,Communes!$C$5:$C$187,A6)</f>
        <v>59</v>
      </c>
      <c r="F6" s="10" t="n">
        <f aca="false">SUMIFS(Communes!$I$5:$I$187,Communes!$C$5:$C$187,A6)</f>
        <v>7360</v>
      </c>
      <c r="G6" s="10" t="n">
        <f aca="false">SUMIFS(Communes!$J$5:$J$187,Communes!$C$5:$C$187,A6)</f>
        <v>9308</v>
      </c>
      <c r="H6" s="10" t="n">
        <f aca="false">SUMIFS(Communes!$K$5:$K$187,Communes!$C$5:$C$187,A6)</f>
        <v>994</v>
      </c>
      <c r="I6" s="10" t="n">
        <f aca="false">SUMIFS(Communes!$L$5:$L$187,Communes!$C$5:$C$187,A6)</f>
        <v>118</v>
      </c>
      <c r="J6" s="10" t="n">
        <f aca="false">SUMIFS(Communes!$M$5:$M$187,Communes!$C$5:$C$187,A6)</f>
        <v>13</v>
      </c>
      <c r="K6" s="10" t="n">
        <f aca="false">SUMIFS(Communes!$N$5:$N$187,Communes!$C$5:$C$187,A6)</f>
        <v>11</v>
      </c>
      <c r="L6" s="10" t="n">
        <f aca="false">SUMIFS(Communes!$O$5:$O$187,Communes!$C$5:$C$187,A6)</f>
        <v>62</v>
      </c>
      <c r="M6" s="10" t="n">
        <f aca="false">SUMIFS(Communes!$P$5:$P$187,Communes!$C$5:$C$187,A6)</f>
        <v>6792</v>
      </c>
      <c r="N6" s="10" t="n">
        <f aca="false">SUMIFS(Communes!$Q$5:$Q$187,Communes!$C$5:$C$187,A6)</f>
        <v>8855</v>
      </c>
      <c r="O6" s="10" t="n">
        <f aca="false">SUMIFS(Communes!$R$5:$R$187,Communes!$C$5:$C$187,A6)</f>
        <v>21</v>
      </c>
      <c r="P6" s="10" t="n">
        <f aca="false">SUMIFS(Communes!$S$5:$S$187,Communes!$C$5:$C$187,A6)</f>
        <v>3659</v>
      </c>
      <c r="Q6" s="10" t="n">
        <f aca="false">SUMIFS(Communes!$T$5:$T$187,Communes!$C$5:$C$187,A6)</f>
        <v>134</v>
      </c>
      <c r="R6" s="10" t="n">
        <f aca="false">SUMIFS(Communes!$U$5:$U$187,Communes!$C$5:$C$187,A6)</f>
        <v>62</v>
      </c>
      <c r="S6" s="10" t="n">
        <f aca="false">SUMIFS(Communes!$V$5:$V$187,Communes!$C$5:$C$187,A6)</f>
        <v>23</v>
      </c>
      <c r="T6" s="10" t="n">
        <f aca="false">SUMIFS(Communes!$W$5:$W$187,Communes!$C$5:$C$187,A6)</f>
        <v>144</v>
      </c>
      <c r="U6" s="10" t="n">
        <f aca="false">SUMIFS(Communes!$X$5:$X$187,Communes!$C$5:$C$187,A6)</f>
        <v>43</v>
      </c>
      <c r="V6" s="10" t="n">
        <f aca="false">SUMIFS(Communes!$Y$5:$Y$187,Communes!$C$5:$C$187,A6)</f>
        <v>4</v>
      </c>
      <c r="W6" s="10" t="n">
        <f aca="false">SUMIFS(Communes!$Z$5:$Z$187,Communes!$C$5:$C$187,A6)</f>
        <v>2</v>
      </c>
      <c r="X6" s="10" t="n">
        <f aca="false">SUMIFS(Communes!$AA$5:$AA$187,Communes!$C$5:$C$187,A6)</f>
        <v>5</v>
      </c>
      <c r="Y6" s="10" t="n">
        <f aca="false">SUMIFS(Communes!$AB$5:$AB$187,Communes!$C$5:$C$187,A6)</f>
        <v>5</v>
      </c>
      <c r="Z6" s="10" t="n">
        <f aca="false">SUMIFS(Communes!$AC$5:$AC$187,Communes!$C$5:$C$187,A6)</f>
        <v>6</v>
      </c>
      <c r="AA6" s="10" t="n">
        <f aca="false">SUMIFS(Communes!$AD$5:$AD$187,Communes!$C$5:$C$187,A6)</f>
        <v>0</v>
      </c>
      <c r="AB6" s="10" t="n">
        <f aca="false">SUMIFS(Communes!$AE$5:$AE$187,Communes!$C$5:$C$187,A6)</f>
        <v>56</v>
      </c>
      <c r="AC6" s="10" t="n">
        <f aca="false">SUMIFS(Communes!$AF$5:$AF$187,Communes!$C$5:$C$187,A6)</f>
        <v>62</v>
      </c>
      <c r="AD6" s="10" t="n">
        <f aca="false">SUMIFS(Communes!$AG$5:$AG$187,Communes!$C$5:$C$187,A6)</f>
        <v>59</v>
      </c>
      <c r="AE6" s="10" t="n">
        <f aca="false">SUMIFS(Communes!$AH$5:$AH$187,Communes!$C$5:$C$187,A6)</f>
        <v>60</v>
      </c>
      <c r="AF6" s="10" t="n">
        <f aca="false">SUMIFS(Communes!$AI$5:$AI$187,Communes!$C$5:$C$187,A6)</f>
        <v>58</v>
      </c>
      <c r="AG6" s="10" t="n">
        <f aca="false">SUMIFS(Communes!$AJ$5:$AJ$187,Communes!$C$5:$C$187,A6)</f>
        <v>10575</v>
      </c>
      <c r="AH6" s="10" t="n">
        <f aca="false">SUMIFS(Communes!$AK$5:$AK$187,Communes!$C$5:$C$187,A6)</f>
        <v>11173</v>
      </c>
      <c r="AI6" s="10" t="n">
        <f aca="false">SUMIFS(Communes!$AL$5:$AL$187,Communes!$C$5:$C$187,A6)</f>
        <v>10256</v>
      </c>
      <c r="AJ6" s="10" t="n">
        <f aca="false">SUMIFS(Communes!$AM$5:$AM$187,Communes!$C$5:$C$187,A6)</f>
        <v>10592</v>
      </c>
      <c r="AK6" s="10" t="n">
        <f aca="false">SUMIFS(Communes!$AN$5:$AN$187,Communes!$C$5:$C$187,A6)</f>
        <v>11871</v>
      </c>
      <c r="AL6" s="10" t="n">
        <f aca="false">SUMIFS(Communes!$AO$5:$AO$187,Communes!$C$5:$C$187,A6)</f>
        <v>15647</v>
      </c>
      <c r="AM6" s="10" t="n">
        <f aca="false">SUMIFS(Communes!$AP$5:$AP$187,Communes!$C$5:$C$187,A6)</f>
        <v>16668</v>
      </c>
      <c r="AN6" s="10" t="n">
        <f aca="false">F6+G6</f>
        <v>16668</v>
      </c>
      <c r="AO6" s="11" t="n">
        <f aca="false">IF(AN6&gt;0,F6/AN6,"")</f>
        <v>0.441564674826014</v>
      </c>
      <c r="AP6" s="11" t="n">
        <f aca="false">IF((M6+N6)&gt;0,M6/(M6+N6),"")</f>
        <v>0.434076819837669</v>
      </c>
      <c r="AQ6" s="12" t="n">
        <f aca="false">IF(AND(ISNUMBER(AO6),ISNUMBER(AP6)),(AO6-AP6)*100,"")</f>
        <v>0.748785498834537</v>
      </c>
      <c r="AR6" s="12" t="n">
        <f aca="false">IF(D6&gt;0,F6/D6*1000,"")</f>
        <v>57.8579963524307</v>
      </c>
      <c r="AS6" s="12" t="n">
        <f aca="false">IF(D6&gt;0,E6/D6*10000,"")</f>
        <v>4.63807307716496</v>
      </c>
      <c r="AT6" s="12" t="n">
        <f aca="false">IF(D6&gt;0,T6/D6*10000,"")</f>
        <v>11.320042764606</v>
      </c>
      <c r="AU6" s="12" t="n">
        <f aca="false">IF(F6&gt;0,H6/F6*100,"")</f>
        <v>13.5054347826087</v>
      </c>
      <c r="AV6" s="9" t="str">
        <f aca="false">IF(AN6&gt;=100,"ok",IF(AN6&gt;0,"effectif faible (&lt;100)","aucune association"))</f>
        <v>ok</v>
      </c>
    </row>
    <row r="7" customFormat="false" ht="15" hidden="false" customHeight="false" outlineLevel="0" collapsed="false">
      <c r="A7" s="9" t="s">
        <v>237</v>
      </c>
      <c r="B7" s="9" t="n">
        <f aca="false">COUNTIF(Communes!$C$5:$C$187,A7)</f>
        <v>5</v>
      </c>
      <c r="C7" s="9" t="n">
        <f aca="false">COUNTIFS(Communes!$C$5:$C$187,A7,Communes!$H$5:$H$187,0)</f>
        <v>1</v>
      </c>
      <c r="D7" s="10" t="n">
        <f aca="false">SUMIFS(Communes!$G$5:$G$187,Communes!$C$5:$C$187,A7)</f>
        <v>62488</v>
      </c>
      <c r="E7" s="10" t="n">
        <f aca="false">SUMIFS(Communes!$H$5:$H$187,Communes!$C$5:$C$187,A7)</f>
        <v>14</v>
      </c>
      <c r="F7" s="10" t="n">
        <f aca="false">SUMIFS(Communes!$I$5:$I$187,Communes!$C$5:$C$187,A7)</f>
        <v>2199</v>
      </c>
      <c r="G7" s="10" t="n">
        <f aca="false">SUMIFS(Communes!$J$5:$J$187,Communes!$C$5:$C$187,A7)</f>
        <v>3574</v>
      </c>
      <c r="H7" s="10" t="n">
        <f aca="false">SUMIFS(Communes!$K$5:$K$187,Communes!$C$5:$C$187,A7)</f>
        <v>374</v>
      </c>
      <c r="I7" s="10" t="n">
        <f aca="false">SUMIFS(Communes!$L$5:$L$187,Communes!$C$5:$C$187,A7)</f>
        <v>37</v>
      </c>
      <c r="J7" s="10" t="n">
        <f aca="false">SUMIFS(Communes!$M$5:$M$187,Communes!$C$5:$C$187,A7)</f>
        <v>5</v>
      </c>
      <c r="K7" s="10" t="n">
        <f aca="false">SUMIFS(Communes!$N$5:$N$187,Communes!$C$5:$C$187,A7)</f>
        <v>4</v>
      </c>
      <c r="L7" s="10" t="n">
        <f aca="false">SUMIFS(Communes!$O$5:$O$187,Communes!$C$5:$C$187,A7)</f>
        <v>18</v>
      </c>
      <c r="M7" s="10" t="n">
        <f aca="false">SUMIFS(Communes!$P$5:$P$187,Communes!$C$5:$C$187,A7)</f>
        <v>2675</v>
      </c>
      <c r="N7" s="10" t="n">
        <f aca="false">SUMIFS(Communes!$Q$5:$Q$187,Communes!$C$5:$C$187,A7)</f>
        <v>4042</v>
      </c>
      <c r="O7" s="10" t="n">
        <f aca="false">SUMIFS(Communes!$R$5:$R$187,Communes!$C$5:$C$187,A7)</f>
        <v>4</v>
      </c>
      <c r="P7" s="10" t="n">
        <f aca="false">SUMIFS(Communes!$S$5:$S$187,Communes!$C$5:$C$187,A7)</f>
        <v>589</v>
      </c>
      <c r="Q7" s="10" t="n">
        <f aca="false">SUMIFS(Communes!$T$5:$T$187,Communes!$C$5:$C$187,A7)</f>
        <v>15</v>
      </c>
      <c r="R7" s="10" t="n">
        <f aca="false">SUMIFS(Communes!$U$5:$U$187,Communes!$C$5:$C$187,A7)</f>
        <v>16</v>
      </c>
      <c r="S7" s="10" t="n">
        <f aca="false">SUMIFS(Communes!$V$5:$V$187,Communes!$C$5:$C$187,A7)</f>
        <v>4</v>
      </c>
      <c r="T7" s="10" t="n">
        <f aca="false">SUMIFS(Communes!$W$5:$W$187,Communes!$C$5:$C$187,A7)</f>
        <v>51</v>
      </c>
      <c r="U7" s="10" t="n">
        <f aca="false">SUMIFS(Communes!$X$5:$X$187,Communes!$C$5:$C$187,A7)</f>
        <v>13</v>
      </c>
      <c r="V7" s="10" t="n">
        <f aca="false">SUMIFS(Communes!$Y$5:$Y$187,Communes!$C$5:$C$187,A7)</f>
        <v>0</v>
      </c>
      <c r="W7" s="10" t="n">
        <f aca="false">SUMIFS(Communes!$Z$5:$Z$187,Communes!$C$5:$C$187,A7)</f>
        <v>0</v>
      </c>
      <c r="X7" s="10" t="n">
        <f aca="false">SUMIFS(Communes!$AA$5:$AA$187,Communes!$C$5:$C$187,A7)</f>
        <v>1</v>
      </c>
      <c r="Y7" s="10" t="n">
        <f aca="false">SUMIFS(Communes!$AB$5:$AB$187,Communes!$C$5:$C$187,A7)</f>
        <v>0</v>
      </c>
      <c r="Z7" s="10" t="n">
        <f aca="false">SUMIFS(Communes!$AC$5:$AC$187,Communes!$C$5:$C$187,A7)</f>
        <v>1</v>
      </c>
      <c r="AA7" s="10" t="n">
        <f aca="false">SUMIFS(Communes!$AD$5:$AD$187,Communes!$C$5:$C$187,A7)</f>
        <v>0</v>
      </c>
      <c r="AB7" s="10" t="n">
        <f aca="false">SUMIFS(Communes!$AE$5:$AE$187,Communes!$C$5:$C$187,A7)</f>
        <v>22</v>
      </c>
      <c r="AC7" s="10" t="n">
        <f aca="false">SUMIFS(Communes!$AF$5:$AF$187,Communes!$C$5:$C$187,A7)</f>
        <v>21</v>
      </c>
      <c r="AD7" s="10" t="n">
        <f aca="false">SUMIFS(Communes!$AG$5:$AG$187,Communes!$C$5:$C$187,A7)</f>
        <v>21</v>
      </c>
      <c r="AE7" s="10" t="n">
        <f aca="false">SUMIFS(Communes!$AH$5:$AH$187,Communes!$C$5:$C$187,A7)</f>
        <v>18</v>
      </c>
      <c r="AF7" s="10" t="n">
        <f aca="false">SUMIFS(Communes!$AI$5:$AI$187,Communes!$C$5:$C$187,A7)</f>
        <v>17</v>
      </c>
      <c r="AG7" s="10" t="n">
        <f aca="false">SUMIFS(Communes!$AJ$5:$AJ$187,Communes!$C$5:$C$187,A7)</f>
        <v>6928</v>
      </c>
      <c r="AH7" s="10" t="n">
        <f aca="false">SUMIFS(Communes!$AK$5:$AK$187,Communes!$C$5:$C$187,A7)</f>
        <v>6664</v>
      </c>
      <c r="AI7" s="10" t="n">
        <f aca="false">SUMIFS(Communes!$AL$5:$AL$187,Communes!$C$5:$C$187,A7)</f>
        <v>6225</v>
      </c>
      <c r="AJ7" s="10" t="n">
        <f aca="false">SUMIFS(Communes!$AM$5:$AM$187,Communes!$C$5:$C$187,A7)</f>
        <v>5732</v>
      </c>
      <c r="AK7" s="10" t="n">
        <f aca="false">SUMIFS(Communes!$AN$5:$AN$187,Communes!$C$5:$C$187,A7)</f>
        <v>5844</v>
      </c>
      <c r="AL7" s="10" t="n">
        <f aca="false">SUMIFS(Communes!$AO$5:$AO$187,Communes!$C$5:$C$187,A7)</f>
        <v>6717</v>
      </c>
      <c r="AM7" s="10" t="n">
        <f aca="false">SUMIFS(Communes!$AP$5:$AP$187,Communes!$C$5:$C$187,A7)</f>
        <v>5773</v>
      </c>
      <c r="AN7" s="10" t="n">
        <f aca="false">F7+G7</f>
        <v>5773</v>
      </c>
      <c r="AO7" s="11" t="n">
        <f aca="false">IF(AN7&gt;0,F7/AN7,"")</f>
        <v>0.38091113805647</v>
      </c>
      <c r="AP7" s="11" t="n">
        <f aca="false">IF((M7+N7)&gt;0,M7/(M7+N7),"")</f>
        <v>0.39824326336162</v>
      </c>
      <c r="AQ7" s="12" t="n">
        <f aca="false">IF(AND(ISNUMBER(AO7),ISNUMBER(AP7)),(AO7-AP7)*100,"")</f>
        <v>-1.733212530515</v>
      </c>
      <c r="AR7" s="12" t="n">
        <f aca="false">IF(D7&gt;0,F7/D7*1000,"")</f>
        <v>35.1907566252721</v>
      </c>
      <c r="AS7" s="12" t="n">
        <f aca="false">IF(D7&gt;0,E7/D7*10000,"")</f>
        <v>2.24043016259122</v>
      </c>
      <c r="AT7" s="12" t="n">
        <f aca="false">IF(D7&gt;0,T7/D7*10000,"")</f>
        <v>8.16156702086801</v>
      </c>
      <c r="AU7" s="12" t="n">
        <f aca="false">IF(F7&gt;0,H7/F7*100,"")</f>
        <v>17.0077307867212</v>
      </c>
      <c r="AV7" s="9" t="str">
        <f aca="false">IF(AN7&gt;=100,"ok",IF(AN7&gt;0,"effectif faible (&lt;100)","aucune association"))</f>
        <v>ok</v>
      </c>
    </row>
    <row r="8" customFormat="false" ht="15" hidden="false" customHeight="false" outlineLevel="0" collapsed="false">
      <c r="A8" s="9" t="s">
        <v>146</v>
      </c>
      <c r="B8" s="9" t="n">
        <f aca="false">COUNTIF(Communes!$C$5:$C$187,A8)</f>
        <v>9</v>
      </c>
      <c r="C8" s="9" t="n">
        <f aca="false">COUNTIFS(Communes!$C$5:$C$187,A8,Communes!$H$5:$H$187,0)</f>
        <v>2</v>
      </c>
      <c r="D8" s="10" t="n">
        <f aca="false">SUMIFS(Communes!$G$5:$G$187,Communes!$C$5:$C$187,A8)</f>
        <v>64305</v>
      </c>
      <c r="E8" s="10" t="n">
        <f aca="false">SUMIFS(Communes!$H$5:$H$187,Communes!$C$5:$C$187,A8)</f>
        <v>47</v>
      </c>
      <c r="F8" s="10" t="n">
        <f aca="false">SUMIFS(Communes!$I$5:$I$187,Communes!$C$5:$C$187,A8)</f>
        <v>5164</v>
      </c>
      <c r="G8" s="10" t="n">
        <f aca="false">SUMIFS(Communes!$J$5:$J$187,Communes!$C$5:$C$187,A8)</f>
        <v>6592</v>
      </c>
      <c r="H8" s="10" t="n">
        <f aca="false">SUMIFS(Communes!$K$5:$K$187,Communes!$C$5:$C$187,A8)</f>
        <v>845</v>
      </c>
      <c r="I8" s="10" t="n">
        <f aca="false">SUMIFS(Communes!$L$5:$L$187,Communes!$C$5:$C$187,A8)</f>
        <v>111</v>
      </c>
      <c r="J8" s="10" t="n">
        <f aca="false">SUMIFS(Communes!$M$5:$M$187,Communes!$C$5:$C$187,A8)</f>
        <v>7</v>
      </c>
      <c r="K8" s="10" t="n">
        <f aca="false">SUMIFS(Communes!$N$5:$N$187,Communes!$C$5:$C$187,A8)</f>
        <v>10</v>
      </c>
      <c r="L8" s="10" t="n">
        <f aca="false">SUMIFS(Communes!$O$5:$O$187,Communes!$C$5:$C$187,A8)</f>
        <v>45</v>
      </c>
      <c r="M8" s="10" t="n">
        <f aca="false">SUMIFS(Communes!$P$5:$P$187,Communes!$C$5:$C$187,A8)</f>
        <v>4839</v>
      </c>
      <c r="N8" s="10" t="n">
        <f aca="false">SUMIFS(Communes!$Q$5:$Q$187,Communes!$C$5:$C$187,A8)</f>
        <v>5860</v>
      </c>
      <c r="O8" s="10" t="n">
        <f aca="false">SUMIFS(Communes!$R$5:$R$187,Communes!$C$5:$C$187,A8)</f>
        <v>5</v>
      </c>
      <c r="P8" s="10" t="n">
        <f aca="false">SUMIFS(Communes!$S$5:$S$187,Communes!$C$5:$C$187,A8)</f>
        <v>693</v>
      </c>
      <c r="Q8" s="10" t="n">
        <f aca="false">SUMIFS(Communes!$T$5:$T$187,Communes!$C$5:$C$187,A8)</f>
        <v>20</v>
      </c>
      <c r="R8" s="10" t="n">
        <f aca="false">SUMIFS(Communes!$U$5:$U$187,Communes!$C$5:$C$187,A8)</f>
        <v>45</v>
      </c>
      <c r="S8" s="10" t="n">
        <f aca="false">SUMIFS(Communes!$V$5:$V$187,Communes!$C$5:$C$187,A8)</f>
        <v>5</v>
      </c>
      <c r="T8" s="10" t="n">
        <f aca="false">SUMIFS(Communes!$W$5:$W$187,Communes!$C$5:$C$187,A8)</f>
        <v>74</v>
      </c>
      <c r="U8" s="10" t="n">
        <f aca="false">SUMIFS(Communes!$X$5:$X$187,Communes!$C$5:$C$187,A8)</f>
        <v>15</v>
      </c>
      <c r="V8" s="10" t="n">
        <f aca="false">SUMIFS(Communes!$Y$5:$Y$187,Communes!$C$5:$C$187,A8)</f>
        <v>1</v>
      </c>
      <c r="W8" s="10" t="n">
        <f aca="false">SUMIFS(Communes!$Z$5:$Z$187,Communes!$C$5:$C$187,A8)</f>
        <v>6</v>
      </c>
      <c r="X8" s="10" t="n">
        <f aca="false">SUMIFS(Communes!$AA$5:$AA$187,Communes!$C$5:$C$187,A8)</f>
        <v>0</v>
      </c>
      <c r="Y8" s="10" t="n">
        <f aca="false">SUMIFS(Communes!$AB$5:$AB$187,Communes!$C$5:$C$187,A8)</f>
        <v>3</v>
      </c>
      <c r="Z8" s="10" t="n">
        <f aca="false">SUMIFS(Communes!$AC$5:$AC$187,Communes!$C$5:$C$187,A8)</f>
        <v>1</v>
      </c>
      <c r="AA8" s="10" t="n">
        <f aca="false">SUMIFS(Communes!$AD$5:$AD$187,Communes!$C$5:$C$187,A8)</f>
        <v>0</v>
      </c>
      <c r="AB8" s="10" t="n">
        <f aca="false">SUMIFS(Communes!$AE$5:$AE$187,Communes!$C$5:$C$187,A8)</f>
        <v>43</v>
      </c>
      <c r="AC8" s="10" t="n">
        <f aca="false">SUMIFS(Communes!$AF$5:$AF$187,Communes!$C$5:$C$187,A8)</f>
        <v>41</v>
      </c>
      <c r="AD8" s="10" t="n">
        <f aca="false">SUMIFS(Communes!$AG$5:$AG$187,Communes!$C$5:$C$187,A8)</f>
        <v>46</v>
      </c>
      <c r="AE8" s="10" t="n">
        <f aca="false">SUMIFS(Communes!$AH$5:$AH$187,Communes!$C$5:$C$187,A8)</f>
        <v>46</v>
      </c>
      <c r="AF8" s="10" t="n">
        <f aca="false">SUMIFS(Communes!$AI$5:$AI$187,Communes!$C$5:$C$187,A8)</f>
        <v>44</v>
      </c>
      <c r="AG8" s="10" t="n">
        <f aca="false">SUMIFS(Communes!$AJ$5:$AJ$187,Communes!$C$5:$C$187,A8)</f>
        <v>8032</v>
      </c>
      <c r="AH8" s="10" t="n">
        <f aca="false">SUMIFS(Communes!$AK$5:$AK$187,Communes!$C$5:$C$187,A8)</f>
        <v>8520</v>
      </c>
      <c r="AI8" s="10" t="n">
        <f aca="false">SUMIFS(Communes!$AL$5:$AL$187,Communes!$C$5:$C$187,A8)</f>
        <v>9187</v>
      </c>
      <c r="AJ8" s="10" t="n">
        <f aca="false">SUMIFS(Communes!$AM$5:$AM$187,Communes!$C$5:$C$187,A8)</f>
        <v>9320</v>
      </c>
      <c r="AK8" s="10" t="n">
        <f aca="false">SUMIFS(Communes!$AN$5:$AN$187,Communes!$C$5:$C$187,A8)</f>
        <v>9994</v>
      </c>
      <c r="AL8" s="10" t="n">
        <f aca="false">SUMIFS(Communes!$AO$5:$AO$187,Communes!$C$5:$C$187,A8)</f>
        <v>10699</v>
      </c>
      <c r="AM8" s="10" t="n">
        <f aca="false">SUMIFS(Communes!$AP$5:$AP$187,Communes!$C$5:$C$187,A8)</f>
        <v>11756</v>
      </c>
      <c r="AN8" s="10" t="n">
        <f aca="false">F8+G8</f>
        <v>11756</v>
      </c>
      <c r="AO8" s="11" t="n">
        <f aca="false">IF(AN8&gt;0,F8/AN8,"")</f>
        <v>0.439265056141545</v>
      </c>
      <c r="AP8" s="11" t="n">
        <f aca="false">IF((M8+N8)&gt;0,M8/(M8+N8),"")</f>
        <v>0.452285260304701</v>
      </c>
      <c r="AQ8" s="12" t="n">
        <f aca="false">IF(AND(ISNUMBER(AO8),ISNUMBER(AP8)),(AO8-AP8)*100,"")</f>
        <v>-1.30202041631566</v>
      </c>
      <c r="AR8" s="12" t="n">
        <f aca="false">IF(D8&gt;0,F8/D8*1000,"")</f>
        <v>80.304797449654</v>
      </c>
      <c r="AS8" s="12" t="n">
        <f aca="false">IF(D8&gt;0,E8/D8*10000,"")</f>
        <v>7.30891843558044</v>
      </c>
      <c r="AT8" s="12" t="n">
        <f aca="false">IF(D8&gt;0,T8/D8*10000,"")</f>
        <v>11.5076588134671</v>
      </c>
      <c r="AU8" s="12" t="n">
        <f aca="false">IF(F8&gt;0,H8/F8*100,"")</f>
        <v>16.3632842757552</v>
      </c>
      <c r="AV8" s="9" t="str">
        <f aca="false">IF(AN8&gt;=100,"ok",IF(AN8&gt;0,"effectif faible (&lt;100)","aucune association"))</f>
        <v>ok</v>
      </c>
    </row>
    <row r="9" customFormat="false" ht="15" hidden="false" customHeight="false" outlineLevel="0" collapsed="false">
      <c r="A9" s="9" t="s">
        <v>241</v>
      </c>
      <c r="B9" s="9" t="n">
        <f aca="false">COUNTIF(Communes!$C$5:$C$187,A9)</f>
        <v>2</v>
      </c>
      <c r="C9" s="9" t="n">
        <f aca="false">COUNTIFS(Communes!$C$5:$C$187,A9,Communes!$H$5:$H$187,0)</f>
        <v>0</v>
      </c>
      <c r="D9" s="10" t="n">
        <f aca="false">SUMIFS(Communes!$G$5:$G$187,Communes!$C$5:$C$187,A9)</f>
        <v>55700</v>
      </c>
      <c r="E9" s="10" t="n">
        <f aca="false">SUMIFS(Communes!$H$5:$H$187,Communes!$C$5:$C$187,A9)</f>
        <v>22</v>
      </c>
      <c r="F9" s="10" t="n">
        <f aca="false">SUMIFS(Communes!$I$5:$I$187,Communes!$C$5:$C$187,A9)</f>
        <v>3418</v>
      </c>
      <c r="G9" s="10" t="n">
        <f aca="false">SUMIFS(Communes!$J$5:$J$187,Communes!$C$5:$C$187,A9)</f>
        <v>2871</v>
      </c>
      <c r="H9" s="10" t="n">
        <f aca="false">SUMIFS(Communes!$K$5:$K$187,Communes!$C$5:$C$187,A9)</f>
        <v>381</v>
      </c>
      <c r="I9" s="10" t="n">
        <f aca="false">SUMIFS(Communes!$L$5:$L$187,Communes!$C$5:$C$187,A9)</f>
        <v>67</v>
      </c>
      <c r="J9" s="10" t="n">
        <f aca="false">SUMIFS(Communes!$M$5:$M$187,Communes!$C$5:$C$187,A9)</f>
        <v>5</v>
      </c>
      <c r="K9" s="10" t="n">
        <f aca="false">SUMIFS(Communes!$N$5:$N$187,Communes!$C$5:$C$187,A9)</f>
        <v>6</v>
      </c>
      <c r="L9" s="10" t="n">
        <f aca="false">SUMIFS(Communes!$O$5:$O$187,Communes!$C$5:$C$187,A9)</f>
        <v>22</v>
      </c>
      <c r="M9" s="10" t="n">
        <f aca="false">SUMIFS(Communes!$P$5:$P$187,Communes!$C$5:$C$187,A9)</f>
        <v>2870</v>
      </c>
      <c r="N9" s="10" t="n">
        <f aca="false">SUMIFS(Communes!$Q$5:$Q$187,Communes!$C$5:$C$187,A9)</f>
        <v>2846</v>
      </c>
      <c r="O9" s="10" t="n">
        <f aca="false">SUMIFS(Communes!$R$5:$R$187,Communes!$C$5:$C$187,A9)</f>
        <v>3</v>
      </c>
      <c r="P9" s="10" t="n">
        <f aca="false">SUMIFS(Communes!$S$5:$S$187,Communes!$C$5:$C$187,A9)</f>
        <v>454</v>
      </c>
      <c r="Q9" s="10" t="n">
        <f aca="false">SUMIFS(Communes!$T$5:$T$187,Communes!$C$5:$C$187,A9)</f>
        <v>15</v>
      </c>
      <c r="R9" s="10" t="n">
        <f aca="false">SUMIFS(Communes!$U$5:$U$187,Communes!$C$5:$C$187,A9)</f>
        <v>24</v>
      </c>
      <c r="S9" s="10" t="n">
        <f aca="false">SUMIFS(Communes!$V$5:$V$187,Communes!$C$5:$C$187,A9)</f>
        <v>3</v>
      </c>
      <c r="T9" s="10" t="n">
        <f aca="false">SUMIFS(Communes!$W$5:$W$187,Communes!$C$5:$C$187,A9)</f>
        <v>39</v>
      </c>
      <c r="U9" s="10" t="n">
        <f aca="false">SUMIFS(Communes!$X$5:$X$187,Communes!$C$5:$C$187,A9)</f>
        <v>3</v>
      </c>
      <c r="V9" s="10" t="n">
        <f aca="false">SUMIFS(Communes!$Y$5:$Y$187,Communes!$C$5:$C$187,A9)</f>
        <v>1</v>
      </c>
      <c r="W9" s="10" t="n">
        <f aca="false">SUMIFS(Communes!$Z$5:$Z$187,Communes!$C$5:$C$187,A9)</f>
        <v>5</v>
      </c>
      <c r="X9" s="10" t="n">
        <f aca="false">SUMIFS(Communes!$AA$5:$AA$187,Communes!$C$5:$C$187,A9)</f>
        <v>1</v>
      </c>
      <c r="Y9" s="10" t="n">
        <f aca="false">SUMIFS(Communes!$AB$5:$AB$187,Communes!$C$5:$C$187,A9)</f>
        <v>5</v>
      </c>
      <c r="Z9" s="10" t="n">
        <f aca="false">SUMIFS(Communes!$AC$5:$AC$187,Communes!$C$5:$C$187,A9)</f>
        <v>1</v>
      </c>
      <c r="AA9" s="10" t="n">
        <f aca="false">SUMIFS(Communes!$AD$5:$AD$187,Communes!$C$5:$C$187,A9)</f>
        <v>0</v>
      </c>
      <c r="AB9" s="10" t="n">
        <f aca="false">SUMIFS(Communes!$AE$5:$AE$187,Communes!$C$5:$C$187,A9)</f>
        <v>22</v>
      </c>
      <c r="AC9" s="10" t="n">
        <f aca="false">SUMIFS(Communes!$AF$5:$AF$187,Communes!$C$5:$C$187,A9)</f>
        <v>22</v>
      </c>
      <c r="AD9" s="10" t="n">
        <f aca="false">SUMIFS(Communes!$AG$5:$AG$187,Communes!$C$5:$C$187,A9)</f>
        <v>21</v>
      </c>
      <c r="AE9" s="10" t="n">
        <f aca="false">SUMIFS(Communes!$AH$5:$AH$187,Communes!$C$5:$C$187,A9)</f>
        <v>21</v>
      </c>
      <c r="AF9" s="10" t="n">
        <f aca="false">SUMIFS(Communes!$AI$5:$AI$187,Communes!$C$5:$C$187,A9)</f>
        <v>21</v>
      </c>
      <c r="AG9" s="10" t="n">
        <f aca="false">SUMIFS(Communes!$AJ$5:$AJ$187,Communes!$C$5:$C$187,A9)</f>
        <v>8111</v>
      </c>
      <c r="AH9" s="10" t="n">
        <f aca="false">SUMIFS(Communes!$AK$5:$AK$187,Communes!$C$5:$C$187,A9)</f>
        <v>8955</v>
      </c>
      <c r="AI9" s="10" t="n">
        <f aca="false">SUMIFS(Communes!$AL$5:$AL$187,Communes!$C$5:$C$187,A9)</f>
        <v>7629</v>
      </c>
      <c r="AJ9" s="10" t="n">
        <f aca="false">SUMIFS(Communes!$AM$5:$AM$187,Communes!$C$5:$C$187,A9)</f>
        <v>5004</v>
      </c>
      <c r="AK9" s="10" t="n">
        <f aca="false">SUMIFS(Communes!$AN$5:$AN$187,Communes!$C$5:$C$187,A9)</f>
        <v>5010</v>
      </c>
      <c r="AL9" s="10" t="n">
        <f aca="false">SUMIFS(Communes!$AO$5:$AO$187,Communes!$C$5:$C$187,A9)</f>
        <v>5716</v>
      </c>
      <c r="AM9" s="10" t="n">
        <f aca="false">SUMIFS(Communes!$AP$5:$AP$187,Communes!$C$5:$C$187,A9)</f>
        <v>6289</v>
      </c>
      <c r="AN9" s="10" t="n">
        <f aca="false">F9+G9</f>
        <v>6289</v>
      </c>
      <c r="AO9" s="11" t="n">
        <f aca="false">IF(AN9&gt;0,F9/AN9,"")</f>
        <v>0.543488630942916</v>
      </c>
      <c r="AP9" s="11" t="n">
        <f aca="false">IF((M9+N9)&gt;0,M9/(M9+N9),"")</f>
        <v>0.502099370188943</v>
      </c>
      <c r="AQ9" s="12" t="n">
        <f aca="false">IF(AND(ISNUMBER(AO9),ISNUMBER(AP9)),(AO9-AP9)*100,"")</f>
        <v>4.13892607539729</v>
      </c>
      <c r="AR9" s="12" t="n">
        <f aca="false">IF(D9&gt;0,F9/D9*1000,"")</f>
        <v>61.3644524236984</v>
      </c>
      <c r="AS9" s="12" t="n">
        <f aca="false">IF(D9&gt;0,E9/D9*10000,"")</f>
        <v>3.94973070017953</v>
      </c>
      <c r="AT9" s="12" t="n">
        <f aca="false">IF(D9&gt;0,T9/D9*10000,"")</f>
        <v>7.00179533213645</v>
      </c>
      <c r="AU9" s="12" t="n">
        <f aca="false">IF(F9&gt;0,H9/F9*100,"")</f>
        <v>11.1468695143359</v>
      </c>
      <c r="AV9" s="9" t="str">
        <f aca="false">IF(AN9&gt;=100,"ok",IF(AN9&gt;0,"effectif faible (&lt;100)","aucune association"))</f>
        <v>ok</v>
      </c>
    </row>
    <row r="10" customFormat="false" ht="15" hidden="false" customHeight="false" outlineLevel="0" collapsed="false">
      <c r="A10" s="9" t="s">
        <v>133</v>
      </c>
      <c r="B10" s="9" t="n">
        <f aca="false">COUNTIF(Communes!$C$5:$C$187,A10)</f>
        <v>25</v>
      </c>
      <c r="C10" s="9" t="n">
        <f aca="false">COUNTIFS(Communes!$C$5:$C$187,A10,Communes!$H$5:$H$187,0)</f>
        <v>10</v>
      </c>
      <c r="D10" s="10" t="n">
        <f aca="false">SUMIFS(Communes!$G$5:$G$187,Communes!$C$5:$C$187,A10)</f>
        <v>65490</v>
      </c>
      <c r="E10" s="10" t="n">
        <f aca="false">SUMIFS(Communes!$H$5:$H$187,Communes!$C$5:$C$187,A10)</f>
        <v>42</v>
      </c>
      <c r="F10" s="10" t="n">
        <f aca="false">SUMIFS(Communes!$I$5:$I$187,Communes!$C$5:$C$187,A10)</f>
        <v>3569</v>
      </c>
      <c r="G10" s="10" t="n">
        <f aca="false">SUMIFS(Communes!$J$5:$J$187,Communes!$C$5:$C$187,A10)</f>
        <v>6061</v>
      </c>
      <c r="H10" s="10" t="n">
        <f aca="false">SUMIFS(Communes!$K$5:$K$187,Communes!$C$5:$C$187,A10)</f>
        <v>1161</v>
      </c>
      <c r="I10" s="10" t="n">
        <f aca="false">SUMIFS(Communes!$L$5:$L$187,Communes!$C$5:$C$187,A10)</f>
        <v>82</v>
      </c>
      <c r="J10" s="10" t="n">
        <f aca="false">SUMIFS(Communes!$M$5:$M$187,Communes!$C$5:$C$187,A10)</f>
        <v>13</v>
      </c>
      <c r="K10" s="10" t="n">
        <f aca="false">SUMIFS(Communes!$N$5:$N$187,Communes!$C$5:$C$187,A10)</f>
        <v>14</v>
      </c>
      <c r="L10" s="10" t="n">
        <f aca="false">SUMIFS(Communes!$O$5:$O$187,Communes!$C$5:$C$187,A10)</f>
        <v>43</v>
      </c>
      <c r="M10" s="10" t="n">
        <f aca="false">SUMIFS(Communes!$P$5:$P$187,Communes!$C$5:$C$187,A10)</f>
        <v>4725</v>
      </c>
      <c r="N10" s="10" t="n">
        <f aca="false">SUMIFS(Communes!$Q$5:$Q$187,Communes!$C$5:$C$187,A10)</f>
        <v>6294</v>
      </c>
      <c r="O10" s="10" t="n">
        <f aca="false">SUMIFS(Communes!$R$5:$R$187,Communes!$C$5:$C$187,A10)</f>
        <v>4</v>
      </c>
      <c r="P10" s="10" t="n">
        <f aca="false">SUMIFS(Communes!$S$5:$S$187,Communes!$C$5:$C$187,A10)</f>
        <v>653</v>
      </c>
      <c r="Q10" s="10" t="n">
        <f aca="false">SUMIFS(Communes!$T$5:$T$187,Communes!$C$5:$C$187,A10)</f>
        <v>19</v>
      </c>
      <c r="R10" s="10" t="n">
        <f aca="false">SUMIFS(Communes!$U$5:$U$187,Communes!$C$5:$C$187,A10)</f>
        <v>42</v>
      </c>
      <c r="S10" s="10" t="n">
        <f aca="false">SUMIFS(Communes!$V$5:$V$187,Communes!$C$5:$C$187,A10)</f>
        <v>4</v>
      </c>
      <c r="T10" s="10" t="n">
        <f aca="false">SUMIFS(Communes!$W$5:$W$187,Communes!$C$5:$C$187,A10)</f>
        <v>127</v>
      </c>
      <c r="U10" s="10" t="n">
        <f aca="false">SUMIFS(Communes!$X$5:$X$187,Communes!$C$5:$C$187,A10)</f>
        <v>15</v>
      </c>
      <c r="V10" s="10" t="n">
        <f aca="false">SUMIFS(Communes!$Y$5:$Y$187,Communes!$C$5:$C$187,A10)</f>
        <v>2</v>
      </c>
      <c r="W10" s="10" t="n">
        <f aca="false">SUMIFS(Communes!$Z$5:$Z$187,Communes!$C$5:$C$187,A10)</f>
        <v>1</v>
      </c>
      <c r="X10" s="10" t="n">
        <f aca="false">SUMIFS(Communes!$AA$5:$AA$187,Communes!$C$5:$C$187,A10)</f>
        <v>1</v>
      </c>
      <c r="Y10" s="10" t="n">
        <f aca="false">SUMIFS(Communes!$AB$5:$AB$187,Communes!$C$5:$C$187,A10)</f>
        <v>2</v>
      </c>
      <c r="Z10" s="10" t="n">
        <f aca="false">SUMIFS(Communes!$AC$5:$AC$187,Communes!$C$5:$C$187,A10)</f>
        <v>2</v>
      </c>
      <c r="AA10" s="10" t="n">
        <f aca="false">SUMIFS(Communes!$AD$5:$AD$187,Communes!$C$5:$C$187,A10)</f>
        <v>0</v>
      </c>
      <c r="AB10" s="10" t="n">
        <f aca="false">SUMIFS(Communes!$AE$5:$AE$187,Communes!$C$5:$C$187,A10)</f>
        <v>38</v>
      </c>
      <c r="AC10" s="10" t="n">
        <f aca="false">SUMIFS(Communes!$AF$5:$AF$187,Communes!$C$5:$C$187,A10)</f>
        <v>41</v>
      </c>
      <c r="AD10" s="10" t="n">
        <f aca="false">SUMIFS(Communes!$AG$5:$AG$187,Communes!$C$5:$C$187,A10)</f>
        <v>45</v>
      </c>
      <c r="AE10" s="10" t="n">
        <f aca="false">SUMIFS(Communes!$AH$5:$AH$187,Communes!$C$5:$C$187,A10)</f>
        <v>42</v>
      </c>
      <c r="AF10" s="10" t="n">
        <f aca="false">SUMIFS(Communes!$AI$5:$AI$187,Communes!$C$5:$C$187,A10)</f>
        <v>40</v>
      </c>
      <c r="AG10" s="10" t="n">
        <f aca="false">SUMIFS(Communes!$AJ$5:$AJ$187,Communes!$C$5:$C$187,A10)</f>
        <v>8495</v>
      </c>
      <c r="AH10" s="10" t="n">
        <f aca="false">SUMIFS(Communes!$AK$5:$AK$187,Communes!$C$5:$C$187,A10)</f>
        <v>8124</v>
      </c>
      <c r="AI10" s="10" t="n">
        <f aca="false">SUMIFS(Communes!$AL$5:$AL$187,Communes!$C$5:$C$187,A10)</f>
        <v>7403</v>
      </c>
      <c r="AJ10" s="10" t="n">
        <f aca="false">SUMIFS(Communes!$AM$5:$AM$187,Communes!$C$5:$C$187,A10)</f>
        <v>7197</v>
      </c>
      <c r="AK10" s="10" t="n">
        <f aca="false">SUMIFS(Communes!$AN$5:$AN$187,Communes!$C$5:$C$187,A10)</f>
        <v>7683</v>
      </c>
      <c r="AL10" s="10" t="n">
        <f aca="false">SUMIFS(Communes!$AO$5:$AO$187,Communes!$C$5:$C$187,A10)</f>
        <v>11019</v>
      </c>
      <c r="AM10" s="10" t="n">
        <f aca="false">SUMIFS(Communes!$AP$5:$AP$187,Communes!$C$5:$C$187,A10)</f>
        <v>9630</v>
      </c>
      <c r="AN10" s="10" t="n">
        <f aca="false">F10+G10</f>
        <v>9630</v>
      </c>
      <c r="AO10" s="11" t="n">
        <f aca="false">IF(AN10&gt;0,F10/AN10,"")</f>
        <v>0.37061266874351</v>
      </c>
      <c r="AP10" s="11" t="n">
        <f aca="false">IF((M10+N10)&gt;0,M10/(M10+N10),"")</f>
        <v>0.428804791723387</v>
      </c>
      <c r="AQ10" s="12" t="n">
        <f aca="false">IF(AND(ISNUMBER(AO10),ISNUMBER(AP10)),(AO10-AP10)*100,"")</f>
        <v>-5.8192122979877</v>
      </c>
      <c r="AR10" s="12" t="n">
        <f aca="false">IF(D10&gt;0,F10/D10*1000,"")</f>
        <v>54.496869751107</v>
      </c>
      <c r="AS10" s="12" t="n">
        <f aca="false">IF(D10&gt;0,E10/D10*10000,"")</f>
        <v>6.41319285387082</v>
      </c>
      <c r="AT10" s="12" t="n">
        <f aca="false">IF(D10&gt;0,T10/D10*10000,"")</f>
        <v>19.3922736295618</v>
      </c>
      <c r="AU10" s="12" t="n">
        <f aca="false">IF(F10&gt;0,H10/F10*100,"")</f>
        <v>32.5301204819277</v>
      </c>
      <c r="AV10" s="9" t="str">
        <f aca="false">IF(AN10&gt;=100,"ok",IF(AN10&gt;0,"effectif faible (&lt;100)","aucune association"))</f>
        <v>ok</v>
      </c>
    </row>
    <row r="11" customFormat="false" ht="15" hidden="false" customHeight="false" outlineLevel="0" collapsed="false">
      <c r="A11" s="9" t="s">
        <v>229</v>
      </c>
      <c r="B11" s="9" t="n">
        <f aca="false">COUNTIF(Communes!$C$5:$C$187,A11)</f>
        <v>2</v>
      </c>
      <c r="C11" s="9" t="n">
        <f aca="false">COUNTIFS(Communes!$C$5:$C$187,A11,Communes!$H$5:$H$187,0)</f>
        <v>0</v>
      </c>
      <c r="D11" s="10" t="n">
        <f aca="false">SUMIFS(Communes!$G$5:$G$187,Communes!$C$5:$C$187,A11)</f>
        <v>65046</v>
      </c>
      <c r="E11" s="10" t="n">
        <f aca="false">SUMIFS(Communes!$H$5:$H$187,Communes!$C$5:$C$187,A11)</f>
        <v>14</v>
      </c>
      <c r="F11" s="10" t="n">
        <f aca="false">SUMIFS(Communes!$I$5:$I$187,Communes!$C$5:$C$187,A11)</f>
        <v>5263</v>
      </c>
      <c r="G11" s="10" t="n">
        <f aca="false">SUMIFS(Communes!$J$5:$J$187,Communes!$C$5:$C$187,A11)</f>
        <v>5165</v>
      </c>
      <c r="H11" s="10" t="n">
        <f aca="false">SUMIFS(Communes!$K$5:$K$187,Communes!$C$5:$C$187,A11)</f>
        <v>564</v>
      </c>
      <c r="I11" s="10" t="n">
        <f aca="false">SUMIFS(Communes!$L$5:$L$187,Communes!$C$5:$C$187,A11)</f>
        <v>84</v>
      </c>
      <c r="J11" s="10" t="n">
        <f aca="false">SUMIFS(Communes!$M$5:$M$187,Communes!$C$5:$C$187,A11)</f>
        <v>5</v>
      </c>
      <c r="K11" s="10" t="n">
        <f aca="false">SUMIFS(Communes!$N$5:$N$187,Communes!$C$5:$C$187,A11)</f>
        <v>3</v>
      </c>
      <c r="L11" s="10" t="n">
        <f aca="false">SUMIFS(Communes!$O$5:$O$187,Communes!$C$5:$C$187,A11)</f>
        <v>17</v>
      </c>
      <c r="M11" s="10" t="n">
        <f aca="false">SUMIFS(Communes!$P$5:$P$187,Communes!$C$5:$C$187,A11)</f>
        <v>5053</v>
      </c>
      <c r="N11" s="10" t="n">
        <f aca="false">SUMIFS(Communes!$Q$5:$Q$187,Communes!$C$5:$C$187,A11)</f>
        <v>5216</v>
      </c>
      <c r="O11" s="10" t="n">
        <f aca="false">SUMIFS(Communes!$R$5:$R$187,Communes!$C$5:$C$187,A11)</f>
        <v>4</v>
      </c>
      <c r="P11" s="10" t="n">
        <f aca="false">SUMIFS(Communes!$S$5:$S$187,Communes!$C$5:$C$187,A11)</f>
        <v>624</v>
      </c>
      <c r="Q11" s="10" t="n">
        <f aca="false">SUMIFS(Communes!$T$5:$T$187,Communes!$C$5:$C$187,A11)</f>
        <v>15</v>
      </c>
      <c r="R11" s="10" t="n">
        <f aca="false">SUMIFS(Communes!$U$5:$U$187,Communes!$C$5:$C$187,A11)</f>
        <v>14</v>
      </c>
      <c r="S11" s="10" t="n">
        <f aca="false">SUMIFS(Communes!$V$5:$V$187,Communes!$C$5:$C$187,A11)</f>
        <v>4</v>
      </c>
      <c r="T11" s="10" t="n">
        <f aca="false">SUMIFS(Communes!$W$5:$W$187,Communes!$C$5:$C$187,A11)</f>
        <v>53</v>
      </c>
      <c r="U11" s="10" t="n">
        <f aca="false">SUMIFS(Communes!$X$5:$X$187,Communes!$C$5:$C$187,A11)</f>
        <v>13</v>
      </c>
      <c r="V11" s="10" t="n">
        <f aca="false">SUMIFS(Communes!$Y$5:$Y$187,Communes!$C$5:$C$187,A11)</f>
        <v>2</v>
      </c>
      <c r="W11" s="10" t="n">
        <f aca="false">SUMIFS(Communes!$Z$5:$Z$187,Communes!$C$5:$C$187,A11)</f>
        <v>1</v>
      </c>
      <c r="X11" s="10" t="n">
        <f aca="false">SUMIFS(Communes!$AA$5:$AA$187,Communes!$C$5:$C$187,A11)</f>
        <v>0</v>
      </c>
      <c r="Y11" s="10" t="n">
        <f aca="false">SUMIFS(Communes!$AB$5:$AB$187,Communes!$C$5:$C$187,A11)</f>
        <v>1</v>
      </c>
      <c r="Z11" s="10" t="n">
        <f aca="false">SUMIFS(Communes!$AC$5:$AC$187,Communes!$C$5:$C$187,A11)</f>
        <v>4</v>
      </c>
      <c r="AA11" s="10" t="n">
        <f aca="false">SUMIFS(Communes!$AD$5:$AD$187,Communes!$C$5:$C$187,A11)</f>
        <v>1</v>
      </c>
      <c r="AB11" s="10" t="n">
        <f aca="false">SUMIFS(Communes!$AE$5:$AE$187,Communes!$C$5:$C$187,A11)</f>
        <v>15</v>
      </c>
      <c r="AC11" s="10" t="n">
        <f aca="false">SUMIFS(Communes!$AF$5:$AF$187,Communes!$C$5:$C$187,A11)</f>
        <v>18</v>
      </c>
      <c r="AD11" s="10" t="n">
        <f aca="false">SUMIFS(Communes!$AG$5:$AG$187,Communes!$C$5:$C$187,A11)</f>
        <v>17</v>
      </c>
      <c r="AE11" s="10" t="n">
        <f aca="false">SUMIFS(Communes!$AH$5:$AH$187,Communes!$C$5:$C$187,A11)</f>
        <v>18</v>
      </c>
      <c r="AF11" s="10" t="n">
        <f aca="false">SUMIFS(Communes!$AI$5:$AI$187,Communes!$C$5:$C$187,A11)</f>
        <v>18</v>
      </c>
      <c r="AG11" s="10" t="n">
        <f aca="false">SUMIFS(Communes!$AJ$5:$AJ$187,Communes!$C$5:$C$187,A11)</f>
        <v>7547</v>
      </c>
      <c r="AH11" s="10" t="n">
        <f aca="false">SUMIFS(Communes!$AK$5:$AK$187,Communes!$C$5:$C$187,A11)</f>
        <v>8893</v>
      </c>
      <c r="AI11" s="10" t="n">
        <f aca="false">SUMIFS(Communes!$AL$5:$AL$187,Communes!$C$5:$C$187,A11)</f>
        <v>8210</v>
      </c>
      <c r="AJ11" s="10" t="n">
        <f aca="false">SUMIFS(Communes!$AM$5:$AM$187,Communes!$C$5:$C$187,A11)</f>
        <v>7595</v>
      </c>
      <c r="AK11" s="10" t="n">
        <f aca="false">SUMIFS(Communes!$AN$5:$AN$187,Communes!$C$5:$C$187,A11)</f>
        <v>9916</v>
      </c>
      <c r="AL11" s="10" t="n">
        <f aca="false">SUMIFS(Communes!$AO$5:$AO$187,Communes!$C$5:$C$187,A11)</f>
        <v>10269</v>
      </c>
      <c r="AM11" s="10" t="n">
        <f aca="false">SUMIFS(Communes!$AP$5:$AP$187,Communes!$C$5:$C$187,A11)</f>
        <v>10428</v>
      </c>
      <c r="AN11" s="10" t="n">
        <f aca="false">F11+G11</f>
        <v>10428</v>
      </c>
      <c r="AO11" s="11" t="n">
        <f aca="false">IF(AN11&gt;0,F11/AN11,"")</f>
        <v>0.50469888761028</v>
      </c>
      <c r="AP11" s="11" t="n">
        <f aca="false">IF((M11+N11)&gt;0,M11/(M11+N11),"")</f>
        <v>0.492063492063492</v>
      </c>
      <c r="AQ11" s="12" t="n">
        <f aca="false">IF(AND(ISNUMBER(AO11),ISNUMBER(AP11)),(AO11-AP11)*100,"")</f>
        <v>1.2635395546788</v>
      </c>
      <c r="AR11" s="12" t="n">
        <f aca="false">IF(D11&gt;0,F11/D11*1000,"")</f>
        <v>80.9119699904683</v>
      </c>
      <c r="AS11" s="12" t="n">
        <f aca="false">IF(D11&gt;0,E11/D11*10000,"")</f>
        <v>2.1523229714356</v>
      </c>
      <c r="AT11" s="12" t="n">
        <f aca="false">IF(D11&gt;0,T11/D11*10000,"")</f>
        <v>8.14807982043477</v>
      </c>
      <c r="AU11" s="12" t="n">
        <f aca="false">IF(F11&gt;0,H11/F11*100,"")</f>
        <v>10.7163214896447</v>
      </c>
      <c r="AV11" s="9" t="str">
        <f aca="false">IF(AN11&gt;=100,"ok",IF(AN11&gt;0,"effectif faible (&lt;100)","aucune association"))</f>
        <v>ok</v>
      </c>
    </row>
    <row r="12" customFormat="false" ht="15" hidden="false" customHeight="false" outlineLevel="0" collapsed="false">
      <c r="A12" s="9" t="s">
        <v>124</v>
      </c>
      <c r="B12" s="9" t="n">
        <f aca="false">COUNTIF(Communes!$C$5:$C$187,A12)</f>
        <v>3</v>
      </c>
      <c r="C12" s="9" t="n">
        <f aca="false">COUNTIFS(Communes!$C$5:$C$187,A12,Communes!$H$5:$H$187,0)</f>
        <v>1</v>
      </c>
      <c r="D12" s="10" t="n">
        <f aca="false">SUMIFS(Communes!$G$5:$G$187,Communes!$C$5:$C$187,A12)</f>
        <v>57999</v>
      </c>
      <c r="E12" s="10" t="n">
        <f aca="false">SUMIFS(Communes!$H$5:$H$187,Communes!$C$5:$C$187,A12)</f>
        <v>9</v>
      </c>
      <c r="F12" s="10" t="n">
        <f aca="false">SUMIFS(Communes!$I$5:$I$187,Communes!$C$5:$C$187,A12)</f>
        <v>1232</v>
      </c>
      <c r="G12" s="10" t="n">
        <f aca="false">SUMIFS(Communes!$J$5:$J$187,Communes!$C$5:$C$187,A12)</f>
        <v>1057</v>
      </c>
      <c r="H12" s="10" t="n">
        <f aca="false">SUMIFS(Communes!$K$5:$K$187,Communes!$C$5:$C$187,A12)</f>
        <v>149</v>
      </c>
      <c r="I12" s="10" t="n">
        <f aca="false">SUMIFS(Communes!$L$5:$L$187,Communes!$C$5:$C$187,A12)</f>
        <v>25</v>
      </c>
      <c r="J12" s="10" t="n">
        <f aca="false">SUMIFS(Communes!$M$5:$M$187,Communes!$C$5:$C$187,A12)</f>
        <v>2</v>
      </c>
      <c r="K12" s="10" t="n">
        <f aca="false">SUMIFS(Communes!$N$5:$N$187,Communes!$C$5:$C$187,A12)</f>
        <v>2</v>
      </c>
      <c r="L12" s="10" t="n">
        <f aca="false">SUMIFS(Communes!$O$5:$O$187,Communes!$C$5:$C$187,A12)</f>
        <v>9</v>
      </c>
      <c r="M12" s="10" t="n">
        <f aca="false">SUMIFS(Communes!$P$5:$P$187,Communes!$C$5:$C$187,A12)</f>
        <v>1283</v>
      </c>
      <c r="N12" s="10" t="n">
        <f aca="false">SUMIFS(Communes!$Q$5:$Q$187,Communes!$C$5:$C$187,A12)</f>
        <v>935</v>
      </c>
      <c r="O12" s="10" t="n">
        <f aca="false">SUMIFS(Communes!$R$5:$R$187,Communes!$C$5:$C$187,A12)</f>
        <v>3</v>
      </c>
      <c r="P12" s="10" t="n">
        <f aca="false">SUMIFS(Communes!$S$5:$S$187,Communes!$C$5:$C$187,A12)</f>
        <v>523</v>
      </c>
      <c r="Q12" s="10" t="n">
        <f aca="false">SUMIFS(Communes!$T$5:$T$187,Communes!$C$5:$C$187,A12)</f>
        <v>19</v>
      </c>
      <c r="R12" s="10" t="n">
        <f aca="false">SUMIFS(Communes!$U$5:$U$187,Communes!$C$5:$C$187,A12)</f>
        <v>8</v>
      </c>
      <c r="S12" s="10" t="n">
        <f aca="false">SUMIFS(Communes!$V$5:$V$187,Communes!$C$5:$C$187,A12)</f>
        <v>2</v>
      </c>
      <c r="T12" s="10" t="n">
        <f aca="false">SUMIFS(Communes!$W$5:$W$187,Communes!$C$5:$C$187,A12)</f>
        <v>55</v>
      </c>
      <c r="U12" s="10" t="n">
        <f aca="false">SUMIFS(Communes!$X$5:$X$187,Communes!$C$5:$C$187,A12)</f>
        <v>22</v>
      </c>
      <c r="V12" s="10" t="n">
        <f aca="false">SUMIFS(Communes!$Y$5:$Y$187,Communes!$C$5:$C$187,A12)</f>
        <v>1</v>
      </c>
      <c r="W12" s="10" t="n">
        <f aca="false">SUMIFS(Communes!$Z$5:$Z$187,Communes!$C$5:$C$187,A12)</f>
        <v>0</v>
      </c>
      <c r="X12" s="10" t="n">
        <f aca="false">SUMIFS(Communes!$AA$5:$AA$187,Communes!$C$5:$C$187,A12)</f>
        <v>0</v>
      </c>
      <c r="Y12" s="10" t="n">
        <f aca="false">SUMIFS(Communes!$AB$5:$AB$187,Communes!$C$5:$C$187,A12)</f>
        <v>0</v>
      </c>
      <c r="Z12" s="10" t="n">
        <f aca="false">SUMIFS(Communes!$AC$5:$AC$187,Communes!$C$5:$C$187,A12)</f>
        <v>1</v>
      </c>
      <c r="AA12" s="10" t="n">
        <f aca="false">SUMIFS(Communes!$AD$5:$AD$187,Communes!$C$5:$C$187,A12)</f>
        <v>0</v>
      </c>
      <c r="AB12" s="10" t="n">
        <f aca="false">SUMIFS(Communes!$AE$5:$AE$187,Communes!$C$5:$C$187,A12)</f>
        <v>12</v>
      </c>
      <c r="AC12" s="10" t="n">
        <f aca="false">SUMIFS(Communes!$AF$5:$AF$187,Communes!$C$5:$C$187,A12)</f>
        <v>11</v>
      </c>
      <c r="AD12" s="10" t="n">
        <f aca="false">SUMIFS(Communes!$AG$5:$AG$187,Communes!$C$5:$C$187,A12)</f>
        <v>9</v>
      </c>
      <c r="AE12" s="10" t="n">
        <f aca="false">SUMIFS(Communes!$AH$5:$AH$187,Communes!$C$5:$C$187,A12)</f>
        <v>8</v>
      </c>
      <c r="AF12" s="10" t="n">
        <f aca="false">SUMIFS(Communes!$AI$5:$AI$187,Communes!$C$5:$C$187,A12)</f>
        <v>9</v>
      </c>
      <c r="AG12" s="10" t="n">
        <f aca="false">SUMIFS(Communes!$AJ$5:$AJ$187,Communes!$C$5:$C$187,A12)</f>
        <v>2697</v>
      </c>
      <c r="AH12" s="10" t="n">
        <f aca="false">SUMIFS(Communes!$AK$5:$AK$187,Communes!$C$5:$C$187,A12)</f>
        <v>2651</v>
      </c>
      <c r="AI12" s="10" t="n">
        <f aca="false">SUMIFS(Communes!$AL$5:$AL$187,Communes!$C$5:$C$187,A12)</f>
        <v>2591</v>
      </c>
      <c r="AJ12" s="10" t="n">
        <f aca="false">SUMIFS(Communes!$AM$5:$AM$187,Communes!$C$5:$C$187,A12)</f>
        <v>881</v>
      </c>
      <c r="AK12" s="10" t="n">
        <f aca="false">SUMIFS(Communes!$AN$5:$AN$187,Communes!$C$5:$C$187,A12)</f>
        <v>770</v>
      </c>
      <c r="AL12" s="10" t="n">
        <f aca="false">SUMIFS(Communes!$AO$5:$AO$187,Communes!$C$5:$C$187,A12)</f>
        <v>2218</v>
      </c>
      <c r="AM12" s="10" t="n">
        <f aca="false">SUMIFS(Communes!$AP$5:$AP$187,Communes!$C$5:$C$187,A12)</f>
        <v>2289</v>
      </c>
      <c r="AN12" s="10" t="n">
        <f aca="false">F12+G12</f>
        <v>2289</v>
      </c>
      <c r="AO12" s="11" t="n">
        <f aca="false">IF(AN12&gt;0,F12/AN12,"")</f>
        <v>0.53822629969419</v>
      </c>
      <c r="AP12" s="11" t="n">
        <f aca="false">IF((M12+N12)&gt;0,M12/(M12+N12),"")</f>
        <v>0.578449053201082</v>
      </c>
      <c r="AQ12" s="12" t="n">
        <f aca="false">IF(AND(ISNUMBER(AO12),ISNUMBER(AP12)),(AO12-AP12)*100,"")</f>
        <v>-4.02227535068925</v>
      </c>
      <c r="AR12" s="12" t="n">
        <f aca="false">IF(D12&gt;0,F12/D12*1000,"")</f>
        <v>21.241745547337</v>
      </c>
      <c r="AS12" s="12" t="n">
        <f aca="false">IF(D12&gt;0,E12/D12*10000,"")</f>
        <v>1.55175089225676</v>
      </c>
      <c r="AT12" s="12" t="n">
        <f aca="false">IF(D12&gt;0,T12/D12*10000,"")</f>
        <v>9.48292211934689</v>
      </c>
      <c r="AU12" s="12" t="n">
        <f aca="false">IF(F12&gt;0,H12/F12*100,"")</f>
        <v>12.0941558441558</v>
      </c>
      <c r="AV12" s="9" t="str">
        <f aca="false">IF(AN12&gt;=100,"ok",IF(AN12&gt;0,"effectif faible (&lt;100)","aucune association"))</f>
        <v>ok</v>
      </c>
    </row>
    <row r="13" customFormat="false" ht="15" hidden="false" customHeight="false" outlineLevel="0" collapsed="false">
      <c r="A13" s="9" t="s">
        <v>216</v>
      </c>
      <c r="B13" s="9" t="n">
        <f aca="false">COUNTIF(Communes!$C$5:$C$187,A13)</f>
        <v>9</v>
      </c>
      <c r="C13" s="9" t="n">
        <f aca="false">COUNTIFS(Communes!$C$5:$C$187,A13,Communes!$H$5:$H$187,0)</f>
        <v>4</v>
      </c>
      <c r="D13" s="10" t="n">
        <f aca="false">SUMIFS(Communes!$G$5:$G$187,Communes!$C$5:$C$187,A13)</f>
        <v>62026</v>
      </c>
      <c r="E13" s="10" t="n">
        <f aca="false">SUMIFS(Communes!$H$5:$H$187,Communes!$C$5:$C$187,A13)</f>
        <v>19</v>
      </c>
      <c r="F13" s="10" t="n">
        <f aca="false">SUMIFS(Communes!$I$5:$I$187,Communes!$C$5:$C$187,A13)</f>
        <v>1544</v>
      </c>
      <c r="G13" s="10" t="n">
        <f aca="false">SUMIFS(Communes!$J$5:$J$187,Communes!$C$5:$C$187,A13)</f>
        <v>1407</v>
      </c>
      <c r="H13" s="10" t="n">
        <f aca="false">SUMIFS(Communes!$K$5:$K$187,Communes!$C$5:$C$187,A13)</f>
        <v>245</v>
      </c>
      <c r="I13" s="10" t="n">
        <f aca="false">SUMIFS(Communes!$L$5:$L$187,Communes!$C$5:$C$187,A13)</f>
        <v>14</v>
      </c>
      <c r="J13" s="10" t="n">
        <f aca="false">SUMIFS(Communes!$M$5:$M$187,Communes!$C$5:$C$187,A13)</f>
        <v>2</v>
      </c>
      <c r="K13" s="10" t="n">
        <f aca="false">SUMIFS(Communes!$N$5:$N$187,Communes!$C$5:$C$187,A13)</f>
        <v>7</v>
      </c>
      <c r="L13" s="10" t="n">
        <f aca="false">SUMIFS(Communes!$O$5:$O$187,Communes!$C$5:$C$187,A13)</f>
        <v>22</v>
      </c>
      <c r="M13" s="10" t="n">
        <f aca="false">SUMIFS(Communes!$P$5:$P$187,Communes!$C$5:$C$187,A13)</f>
        <v>2852</v>
      </c>
      <c r="N13" s="10" t="n">
        <f aca="false">SUMIFS(Communes!$Q$5:$Q$187,Communes!$C$5:$C$187,A13)</f>
        <v>3244</v>
      </c>
      <c r="O13" s="10" t="n">
        <f aca="false">SUMIFS(Communes!$R$5:$R$187,Communes!$C$5:$C$187,A13)</f>
        <v>3</v>
      </c>
      <c r="P13" s="10" t="n">
        <f aca="false">SUMIFS(Communes!$S$5:$S$187,Communes!$C$5:$C$187,A13)</f>
        <v>386</v>
      </c>
      <c r="Q13" s="10" t="n">
        <f aca="false">SUMIFS(Communes!$T$5:$T$187,Communes!$C$5:$C$187,A13)</f>
        <v>11</v>
      </c>
      <c r="R13" s="10" t="n">
        <f aca="false">SUMIFS(Communes!$U$5:$U$187,Communes!$C$5:$C$187,A13)</f>
        <v>19</v>
      </c>
      <c r="S13" s="10" t="n">
        <f aca="false">SUMIFS(Communes!$V$5:$V$187,Communes!$C$5:$C$187,A13)</f>
        <v>3</v>
      </c>
      <c r="T13" s="10" t="n">
        <f aca="false">SUMIFS(Communes!$W$5:$W$187,Communes!$C$5:$C$187,A13)</f>
        <v>87</v>
      </c>
      <c r="U13" s="10" t="n">
        <f aca="false">SUMIFS(Communes!$X$5:$X$187,Communes!$C$5:$C$187,A13)</f>
        <v>22</v>
      </c>
      <c r="V13" s="10" t="n">
        <f aca="false">SUMIFS(Communes!$Y$5:$Y$187,Communes!$C$5:$C$187,A13)</f>
        <v>4</v>
      </c>
      <c r="W13" s="10" t="n">
        <f aca="false">SUMIFS(Communes!$Z$5:$Z$187,Communes!$C$5:$C$187,A13)</f>
        <v>0</v>
      </c>
      <c r="X13" s="10" t="n">
        <f aca="false">SUMIFS(Communes!$AA$5:$AA$187,Communes!$C$5:$C$187,A13)</f>
        <v>1</v>
      </c>
      <c r="Y13" s="10" t="n">
        <f aca="false">SUMIFS(Communes!$AB$5:$AB$187,Communes!$C$5:$C$187,A13)</f>
        <v>0</v>
      </c>
      <c r="Z13" s="10" t="n">
        <f aca="false">SUMIFS(Communes!$AC$5:$AC$187,Communes!$C$5:$C$187,A13)</f>
        <v>4</v>
      </c>
      <c r="AA13" s="10" t="n">
        <f aca="false">SUMIFS(Communes!$AD$5:$AD$187,Communes!$C$5:$C$187,A13)</f>
        <v>0</v>
      </c>
      <c r="AB13" s="10" t="n">
        <f aca="false">SUMIFS(Communes!$AE$5:$AE$187,Communes!$C$5:$C$187,A13)</f>
        <v>20</v>
      </c>
      <c r="AC13" s="10" t="n">
        <f aca="false">SUMIFS(Communes!$AF$5:$AF$187,Communes!$C$5:$C$187,A13)</f>
        <v>21</v>
      </c>
      <c r="AD13" s="10" t="n">
        <f aca="false">SUMIFS(Communes!$AG$5:$AG$187,Communes!$C$5:$C$187,A13)</f>
        <v>22</v>
      </c>
      <c r="AE13" s="10" t="n">
        <f aca="false">SUMIFS(Communes!$AH$5:$AH$187,Communes!$C$5:$C$187,A13)</f>
        <v>19</v>
      </c>
      <c r="AF13" s="10" t="n">
        <f aca="false">SUMIFS(Communes!$AI$5:$AI$187,Communes!$C$5:$C$187,A13)</f>
        <v>17</v>
      </c>
      <c r="AG13" s="10" t="n">
        <f aca="false">SUMIFS(Communes!$AJ$5:$AJ$187,Communes!$C$5:$C$187,A13)</f>
        <v>4410</v>
      </c>
      <c r="AH13" s="10" t="n">
        <f aca="false">SUMIFS(Communes!$AK$5:$AK$187,Communes!$C$5:$C$187,A13)</f>
        <v>4772</v>
      </c>
      <c r="AI13" s="10" t="n">
        <f aca="false">SUMIFS(Communes!$AL$5:$AL$187,Communes!$C$5:$C$187,A13)</f>
        <v>4489</v>
      </c>
      <c r="AJ13" s="10" t="n">
        <f aca="false">SUMIFS(Communes!$AM$5:$AM$187,Communes!$C$5:$C$187,A13)</f>
        <v>4505</v>
      </c>
      <c r="AK13" s="10" t="n">
        <f aca="false">SUMIFS(Communes!$AN$5:$AN$187,Communes!$C$5:$C$187,A13)</f>
        <v>4888</v>
      </c>
      <c r="AL13" s="10" t="n">
        <f aca="false">SUMIFS(Communes!$AO$5:$AO$187,Communes!$C$5:$C$187,A13)</f>
        <v>6096</v>
      </c>
      <c r="AM13" s="10" t="n">
        <f aca="false">SUMIFS(Communes!$AP$5:$AP$187,Communes!$C$5:$C$187,A13)</f>
        <v>2951</v>
      </c>
      <c r="AN13" s="10" t="n">
        <f aca="false">F13+G13</f>
        <v>2951</v>
      </c>
      <c r="AO13" s="11" t="n">
        <f aca="false">IF(AN13&gt;0,F13/AN13,"")</f>
        <v>0.523212470349034</v>
      </c>
      <c r="AP13" s="11" t="n">
        <f aca="false">IF((M13+N13)&gt;0,M13/(M13+N13),"")</f>
        <v>0.467847769028871</v>
      </c>
      <c r="AQ13" s="12" t="n">
        <f aca="false">IF(AND(ISNUMBER(AO13),ISNUMBER(AP13)),(AO13-AP13)*100,"")</f>
        <v>5.53647013201628</v>
      </c>
      <c r="AR13" s="12" t="n">
        <f aca="false">IF(D13&gt;0,F13/D13*1000,"")</f>
        <v>24.8927868958179</v>
      </c>
      <c r="AS13" s="12" t="n">
        <f aca="false">IF(D13&gt;0,E13/D13*10000,"")</f>
        <v>3.06323154806049</v>
      </c>
      <c r="AT13" s="12" t="n">
        <f aca="false">IF(D13&gt;0,T13/D13*10000,"")</f>
        <v>14.0263760358559</v>
      </c>
      <c r="AU13" s="12" t="n">
        <f aca="false">IF(F13&gt;0,H13/F13*100,"")</f>
        <v>15.8678756476684</v>
      </c>
      <c r="AV13" s="9" t="str">
        <f aca="false">IF(AN13&gt;=100,"ok",IF(AN13&gt;0,"effectif faible (&lt;100)","aucune association"))</f>
        <v>ok</v>
      </c>
    </row>
    <row r="14" customFormat="false" ht="15" hidden="false" customHeight="false" outlineLevel="0" collapsed="false">
      <c r="A14" s="9" t="s">
        <v>278</v>
      </c>
      <c r="B14" s="9" t="n">
        <f aca="false">COUNTIF(Communes!$C$5:$C$187,A14)</f>
        <v>3</v>
      </c>
      <c r="C14" s="9" t="n">
        <f aca="false">COUNTIFS(Communes!$C$5:$C$187,A14,Communes!$H$5:$H$187,0)</f>
        <v>0</v>
      </c>
      <c r="D14" s="10" t="n">
        <f aca="false">SUMIFS(Communes!$G$5:$G$187,Communes!$C$5:$C$187,A14)</f>
        <v>58806</v>
      </c>
      <c r="E14" s="10" t="n">
        <f aca="false">SUMIFS(Communes!$H$5:$H$187,Communes!$C$5:$C$187,A14)</f>
        <v>26</v>
      </c>
      <c r="F14" s="10" t="n">
        <f aca="false">SUMIFS(Communes!$I$5:$I$187,Communes!$C$5:$C$187,A14)</f>
        <v>2671</v>
      </c>
      <c r="G14" s="10" t="n">
        <f aca="false">SUMIFS(Communes!$J$5:$J$187,Communes!$C$5:$C$187,A14)</f>
        <v>2981</v>
      </c>
      <c r="H14" s="10" t="n">
        <f aca="false">SUMIFS(Communes!$K$5:$K$187,Communes!$C$5:$C$187,A14)</f>
        <v>392</v>
      </c>
      <c r="I14" s="10" t="n">
        <f aca="false">SUMIFS(Communes!$L$5:$L$187,Communes!$C$5:$C$187,A14)</f>
        <v>62</v>
      </c>
      <c r="J14" s="10" t="n">
        <f aca="false">SUMIFS(Communes!$M$5:$M$187,Communes!$C$5:$C$187,A14)</f>
        <v>3</v>
      </c>
      <c r="K14" s="10" t="n">
        <f aca="false">SUMIFS(Communes!$N$5:$N$187,Communes!$C$5:$C$187,A14)</f>
        <v>5</v>
      </c>
      <c r="L14" s="10" t="n">
        <f aca="false">SUMIFS(Communes!$O$5:$O$187,Communes!$C$5:$C$187,A14)</f>
        <v>25</v>
      </c>
      <c r="M14" s="10" t="n">
        <f aca="false">SUMIFS(Communes!$P$5:$P$187,Communes!$C$5:$C$187,A14)</f>
        <v>2309</v>
      </c>
      <c r="N14" s="10" t="n">
        <f aca="false">SUMIFS(Communes!$Q$5:$Q$187,Communes!$C$5:$C$187,A14)</f>
        <v>2768</v>
      </c>
      <c r="O14" s="10" t="n">
        <f aca="false">SUMIFS(Communes!$R$5:$R$187,Communes!$C$5:$C$187,A14)</f>
        <v>1</v>
      </c>
      <c r="P14" s="10" t="n">
        <f aca="false">SUMIFS(Communes!$S$5:$S$187,Communes!$C$5:$C$187,A14)</f>
        <v>88</v>
      </c>
      <c r="Q14" s="10" t="n">
        <f aca="false">SUMIFS(Communes!$T$5:$T$187,Communes!$C$5:$C$187,A14)</f>
        <v>4</v>
      </c>
      <c r="R14" s="10" t="n">
        <f aca="false">SUMIFS(Communes!$U$5:$U$187,Communes!$C$5:$C$187,A14)</f>
        <v>27</v>
      </c>
      <c r="S14" s="10" t="n">
        <f aca="false">SUMIFS(Communes!$V$5:$V$187,Communes!$C$5:$C$187,A14)</f>
        <v>1</v>
      </c>
      <c r="T14" s="10" t="n">
        <f aca="false">SUMIFS(Communes!$W$5:$W$187,Communes!$C$5:$C$187,A14)</f>
        <v>38</v>
      </c>
      <c r="U14" s="10" t="n">
        <f aca="false">SUMIFS(Communes!$X$5:$X$187,Communes!$C$5:$C$187,A14)</f>
        <v>17</v>
      </c>
      <c r="V14" s="10" t="n">
        <f aca="false">SUMIFS(Communes!$Y$5:$Y$187,Communes!$C$5:$C$187,A14)</f>
        <v>1</v>
      </c>
      <c r="W14" s="10" t="n">
        <f aca="false">SUMIFS(Communes!$Z$5:$Z$187,Communes!$C$5:$C$187,A14)</f>
        <v>0</v>
      </c>
      <c r="X14" s="10" t="n">
        <f aca="false">SUMIFS(Communes!$AA$5:$AA$187,Communes!$C$5:$C$187,A14)</f>
        <v>1</v>
      </c>
      <c r="Y14" s="10" t="n">
        <f aca="false">SUMIFS(Communes!$AB$5:$AB$187,Communes!$C$5:$C$187,A14)</f>
        <v>1</v>
      </c>
      <c r="Z14" s="10" t="n">
        <f aca="false">SUMIFS(Communes!$AC$5:$AC$187,Communes!$C$5:$C$187,A14)</f>
        <v>1</v>
      </c>
      <c r="AA14" s="10" t="n">
        <f aca="false">SUMIFS(Communes!$AD$5:$AD$187,Communes!$C$5:$C$187,A14)</f>
        <v>0</v>
      </c>
      <c r="AB14" s="10" t="n">
        <f aca="false">SUMIFS(Communes!$AE$5:$AE$187,Communes!$C$5:$C$187,A14)</f>
        <v>22</v>
      </c>
      <c r="AC14" s="10" t="n">
        <f aca="false">SUMIFS(Communes!$AF$5:$AF$187,Communes!$C$5:$C$187,A14)</f>
        <v>22</v>
      </c>
      <c r="AD14" s="10" t="n">
        <f aca="false">SUMIFS(Communes!$AG$5:$AG$187,Communes!$C$5:$C$187,A14)</f>
        <v>22</v>
      </c>
      <c r="AE14" s="10" t="n">
        <f aca="false">SUMIFS(Communes!$AH$5:$AH$187,Communes!$C$5:$C$187,A14)</f>
        <v>21</v>
      </c>
      <c r="AF14" s="10" t="n">
        <f aca="false">SUMIFS(Communes!$AI$5:$AI$187,Communes!$C$5:$C$187,A14)</f>
        <v>24</v>
      </c>
      <c r="AG14" s="10" t="n">
        <f aca="false">SUMIFS(Communes!$AJ$5:$AJ$187,Communes!$C$5:$C$187,A14)</f>
        <v>5344</v>
      </c>
      <c r="AH14" s="10" t="n">
        <f aca="false">SUMIFS(Communes!$AK$5:$AK$187,Communes!$C$5:$C$187,A14)</f>
        <v>4792</v>
      </c>
      <c r="AI14" s="10" t="n">
        <f aca="false">SUMIFS(Communes!$AL$5:$AL$187,Communes!$C$5:$C$187,A14)</f>
        <v>4600</v>
      </c>
      <c r="AJ14" s="10" t="n">
        <f aca="false">SUMIFS(Communes!$AM$5:$AM$187,Communes!$C$5:$C$187,A14)</f>
        <v>3947</v>
      </c>
      <c r="AK14" s="10" t="n">
        <f aca="false">SUMIFS(Communes!$AN$5:$AN$187,Communes!$C$5:$C$187,A14)</f>
        <v>4495</v>
      </c>
      <c r="AL14" s="10" t="n">
        <f aca="false">SUMIFS(Communes!$AO$5:$AO$187,Communes!$C$5:$C$187,A14)</f>
        <v>5077</v>
      </c>
      <c r="AM14" s="10" t="n">
        <f aca="false">SUMIFS(Communes!$AP$5:$AP$187,Communes!$C$5:$C$187,A14)</f>
        <v>5652</v>
      </c>
      <c r="AN14" s="10" t="n">
        <f aca="false">F14+G14</f>
        <v>5652</v>
      </c>
      <c r="AO14" s="11" t="n">
        <f aca="false">IF(AN14&gt;0,F14/AN14,"")</f>
        <v>0.472576079263977</v>
      </c>
      <c r="AP14" s="11" t="n">
        <f aca="false">IF((M14+N14)&gt;0,M14/(M14+N14),"")</f>
        <v>0.454796139452433</v>
      </c>
      <c r="AQ14" s="12" t="n">
        <f aca="false">IF(AND(ISNUMBER(AO14),ISNUMBER(AP14)),(AO14-AP14)*100,"")</f>
        <v>1.77799398115449</v>
      </c>
      <c r="AR14" s="12" t="n">
        <f aca="false">IF(D14&gt;0,F14/D14*1000,"")</f>
        <v>45.4205353195252</v>
      </c>
      <c r="AS14" s="12" t="n">
        <f aca="false">IF(D14&gt;0,E14/D14*10000,"")</f>
        <v>4.42131755263068</v>
      </c>
      <c r="AT14" s="12" t="n">
        <f aca="false">IF(D14&gt;0,T14/D14*10000,"")</f>
        <v>6.46192565384485</v>
      </c>
      <c r="AU14" s="12" t="n">
        <f aca="false">IF(F14&gt;0,H14/F14*100,"")</f>
        <v>14.6761512542119</v>
      </c>
      <c r="AV14" s="9" t="str">
        <f aca="false">IF(AN14&gt;=100,"ok",IF(AN14&gt;0,"effectif faible (&lt;100)","aucune association"))</f>
        <v>ok</v>
      </c>
    </row>
    <row r="15" customFormat="false" ht="15" hidden="false" customHeight="false" outlineLevel="0" collapsed="false">
      <c r="A15" s="9" t="s">
        <v>155</v>
      </c>
      <c r="B15" s="9" t="n">
        <f aca="false">COUNTIF(Communes!$C$5:$C$187,A15)</f>
        <v>15</v>
      </c>
      <c r="C15" s="9" t="n">
        <f aca="false">COUNTIFS(Communes!$C$5:$C$187,A15,Communes!$H$5:$H$187,0)</f>
        <v>5</v>
      </c>
      <c r="D15" s="10" t="n">
        <f aca="false">SUMIFS(Communes!$G$5:$G$187,Communes!$C$5:$C$187,A15)</f>
        <v>65498</v>
      </c>
      <c r="E15" s="10" t="n">
        <f aca="false">SUMIFS(Communes!$H$5:$H$187,Communes!$C$5:$C$187,A15)</f>
        <v>51</v>
      </c>
      <c r="F15" s="10" t="n">
        <f aca="false">SUMIFS(Communes!$I$5:$I$187,Communes!$C$5:$C$187,A15)</f>
        <v>3616</v>
      </c>
      <c r="G15" s="10" t="n">
        <f aca="false">SUMIFS(Communes!$J$5:$J$187,Communes!$C$5:$C$187,A15)</f>
        <v>5060</v>
      </c>
      <c r="H15" s="10" t="n">
        <f aca="false">SUMIFS(Communes!$K$5:$K$187,Communes!$C$5:$C$187,A15)</f>
        <v>852</v>
      </c>
      <c r="I15" s="10" t="n">
        <f aca="false">SUMIFS(Communes!$L$5:$L$187,Communes!$C$5:$C$187,A15)</f>
        <v>61</v>
      </c>
      <c r="J15" s="10" t="n">
        <f aca="false">SUMIFS(Communes!$M$5:$M$187,Communes!$C$5:$C$187,A15)</f>
        <v>17</v>
      </c>
      <c r="K15" s="10" t="n">
        <f aca="false">SUMIFS(Communes!$N$5:$N$187,Communes!$C$5:$C$187,A15)</f>
        <v>9</v>
      </c>
      <c r="L15" s="10" t="n">
        <f aca="false">SUMIFS(Communes!$O$5:$O$187,Communes!$C$5:$C$187,A15)</f>
        <v>50</v>
      </c>
      <c r="M15" s="10" t="n">
        <f aca="false">SUMIFS(Communes!$P$5:$P$187,Communes!$C$5:$C$187,A15)</f>
        <v>3373</v>
      </c>
      <c r="N15" s="10" t="n">
        <f aca="false">SUMIFS(Communes!$Q$5:$Q$187,Communes!$C$5:$C$187,A15)</f>
        <v>4993</v>
      </c>
      <c r="O15" s="10" t="n">
        <f aca="false">SUMIFS(Communes!$R$5:$R$187,Communes!$C$5:$C$187,A15)</f>
        <v>8</v>
      </c>
      <c r="P15" s="10" t="n">
        <f aca="false">SUMIFS(Communes!$S$5:$S$187,Communes!$C$5:$C$187,A15)</f>
        <v>1509</v>
      </c>
      <c r="Q15" s="10" t="n">
        <f aca="false">SUMIFS(Communes!$T$5:$T$187,Communes!$C$5:$C$187,A15)</f>
        <v>48</v>
      </c>
      <c r="R15" s="10" t="n">
        <f aca="false">SUMIFS(Communes!$U$5:$U$187,Communes!$C$5:$C$187,A15)</f>
        <v>53</v>
      </c>
      <c r="S15" s="10" t="n">
        <f aca="false">SUMIFS(Communes!$V$5:$V$187,Communes!$C$5:$C$187,A15)</f>
        <v>8</v>
      </c>
      <c r="T15" s="10" t="n">
        <f aca="false">SUMIFS(Communes!$W$5:$W$187,Communes!$C$5:$C$187,A15)</f>
        <v>115</v>
      </c>
      <c r="U15" s="10" t="n">
        <f aca="false">SUMIFS(Communes!$X$5:$X$187,Communes!$C$5:$C$187,A15)</f>
        <v>21</v>
      </c>
      <c r="V15" s="10" t="n">
        <f aca="false">SUMIFS(Communes!$Y$5:$Y$187,Communes!$C$5:$C$187,A15)</f>
        <v>3</v>
      </c>
      <c r="W15" s="10" t="n">
        <f aca="false">SUMIFS(Communes!$Z$5:$Z$187,Communes!$C$5:$C$187,A15)</f>
        <v>1</v>
      </c>
      <c r="X15" s="10" t="n">
        <f aca="false">SUMIFS(Communes!$AA$5:$AA$187,Communes!$C$5:$C$187,A15)</f>
        <v>3</v>
      </c>
      <c r="Y15" s="10" t="n">
        <f aca="false">SUMIFS(Communes!$AB$5:$AB$187,Communes!$C$5:$C$187,A15)</f>
        <v>3</v>
      </c>
      <c r="Z15" s="10" t="n">
        <f aca="false">SUMIFS(Communes!$AC$5:$AC$187,Communes!$C$5:$C$187,A15)</f>
        <v>2</v>
      </c>
      <c r="AA15" s="10" t="n">
        <f aca="false">SUMIFS(Communes!$AD$5:$AD$187,Communes!$C$5:$C$187,A15)</f>
        <v>0</v>
      </c>
      <c r="AB15" s="10" t="n">
        <f aca="false">SUMIFS(Communes!$AE$5:$AE$187,Communes!$C$5:$C$187,A15)</f>
        <v>46</v>
      </c>
      <c r="AC15" s="10" t="n">
        <f aca="false">SUMIFS(Communes!$AF$5:$AF$187,Communes!$C$5:$C$187,A15)</f>
        <v>53</v>
      </c>
      <c r="AD15" s="10" t="n">
        <f aca="false">SUMIFS(Communes!$AG$5:$AG$187,Communes!$C$5:$C$187,A15)</f>
        <v>54</v>
      </c>
      <c r="AE15" s="10" t="n">
        <f aca="false">SUMIFS(Communes!$AH$5:$AH$187,Communes!$C$5:$C$187,A15)</f>
        <v>51</v>
      </c>
      <c r="AF15" s="10" t="n">
        <f aca="false">SUMIFS(Communes!$AI$5:$AI$187,Communes!$C$5:$C$187,A15)</f>
        <v>53</v>
      </c>
      <c r="AG15" s="10" t="n">
        <f aca="false">SUMIFS(Communes!$AJ$5:$AJ$187,Communes!$C$5:$C$187,A15)</f>
        <v>6565</v>
      </c>
      <c r="AH15" s="10" t="n">
        <f aca="false">SUMIFS(Communes!$AK$5:$AK$187,Communes!$C$5:$C$187,A15)</f>
        <v>7253</v>
      </c>
      <c r="AI15" s="10" t="n">
        <f aca="false">SUMIFS(Communes!$AL$5:$AL$187,Communes!$C$5:$C$187,A15)</f>
        <v>6680</v>
      </c>
      <c r="AJ15" s="10" t="n">
        <f aca="false">SUMIFS(Communes!$AM$5:$AM$187,Communes!$C$5:$C$187,A15)</f>
        <v>7184</v>
      </c>
      <c r="AK15" s="10" t="n">
        <f aca="false">SUMIFS(Communes!$AN$5:$AN$187,Communes!$C$5:$C$187,A15)</f>
        <v>7194</v>
      </c>
      <c r="AL15" s="10" t="n">
        <f aca="false">SUMIFS(Communes!$AO$5:$AO$187,Communes!$C$5:$C$187,A15)</f>
        <v>8366</v>
      </c>
      <c r="AM15" s="10" t="n">
        <f aca="false">SUMIFS(Communes!$AP$5:$AP$187,Communes!$C$5:$C$187,A15)</f>
        <v>8676</v>
      </c>
      <c r="AN15" s="10" t="n">
        <f aca="false">F15+G15</f>
        <v>8676</v>
      </c>
      <c r="AO15" s="11" t="n">
        <f aca="false">IF(AN15&gt;0,F15/AN15,"")</f>
        <v>0.416781927155371</v>
      </c>
      <c r="AP15" s="11" t="n">
        <f aca="false">IF((M15+N15)&gt;0,M15/(M15+N15),"")</f>
        <v>0.403179536218025</v>
      </c>
      <c r="AQ15" s="12" t="n">
        <f aca="false">IF(AND(ISNUMBER(AO15),ISNUMBER(AP15)),(AO15-AP15)*100,"")</f>
        <v>1.36023909373458</v>
      </c>
      <c r="AR15" s="12" t="n">
        <f aca="false">IF(D15&gt;0,F15/D15*1000,"")</f>
        <v>55.2077926043543</v>
      </c>
      <c r="AS15" s="12" t="n">
        <f aca="false">IF(D15&gt;0,E15/D15*10000,"")</f>
        <v>7.78649729762741</v>
      </c>
      <c r="AT15" s="12" t="n">
        <f aca="false">IF(D15&gt;0,T15/D15*10000,"")</f>
        <v>17.5577880240618</v>
      </c>
      <c r="AU15" s="12" t="n">
        <f aca="false">IF(F15&gt;0,H15/F15*100,"")</f>
        <v>23.5619469026549</v>
      </c>
      <c r="AV15" s="9" t="str">
        <f aca="false">IF(AN15&gt;=100,"ok",IF(AN15&gt;0,"effectif faible (&lt;100)","aucune association"))</f>
        <v>ok</v>
      </c>
    </row>
    <row r="16" customFormat="false" ht="15" hidden="false" customHeight="false" outlineLevel="0" collapsed="false">
      <c r="A16" s="9" t="s">
        <v>115</v>
      </c>
      <c r="B16" s="9" t="n">
        <f aca="false">COUNTIF(Communes!$C$5:$C$187,A16)</f>
        <v>5</v>
      </c>
      <c r="C16" s="9" t="n">
        <f aca="false">COUNTIFS(Communes!$C$5:$C$187,A16,Communes!$H$5:$H$187,0)</f>
        <v>1</v>
      </c>
      <c r="D16" s="10" t="n">
        <f aca="false">SUMIFS(Communes!$G$5:$G$187,Communes!$C$5:$C$187,A16)</f>
        <v>56957</v>
      </c>
      <c r="E16" s="10" t="n">
        <f aca="false">SUMIFS(Communes!$H$5:$H$187,Communes!$C$5:$C$187,A16)</f>
        <v>28</v>
      </c>
      <c r="F16" s="10" t="n">
        <f aca="false">SUMIFS(Communes!$I$5:$I$187,Communes!$C$5:$C$187,A16)</f>
        <v>2251</v>
      </c>
      <c r="G16" s="10" t="n">
        <f aca="false">SUMIFS(Communes!$J$5:$J$187,Communes!$C$5:$C$187,A16)</f>
        <v>3644</v>
      </c>
      <c r="H16" s="10" t="n">
        <f aca="false">SUMIFS(Communes!$K$5:$K$187,Communes!$C$5:$C$187,A16)</f>
        <v>641</v>
      </c>
      <c r="I16" s="10" t="n">
        <f aca="false">SUMIFS(Communes!$L$5:$L$187,Communes!$C$5:$C$187,A16)</f>
        <v>38</v>
      </c>
      <c r="J16" s="10" t="n">
        <f aca="false">SUMIFS(Communes!$M$5:$M$187,Communes!$C$5:$C$187,A16)</f>
        <v>6</v>
      </c>
      <c r="K16" s="10" t="n">
        <f aca="false">SUMIFS(Communes!$N$5:$N$187,Communes!$C$5:$C$187,A16)</f>
        <v>5</v>
      </c>
      <c r="L16" s="10" t="n">
        <f aca="false">SUMIFS(Communes!$O$5:$O$187,Communes!$C$5:$C$187,A16)</f>
        <v>28</v>
      </c>
      <c r="M16" s="10" t="n">
        <f aca="false">SUMIFS(Communes!$P$5:$P$187,Communes!$C$5:$C$187,A16)</f>
        <v>2332</v>
      </c>
      <c r="N16" s="10" t="n">
        <f aca="false">SUMIFS(Communes!$Q$5:$Q$187,Communes!$C$5:$C$187,A16)</f>
        <v>4002</v>
      </c>
      <c r="O16" s="10" t="n">
        <f aca="false">SUMIFS(Communes!$R$5:$R$187,Communes!$C$5:$C$187,A16)</f>
        <v>2</v>
      </c>
      <c r="P16" s="10" t="n">
        <f aca="false">SUMIFS(Communes!$S$5:$S$187,Communes!$C$5:$C$187,A16)</f>
        <v>276</v>
      </c>
      <c r="Q16" s="10" t="n">
        <f aca="false">SUMIFS(Communes!$T$5:$T$187,Communes!$C$5:$C$187,A16)</f>
        <v>7</v>
      </c>
      <c r="R16" s="10" t="n">
        <f aca="false">SUMIFS(Communes!$U$5:$U$187,Communes!$C$5:$C$187,A16)</f>
        <v>29</v>
      </c>
      <c r="S16" s="10" t="n">
        <f aca="false">SUMIFS(Communes!$V$5:$V$187,Communes!$C$5:$C$187,A16)</f>
        <v>2</v>
      </c>
      <c r="T16" s="10" t="n">
        <f aca="false">SUMIFS(Communes!$W$5:$W$187,Communes!$C$5:$C$187,A16)</f>
        <v>59</v>
      </c>
      <c r="U16" s="10" t="n">
        <f aca="false">SUMIFS(Communes!$X$5:$X$187,Communes!$C$5:$C$187,A16)</f>
        <v>21</v>
      </c>
      <c r="V16" s="10" t="n">
        <f aca="false">SUMIFS(Communes!$Y$5:$Y$187,Communes!$C$5:$C$187,A16)</f>
        <v>2</v>
      </c>
      <c r="W16" s="10" t="n">
        <f aca="false">SUMIFS(Communes!$Z$5:$Z$187,Communes!$C$5:$C$187,A16)</f>
        <v>1</v>
      </c>
      <c r="X16" s="10" t="n">
        <f aca="false">SUMIFS(Communes!$AA$5:$AA$187,Communes!$C$5:$C$187,A16)</f>
        <v>2</v>
      </c>
      <c r="Y16" s="10" t="n">
        <f aca="false">SUMIFS(Communes!$AB$5:$AB$187,Communes!$C$5:$C$187,A16)</f>
        <v>3</v>
      </c>
      <c r="Z16" s="10" t="n">
        <f aca="false">SUMIFS(Communes!$AC$5:$AC$187,Communes!$C$5:$C$187,A16)</f>
        <v>1</v>
      </c>
      <c r="AA16" s="10" t="n">
        <f aca="false">SUMIFS(Communes!$AD$5:$AD$187,Communes!$C$5:$C$187,A16)</f>
        <v>0</v>
      </c>
      <c r="AB16" s="10" t="n">
        <f aca="false">SUMIFS(Communes!$AE$5:$AE$187,Communes!$C$5:$C$187,A16)</f>
        <v>22</v>
      </c>
      <c r="AC16" s="10" t="n">
        <f aca="false">SUMIFS(Communes!$AF$5:$AF$187,Communes!$C$5:$C$187,A16)</f>
        <v>25</v>
      </c>
      <c r="AD16" s="10" t="n">
        <f aca="false">SUMIFS(Communes!$AG$5:$AG$187,Communes!$C$5:$C$187,A16)</f>
        <v>26</v>
      </c>
      <c r="AE16" s="10" t="n">
        <f aca="false">SUMIFS(Communes!$AH$5:$AH$187,Communes!$C$5:$C$187,A16)</f>
        <v>28</v>
      </c>
      <c r="AF16" s="10" t="n">
        <f aca="false">SUMIFS(Communes!$AI$5:$AI$187,Communes!$C$5:$C$187,A16)</f>
        <v>29</v>
      </c>
      <c r="AG16" s="10" t="n">
        <f aca="false">SUMIFS(Communes!$AJ$5:$AJ$187,Communes!$C$5:$C$187,A16)</f>
        <v>4206</v>
      </c>
      <c r="AH16" s="10" t="n">
        <f aca="false">SUMIFS(Communes!$AK$5:$AK$187,Communes!$C$5:$C$187,A16)</f>
        <v>5029</v>
      </c>
      <c r="AI16" s="10" t="n">
        <f aca="false">SUMIFS(Communes!$AL$5:$AL$187,Communes!$C$5:$C$187,A16)</f>
        <v>4642</v>
      </c>
      <c r="AJ16" s="10" t="n">
        <f aca="false">SUMIFS(Communes!$AM$5:$AM$187,Communes!$C$5:$C$187,A16)</f>
        <v>5276</v>
      </c>
      <c r="AK16" s="10" t="n">
        <f aca="false">SUMIFS(Communes!$AN$5:$AN$187,Communes!$C$5:$C$187,A16)</f>
        <v>5969</v>
      </c>
      <c r="AL16" s="10" t="n">
        <f aca="false">SUMIFS(Communes!$AO$5:$AO$187,Communes!$C$5:$C$187,A16)</f>
        <v>6334</v>
      </c>
      <c r="AM16" s="10" t="n">
        <f aca="false">SUMIFS(Communes!$AP$5:$AP$187,Communes!$C$5:$C$187,A16)</f>
        <v>5895</v>
      </c>
      <c r="AN16" s="10" t="n">
        <f aca="false">F16+G16</f>
        <v>5895</v>
      </c>
      <c r="AO16" s="11" t="n">
        <f aca="false">IF(AN16&gt;0,F16/AN16,"")</f>
        <v>0.381849024597116</v>
      </c>
      <c r="AP16" s="11" t="n">
        <f aca="false">IF((M16+N16)&gt;0,M16/(M16+N16),"")</f>
        <v>0.368171771392485</v>
      </c>
      <c r="AQ16" s="12" t="n">
        <f aca="false">IF(AND(ISNUMBER(AO16),ISNUMBER(AP16)),(AO16-AP16)*100,"")</f>
        <v>1.36772532046312</v>
      </c>
      <c r="AR16" s="12" t="n">
        <f aca="false">IF(D16&gt;0,F16/D16*1000,"")</f>
        <v>39.5210421897221</v>
      </c>
      <c r="AS16" s="12" t="n">
        <f aca="false">IF(D16&gt;0,E16/D16*10000,"")</f>
        <v>4.91598925505206</v>
      </c>
      <c r="AT16" s="12" t="n">
        <f aca="false">IF(D16&gt;0,T16/D16*10000,"")</f>
        <v>10.358691644574</v>
      </c>
      <c r="AU16" s="12" t="n">
        <f aca="false">IF(F16&gt;0,H16/F16*100,"")</f>
        <v>28.4762327854287</v>
      </c>
      <c r="AV16" s="9" t="str">
        <f aca="false">IF(AN16&gt;=100,"ok",IF(AN16&gt;0,"effectif faible (&lt;100)","aucune association"))</f>
        <v>ok</v>
      </c>
    </row>
    <row r="17" customFormat="false" ht="15" hidden="false" customHeight="false" outlineLevel="0" collapsed="false">
      <c r="A17" s="9" t="s">
        <v>100</v>
      </c>
      <c r="B17" s="9" t="n">
        <f aca="false">COUNTIF(Communes!$C$5:$C$187,A17)</f>
        <v>31</v>
      </c>
      <c r="C17" s="9" t="n">
        <f aca="false">COUNTIFS(Communes!$C$5:$C$187,A17,Communes!$H$5:$H$187,0)</f>
        <v>22</v>
      </c>
      <c r="D17" s="10" t="n">
        <f aca="false">SUMIFS(Communes!$G$5:$G$187,Communes!$C$5:$C$187,A17)</f>
        <v>55447</v>
      </c>
      <c r="E17" s="10" t="n">
        <f aca="false">SUMIFS(Communes!$H$5:$H$187,Communes!$C$5:$C$187,A17)</f>
        <v>37</v>
      </c>
      <c r="F17" s="10" t="n">
        <f aca="false">SUMIFS(Communes!$I$5:$I$187,Communes!$C$5:$C$187,A17)</f>
        <v>3828</v>
      </c>
      <c r="G17" s="10" t="n">
        <f aca="false">SUMIFS(Communes!$J$5:$J$187,Communes!$C$5:$C$187,A17)</f>
        <v>5776</v>
      </c>
      <c r="H17" s="10" t="n">
        <f aca="false">SUMIFS(Communes!$K$5:$K$187,Communes!$C$5:$C$187,A17)</f>
        <v>724</v>
      </c>
      <c r="I17" s="10" t="n">
        <f aca="false">SUMIFS(Communes!$L$5:$L$187,Communes!$C$5:$C$187,A17)</f>
        <v>93</v>
      </c>
      <c r="J17" s="10" t="n">
        <f aca="false">SUMIFS(Communes!$M$5:$M$187,Communes!$C$5:$C$187,A17)</f>
        <v>12</v>
      </c>
      <c r="K17" s="10" t="n">
        <f aca="false">SUMIFS(Communes!$N$5:$N$187,Communes!$C$5:$C$187,A17)</f>
        <v>5</v>
      </c>
      <c r="L17" s="10" t="n">
        <f aca="false">SUMIFS(Communes!$O$5:$O$187,Communes!$C$5:$C$187,A17)</f>
        <v>39</v>
      </c>
      <c r="M17" s="10" t="n">
        <f aca="false">SUMIFS(Communes!$P$5:$P$187,Communes!$C$5:$C$187,A17)</f>
        <v>3576</v>
      </c>
      <c r="N17" s="10" t="n">
        <f aca="false">SUMIFS(Communes!$Q$5:$Q$187,Communes!$C$5:$C$187,A17)</f>
        <v>6109</v>
      </c>
      <c r="O17" s="10" t="n">
        <f aca="false">SUMIFS(Communes!$R$5:$R$187,Communes!$C$5:$C$187,A17)</f>
        <v>6</v>
      </c>
      <c r="P17" s="10" t="n">
        <f aca="false">SUMIFS(Communes!$S$5:$S$187,Communes!$C$5:$C$187,A17)</f>
        <v>804</v>
      </c>
      <c r="Q17" s="10" t="n">
        <f aca="false">SUMIFS(Communes!$T$5:$T$187,Communes!$C$5:$C$187,A17)</f>
        <v>49</v>
      </c>
      <c r="R17" s="10" t="n">
        <f aca="false">SUMIFS(Communes!$U$5:$U$187,Communes!$C$5:$C$187,A17)</f>
        <v>37</v>
      </c>
      <c r="S17" s="10" t="n">
        <f aca="false">SUMIFS(Communes!$V$5:$V$187,Communes!$C$5:$C$187,A17)</f>
        <v>5</v>
      </c>
      <c r="T17" s="10" t="n">
        <f aca="false">SUMIFS(Communes!$W$5:$W$187,Communes!$C$5:$C$187,A17)</f>
        <v>135</v>
      </c>
      <c r="U17" s="10" t="n">
        <f aca="false">SUMIFS(Communes!$X$5:$X$187,Communes!$C$5:$C$187,A17)</f>
        <v>26</v>
      </c>
      <c r="V17" s="10" t="n">
        <f aca="false">SUMIFS(Communes!$Y$5:$Y$187,Communes!$C$5:$C$187,A17)</f>
        <v>1</v>
      </c>
      <c r="W17" s="10" t="n">
        <f aca="false">SUMIFS(Communes!$Z$5:$Z$187,Communes!$C$5:$C$187,A17)</f>
        <v>4</v>
      </c>
      <c r="X17" s="10" t="n">
        <f aca="false">SUMIFS(Communes!$AA$5:$AA$187,Communes!$C$5:$C$187,A17)</f>
        <v>3</v>
      </c>
      <c r="Y17" s="10" t="n">
        <f aca="false">SUMIFS(Communes!$AB$5:$AB$187,Communes!$C$5:$C$187,A17)</f>
        <v>3</v>
      </c>
      <c r="Z17" s="10" t="n">
        <f aca="false">SUMIFS(Communes!$AC$5:$AC$187,Communes!$C$5:$C$187,A17)</f>
        <v>1</v>
      </c>
      <c r="AA17" s="10" t="n">
        <f aca="false">SUMIFS(Communes!$AD$5:$AD$187,Communes!$C$5:$C$187,A17)</f>
        <v>0</v>
      </c>
      <c r="AB17" s="10" t="n">
        <f aca="false">SUMIFS(Communes!$AE$5:$AE$187,Communes!$C$5:$C$187,A17)</f>
        <v>45</v>
      </c>
      <c r="AC17" s="10" t="n">
        <f aca="false">SUMIFS(Communes!$AF$5:$AF$187,Communes!$C$5:$C$187,A17)</f>
        <v>45</v>
      </c>
      <c r="AD17" s="10" t="n">
        <f aca="false">SUMIFS(Communes!$AG$5:$AG$187,Communes!$C$5:$C$187,A17)</f>
        <v>40</v>
      </c>
      <c r="AE17" s="10" t="n">
        <f aca="false">SUMIFS(Communes!$AH$5:$AH$187,Communes!$C$5:$C$187,A17)</f>
        <v>39</v>
      </c>
      <c r="AF17" s="10" t="n">
        <f aca="false">SUMIFS(Communes!$AI$5:$AI$187,Communes!$C$5:$C$187,A17)</f>
        <v>37</v>
      </c>
      <c r="AG17" s="10" t="n">
        <f aca="false">SUMIFS(Communes!$AJ$5:$AJ$187,Communes!$C$5:$C$187,A17)</f>
        <v>8688</v>
      </c>
      <c r="AH17" s="10" t="n">
        <f aca="false">SUMIFS(Communes!$AK$5:$AK$187,Communes!$C$5:$C$187,A17)</f>
        <v>9052</v>
      </c>
      <c r="AI17" s="10" t="n">
        <f aca="false">SUMIFS(Communes!$AL$5:$AL$187,Communes!$C$5:$C$187,A17)</f>
        <v>7695</v>
      </c>
      <c r="AJ17" s="10" t="n">
        <f aca="false">SUMIFS(Communes!$AM$5:$AM$187,Communes!$C$5:$C$187,A17)</f>
        <v>6884</v>
      </c>
      <c r="AK17" s="10" t="n">
        <f aca="false">SUMIFS(Communes!$AN$5:$AN$187,Communes!$C$5:$C$187,A17)</f>
        <v>7626</v>
      </c>
      <c r="AL17" s="10" t="n">
        <f aca="false">SUMIFS(Communes!$AO$5:$AO$187,Communes!$C$5:$C$187,A17)</f>
        <v>9685</v>
      </c>
      <c r="AM17" s="10" t="n">
        <f aca="false">SUMIFS(Communes!$AP$5:$AP$187,Communes!$C$5:$C$187,A17)</f>
        <v>9604</v>
      </c>
      <c r="AN17" s="10" t="n">
        <f aca="false">F17+G17</f>
        <v>9604</v>
      </c>
      <c r="AO17" s="11" t="n">
        <f aca="false">IF(AN17&gt;0,F17/AN17,"")</f>
        <v>0.398583923365265</v>
      </c>
      <c r="AP17" s="11" t="n">
        <f aca="false">IF((M17+N17)&gt;0,M17/(M17+N17),"")</f>
        <v>0.369230769230769</v>
      </c>
      <c r="AQ17" s="12" t="n">
        <f aca="false">IF(AND(ISNUMBER(AO17),ISNUMBER(AP17)),(AO17-AP17)*100,"")</f>
        <v>2.93531541344952</v>
      </c>
      <c r="AR17" s="12" t="n">
        <f aca="false">IF(D17&gt;0,F17/D17*1000,"")</f>
        <v>69.0389020145364</v>
      </c>
      <c r="AS17" s="12" t="n">
        <f aca="false">IF(D17&gt;0,E17/D17*10000,"")</f>
        <v>6.67303911843743</v>
      </c>
      <c r="AT17" s="12" t="n">
        <f aca="false">IF(D17&gt;0,T17/D17*10000,"")</f>
        <v>24.3475751618663</v>
      </c>
      <c r="AU17" s="12" t="n">
        <f aca="false">IF(F17&gt;0,H17/F17*100,"")</f>
        <v>18.9132706374086</v>
      </c>
      <c r="AV17" s="9" t="str">
        <f aca="false">IF(AN17&gt;=100,"ok",IF(AN17&gt;0,"effectif faible (&lt;100)","aucune association"))</f>
        <v>ok</v>
      </c>
    </row>
    <row r="18" customFormat="false" ht="15" hidden="false" customHeight="false" outlineLevel="0" collapsed="false">
      <c r="A18" s="9" t="s">
        <v>140</v>
      </c>
      <c r="B18" s="9" t="n">
        <f aca="false">COUNTIF(Communes!$C$5:$C$187,A18)</f>
        <v>10</v>
      </c>
      <c r="C18" s="9" t="n">
        <f aca="false">COUNTIFS(Communes!$C$5:$C$187,A18,Communes!$H$5:$H$187,0)</f>
        <v>3</v>
      </c>
      <c r="D18" s="10" t="n">
        <f aca="false">SUMIFS(Communes!$G$5:$G$187,Communes!$C$5:$C$187,A18)</f>
        <v>57252</v>
      </c>
      <c r="E18" s="10" t="n">
        <f aca="false">SUMIFS(Communes!$H$5:$H$187,Communes!$C$5:$C$187,A18)</f>
        <v>37</v>
      </c>
      <c r="F18" s="10" t="n">
        <f aca="false">SUMIFS(Communes!$I$5:$I$187,Communes!$C$5:$C$187,A18)</f>
        <v>5849</v>
      </c>
      <c r="G18" s="10" t="n">
        <f aca="false">SUMIFS(Communes!$J$5:$J$187,Communes!$C$5:$C$187,A18)</f>
        <v>9117</v>
      </c>
      <c r="H18" s="10" t="n">
        <f aca="false">SUMIFS(Communes!$K$5:$K$187,Communes!$C$5:$C$187,A18)</f>
        <v>1001</v>
      </c>
      <c r="I18" s="10" t="n">
        <f aca="false">SUMIFS(Communes!$L$5:$L$187,Communes!$C$5:$C$187,A18)</f>
        <v>78</v>
      </c>
      <c r="J18" s="10" t="n">
        <f aca="false">SUMIFS(Communes!$M$5:$M$187,Communes!$C$5:$C$187,A18)</f>
        <v>4</v>
      </c>
      <c r="K18" s="10" t="n">
        <f aca="false">SUMIFS(Communes!$N$5:$N$187,Communes!$C$5:$C$187,A18)</f>
        <v>12</v>
      </c>
      <c r="L18" s="10" t="n">
        <f aca="false">SUMIFS(Communes!$O$5:$O$187,Communes!$C$5:$C$187,A18)</f>
        <v>39</v>
      </c>
      <c r="M18" s="10" t="n">
        <f aca="false">SUMIFS(Communes!$P$5:$P$187,Communes!$C$5:$C$187,A18)</f>
        <v>5798</v>
      </c>
      <c r="N18" s="10" t="n">
        <f aca="false">SUMIFS(Communes!$Q$5:$Q$187,Communes!$C$5:$C$187,A18)</f>
        <v>9326</v>
      </c>
      <c r="O18" s="10" t="n">
        <f aca="false">SUMIFS(Communes!$R$5:$R$187,Communes!$C$5:$C$187,A18)</f>
        <v>10</v>
      </c>
      <c r="P18" s="10" t="n">
        <f aca="false">SUMIFS(Communes!$S$5:$S$187,Communes!$C$5:$C$187,A18)</f>
        <v>2048</v>
      </c>
      <c r="Q18" s="10" t="n">
        <f aca="false">SUMIFS(Communes!$T$5:$T$187,Communes!$C$5:$C$187,A18)</f>
        <v>53</v>
      </c>
      <c r="R18" s="10" t="n">
        <f aca="false">SUMIFS(Communes!$U$5:$U$187,Communes!$C$5:$C$187,A18)</f>
        <v>37</v>
      </c>
      <c r="S18" s="10" t="n">
        <f aca="false">SUMIFS(Communes!$V$5:$V$187,Communes!$C$5:$C$187,A18)</f>
        <v>10</v>
      </c>
      <c r="T18" s="10" t="n">
        <f aca="false">SUMIFS(Communes!$W$5:$W$187,Communes!$C$5:$C$187,A18)</f>
        <v>93</v>
      </c>
      <c r="U18" s="10" t="n">
        <f aca="false">SUMIFS(Communes!$X$5:$X$187,Communes!$C$5:$C$187,A18)</f>
        <v>12</v>
      </c>
      <c r="V18" s="10" t="n">
        <f aca="false">SUMIFS(Communes!$Y$5:$Y$187,Communes!$C$5:$C$187,A18)</f>
        <v>1</v>
      </c>
      <c r="W18" s="10" t="n">
        <f aca="false">SUMIFS(Communes!$Z$5:$Z$187,Communes!$C$5:$C$187,A18)</f>
        <v>1</v>
      </c>
      <c r="X18" s="10" t="n">
        <f aca="false">SUMIFS(Communes!$AA$5:$AA$187,Communes!$C$5:$C$187,A18)</f>
        <v>3</v>
      </c>
      <c r="Y18" s="10" t="n">
        <f aca="false">SUMIFS(Communes!$AB$5:$AB$187,Communes!$C$5:$C$187,A18)</f>
        <v>1</v>
      </c>
      <c r="Z18" s="10" t="n">
        <f aca="false">SUMIFS(Communes!$AC$5:$AC$187,Communes!$C$5:$C$187,A18)</f>
        <v>3</v>
      </c>
      <c r="AA18" s="10" t="n">
        <f aca="false">SUMIFS(Communes!$AD$5:$AD$187,Communes!$C$5:$C$187,A18)</f>
        <v>0</v>
      </c>
      <c r="AB18" s="10" t="n">
        <f aca="false">SUMIFS(Communes!$AE$5:$AE$187,Communes!$C$5:$C$187,A18)</f>
        <v>36</v>
      </c>
      <c r="AC18" s="10" t="n">
        <f aca="false">SUMIFS(Communes!$AF$5:$AF$187,Communes!$C$5:$C$187,A18)</f>
        <v>38</v>
      </c>
      <c r="AD18" s="10" t="n">
        <f aca="false">SUMIFS(Communes!$AG$5:$AG$187,Communes!$C$5:$C$187,A18)</f>
        <v>38</v>
      </c>
      <c r="AE18" s="10" t="n">
        <f aca="false">SUMIFS(Communes!$AH$5:$AH$187,Communes!$C$5:$C$187,A18)</f>
        <v>33</v>
      </c>
      <c r="AF18" s="10" t="n">
        <f aca="false">SUMIFS(Communes!$AI$5:$AI$187,Communes!$C$5:$C$187,A18)</f>
        <v>37</v>
      </c>
      <c r="AG18" s="10" t="n">
        <f aca="false">SUMIFS(Communes!$AJ$5:$AJ$187,Communes!$C$5:$C$187,A18)</f>
        <v>11868</v>
      </c>
      <c r="AH18" s="10" t="n">
        <f aca="false">SUMIFS(Communes!$AK$5:$AK$187,Communes!$C$5:$C$187,A18)</f>
        <v>15156</v>
      </c>
      <c r="AI18" s="10" t="n">
        <f aca="false">SUMIFS(Communes!$AL$5:$AL$187,Communes!$C$5:$C$187,A18)</f>
        <v>12881</v>
      </c>
      <c r="AJ18" s="10" t="n">
        <f aca="false">SUMIFS(Communes!$AM$5:$AM$187,Communes!$C$5:$C$187,A18)</f>
        <v>12148</v>
      </c>
      <c r="AK18" s="10" t="n">
        <f aca="false">SUMIFS(Communes!$AN$5:$AN$187,Communes!$C$5:$C$187,A18)</f>
        <v>12887</v>
      </c>
      <c r="AL18" s="10" t="n">
        <f aca="false">SUMIFS(Communes!$AO$5:$AO$187,Communes!$C$5:$C$187,A18)</f>
        <v>15124</v>
      </c>
      <c r="AM18" s="10" t="n">
        <f aca="false">SUMIFS(Communes!$AP$5:$AP$187,Communes!$C$5:$C$187,A18)</f>
        <v>14966</v>
      </c>
      <c r="AN18" s="10" t="n">
        <f aca="false">F18+G18</f>
        <v>14966</v>
      </c>
      <c r="AO18" s="11" t="n">
        <f aca="false">IF(AN18&gt;0,F18/AN18,"")</f>
        <v>0.390819190164373</v>
      </c>
      <c r="AP18" s="11" t="n">
        <f aca="false">IF((M18+N18)&gt;0,M18/(M18+N18),"")</f>
        <v>0.383364189367892</v>
      </c>
      <c r="AQ18" s="12" t="n">
        <f aca="false">IF(AND(ISNUMBER(AO18),ISNUMBER(AP18)),(AO18-AP18)*100,"")</f>
        <v>0.745500079648048</v>
      </c>
      <c r="AR18" s="12" t="n">
        <f aca="false">IF(D18&gt;0,F18/D18*1000,"")</f>
        <v>102.162369873542</v>
      </c>
      <c r="AS18" s="12" t="n">
        <f aca="false">IF(D18&gt;0,E18/D18*10000,"")</f>
        <v>6.46265632641654</v>
      </c>
      <c r="AT18" s="12" t="n">
        <f aca="false">IF(D18&gt;0,T18/D18*10000,"")</f>
        <v>16.2439740096416</v>
      </c>
      <c r="AU18" s="12" t="n">
        <f aca="false">IF(F18&gt;0,H18/F18*100,"")</f>
        <v>17.1140365874508</v>
      </c>
      <c r="AV18" s="9" t="str">
        <f aca="false">IF(AN18&gt;=100,"ok",IF(AN18&gt;0,"effectif faible (&lt;100)","aucune association"))</f>
        <v>ok</v>
      </c>
    </row>
    <row r="19" customFormat="false" ht="15" hidden="false" customHeight="false" outlineLevel="0" collapsed="false">
      <c r="A19" s="9" t="s">
        <v>428</v>
      </c>
      <c r="B19" s="9" t="n">
        <f aca="false">COUNTIF(Communes!$C$5:$C$187,A19)</f>
        <v>1</v>
      </c>
      <c r="C19" s="9" t="n">
        <f aca="false">COUNTIFS(Communes!$C$5:$C$187,A19,Communes!$H$5:$H$187,0)</f>
        <v>0</v>
      </c>
      <c r="D19" s="10" t="n">
        <f aca="false">SUMIFS(Communes!$G$5:$G$187,Communes!$C$5:$C$187,A19)</f>
        <v>59173</v>
      </c>
      <c r="E19" s="10" t="n">
        <f aca="false">SUMIFS(Communes!$H$5:$H$187,Communes!$C$5:$C$187,A19)</f>
        <v>23</v>
      </c>
      <c r="F19" s="10" t="n">
        <f aca="false">SUMIFS(Communes!$I$5:$I$187,Communes!$C$5:$C$187,A19)</f>
        <v>6686</v>
      </c>
      <c r="G19" s="10" t="n">
        <f aca="false">SUMIFS(Communes!$J$5:$J$187,Communes!$C$5:$C$187,A19)</f>
        <v>9657</v>
      </c>
      <c r="H19" s="10" t="n">
        <f aca="false">SUMIFS(Communes!$K$5:$K$187,Communes!$C$5:$C$187,A19)</f>
        <v>312</v>
      </c>
      <c r="I19" s="10" t="n">
        <f aca="false">SUMIFS(Communes!$L$5:$L$187,Communes!$C$5:$C$187,A19)</f>
        <v>71</v>
      </c>
      <c r="J19" s="10" t="n">
        <f aca="false">SUMIFS(Communes!$M$5:$M$187,Communes!$C$5:$C$187,A19)</f>
        <v>2</v>
      </c>
      <c r="K19" s="10" t="n">
        <f aca="false">SUMIFS(Communes!$N$5:$N$187,Communes!$C$5:$C$187,A19)</f>
        <v>8</v>
      </c>
      <c r="L19" s="10" t="n">
        <f aca="false">SUMIFS(Communes!$O$5:$O$187,Communes!$C$5:$C$187,A19)</f>
        <v>22</v>
      </c>
      <c r="M19" s="10" t="n">
        <f aca="false">SUMIFS(Communes!$P$5:$P$187,Communes!$C$5:$C$187,A19)</f>
        <v>5944</v>
      </c>
      <c r="N19" s="10" t="n">
        <f aca="false">SUMIFS(Communes!$Q$5:$Q$187,Communes!$C$5:$C$187,A19)</f>
        <v>9736</v>
      </c>
      <c r="O19" s="10" t="n">
        <f aca="false">SUMIFS(Communes!$R$5:$R$187,Communes!$C$5:$C$187,A19)</f>
        <v>6</v>
      </c>
      <c r="P19" s="10" t="n">
        <f aca="false">SUMIFS(Communes!$S$5:$S$187,Communes!$C$5:$C$187,A19)</f>
        <v>840</v>
      </c>
      <c r="Q19" s="10" t="n">
        <f aca="false">SUMIFS(Communes!$T$5:$T$187,Communes!$C$5:$C$187,A19)</f>
        <v>29</v>
      </c>
      <c r="R19" s="10" t="n">
        <f aca="false">SUMIFS(Communes!$U$5:$U$187,Communes!$C$5:$C$187,A19)</f>
        <v>24</v>
      </c>
      <c r="S19" s="10" t="n">
        <f aca="false">SUMIFS(Communes!$V$5:$V$187,Communes!$C$5:$C$187,A19)</f>
        <v>6</v>
      </c>
      <c r="T19" s="10" t="n">
        <f aca="false">SUMIFS(Communes!$W$5:$W$187,Communes!$C$5:$C$187,A19)</f>
        <v>28</v>
      </c>
      <c r="U19" s="10" t="n">
        <f aca="false">SUMIFS(Communes!$X$5:$X$187,Communes!$C$5:$C$187,A19)</f>
        <v>7</v>
      </c>
      <c r="V19" s="10" t="n">
        <f aca="false">SUMIFS(Communes!$Y$5:$Y$187,Communes!$C$5:$C$187,A19)</f>
        <v>1</v>
      </c>
      <c r="W19" s="10" t="n">
        <f aca="false">SUMIFS(Communes!$Z$5:$Z$187,Communes!$C$5:$C$187,A19)</f>
        <v>1</v>
      </c>
      <c r="X19" s="10" t="n">
        <f aca="false">SUMIFS(Communes!$AA$5:$AA$187,Communes!$C$5:$C$187,A19)</f>
        <v>1</v>
      </c>
      <c r="Y19" s="10" t="n">
        <f aca="false">SUMIFS(Communes!$AB$5:$AB$187,Communes!$C$5:$C$187,A19)</f>
        <v>3</v>
      </c>
      <c r="Z19" s="10" t="n">
        <f aca="false">SUMIFS(Communes!$AC$5:$AC$187,Communes!$C$5:$C$187,A19)</f>
        <v>5</v>
      </c>
      <c r="AA19" s="10" t="n">
        <f aca="false">SUMIFS(Communes!$AD$5:$AD$187,Communes!$C$5:$C$187,A19)</f>
        <v>0</v>
      </c>
      <c r="AB19" s="10" t="n">
        <f aca="false">SUMIFS(Communes!$AE$5:$AE$187,Communes!$C$5:$C$187,A19)</f>
        <v>24</v>
      </c>
      <c r="AC19" s="10" t="n">
        <f aca="false">SUMIFS(Communes!$AF$5:$AF$187,Communes!$C$5:$C$187,A19)</f>
        <v>26</v>
      </c>
      <c r="AD19" s="10" t="n">
        <f aca="false">SUMIFS(Communes!$AG$5:$AG$187,Communes!$C$5:$C$187,A19)</f>
        <v>26</v>
      </c>
      <c r="AE19" s="10" t="n">
        <f aca="false">SUMIFS(Communes!$AH$5:$AH$187,Communes!$C$5:$C$187,A19)</f>
        <v>25</v>
      </c>
      <c r="AF19" s="10" t="n">
        <f aca="false">SUMIFS(Communes!$AI$5:$AI$187,Communes!$C$5:$C$187,A19)</f>
        <v>25</v>
      </c>
      <c r="AG19" s="10" t="n">
        <f aca="false">SUMIFS(Communes!$AJ$5:$AJ$187,Communes!$C$5:$C$187,A19)</f>
        <v>13985</v>
      </c>
      <c r="AH19" s="10" t="n">
        <f aca="false">SUMIFS(Communes!$AK$5:$AK$187,Communes!$C$5:$C$187,A19)</f>
        <v>12818</v>
      </c>
      <c r="AI19" s="10" t="n">
        <f aca="false">SUMIFS(Communes!$AL$5:$AL$187,Communes!$C$5:$C$187,A19)</f>
        <v>12760</v>
      </c>
      <c r="AJ19" s="10" t="n">
        <f aca="false">SUMIFS(Communes!$AM$5:$AM$187,Communes!$C$5:$C$187,A19)</f>
        <v>12531</v>
      </c>
      <c r="AK19" s="10" t="n">
        <f aca="false">SUMIFS(Communes!$AN$5:$AN$187,Communes!$C$5:$C$187,A19)</f>
        <v>15594</v>
      </c>
      <c r="AL19" s="10" t="n">
        <f aca="false">SUMIFS(Communes!$AO$5:$AO$187,Communes!$C$5:$C$187,A19)</f>
        <v>15680</v>
      </c>
      <c r="AM19" s="10" t="n">
        <f aca="false">SUMIFS(Communes!$AP$5:$AP$187,Communes!$C$5:$C$187,A19)</f>
        <v>16343</v>
      </c>
      <c r="AN19" s="10" t="n">
        <f aca="false">F19+G19</f>
        <v>16343</v>
      </c>
      <c r="AO19" s="11" t="n">
        <f aca="false">IF(AN19&gt;0,F19/AN19,"")</f>
        <v>0.409104815517347</v>
      </c>
      <c r="AP19" s="11" t="n">
        <f aca="false">IF((M19+N19)&gt;0,M19/(M19+N19),"")</f>
        <v>0.379081632653061</v>
      </c>
      <c r="AQ19" s="12" t="n">
        <f aca="false">IF(AND(ISNUMBER(AO19),ISNUMBER(AP19)),(AO19-AP19)*100,"")</f>
        <v>3.00231828642857</v>
      </c>
      <c r="AR19" s="12" t="n">
        <f aca="false">IF(D19&gt;0,F19/D19*1000,"")</f>
        <v>112.990722119886</v>
      </c>
      <c r="AS19" s="12" t="n">
        <f aca="false">IF(D19&gt;0,E19/D19*10000,"")</f>
        <v>3.88690788028324</v>
      </c>
      <c r="AT19" s="12" t="n">
        <f aca="false">IF(D19&gt;0,T19/D19*10000,"")</f>
        <v>4.73188785425785</v>
      </c>
      <c r="AU19" s="12" t="n">
        <f aca="false">IF(F19&gt;0,H19/F19*100,"")</f>
        <v>4.66646724498953</v>
      </c>
      <c r="AV19" s="9" t="str">
        <f aca="false">IF(AN19&gt;=100,"ok",IF(AN19&gt;0,"effectif faible (&lt;100)","aucune association"))</f>
        <v>ok</v>
      </c>
    </row>
    <row r="20" customFormat="false" ht="15" hidden="false" customHeight="false" outlineLevel="0" collapsed="false">
      <c r="A20" s="9" t="s">
        <v>151</v>
      </c>
      <c r="B20" s="9" t="n">
        <f aca="false">COUNTIF(Communes!$C$5:$C$187,A20)</f>
        <v>4</v>
      </c>
      <c r="C20" s="9" t="n">
        <f aca="false">COUNTIFS(Communes!$C$5:$C$187,A20,Communes!$H$5:$H$187,0)</f>
        <v>0</v>
      </c>
      <c r="D20" s="10" t="n">
        <f aca="false">SUMIFS(Communes!$G$5:$G$187,Communes!$C$5:$C$187,A20)</f>
        <v>56441</v>
      </c>
      <c r="E20" s="10" t="n">
        <f aca="false">SUMIFS(Communes!$H$5:$H$187,Communes!$C$5:$C$187,A20)</f>
        <v>28</v>
      </c>
      <c r="F20" s="10" t="n">
        <f aca="false">SUMIFS(Communes!$I$5:$I$187,Communes!$C$5:$C$187,A20)</f>
        <v>4002</v>
      </c>
      <c r="G20" s="10" t="n">
        <f aca="false">SUMIFS(Communes!$J$5:$J$187,Communes!$C$5:$C$187,A20)</f>
        <v>4311</v>
      </c>
      <c r="H20" s="10" t="n">
        <f aca="false">SUMIFS(Communes!$K$5:$K$187,Communes!$C$5:$C$187,A20)</f>
        <v>575</v>
      </c>
      <c r="I20" s="10" t="n">
        <f aca="false">SUMIFS(Communes!$L$5:$L$187,Communes!$C$5:$C$187,A20)</f>
        <v>96</v>
      </c>
      <c r="J20" s="10" t="n">
        <f aca="false">SUMIFS(Communes!$M$5:$M$187,Communes!$C$5:$C$187,A20)</f>
        <v>3</v>
      </c>
      <c r="K20" s="10" t="n">
        <f aca="false">SUMIFS(Communes!$N$5:$N$187,Communes!$C$5:$C$187,A20)</f>
        <v>7</v>
      </c>
      <c r="L20" s="10" t="n">
        <f aca="false">SUMIFS(Communes!$O$5:$O$187,Communes!$C$5:$C$187,A20)</f>
        <v>32</v>
      </c>
      <c r="M20" s="10" t="n">
        <f aca="false">SUMIFS(Communes!$P$5:$P$187,Communes!$C$5:$C$187,A20)</f>
        <v>4142</v>
      </c>
      <c r="N20" s="10" t="n">
        <f aca="false">SUMIFS(Communes!$Q$5:$Q$187,Communes!$C$5:$C$187,A20)</f>
        <v>4468</v>
      </c>
      <c r="O20" s="10" t="n">
        <f aca="false">SUMIFS(Communes!$R$5:$R$187,Communes!$C$5:$C$187,A20)</f>
        <v>3</v>
      </c>
      <c r="P20" s="10" t="n">
        <f aca="false">SUMIFS(Communes!$S$5:$S$187,Communes!$C$5:$C$187,A20)</f>
        <v>334</v>
      </c>
      <c r="Q20" s="10" t="n">
        <f aca="false">SUMIFS(Communes!$T$5:$T$187,Communes!$C$5:$C$187,A20)</f>
        <v>15</v>
      </c>
      <c r="R20" s="10" t="n">
        <f aca="false">SUMIFS(Communes!$U$5:$U$187,Communes!$C$5:$C$187,A20)</f>
        <v>26</v>
      </c>
      <c r="S20" s="10" t="n">
        <f aca="false">SUMIFS(Communes!$V$5:$V$187,Communes!$C$5:$C$187,A20)</f>
        <v>3</v>
      </c>
      <c r="T20" s="10" t="n">
        <f aca="false">SUMIFS(Communes!$W$5:$W$187,Communes!$C$5:$C$187,A20)</f>
        <v>50</v>
      </c>
      <c r="U20" s="10" t="n">
        <f aca="false">SUMIFS(Communes!$X$5:$X$187,Communes!$C$5:$C$187,A20)</f>
        <v>9</v>
      </c>
      <c r="V20" s="10" t="n">
        <f aca="false">SUMIFS(Communes!$Y$5:$Y$187,Communes!$C$5:$C$187,A20)</f>
        <v>3</v>
      </c>
      <c r="W20" s="10" t="n">
        <f aca="false">SUMIFS(Communes!$Z$5:$Z$187,Communes!$C$5:$C$187,A20)</f>
        <v>0</v>
      </c>
      <c r="X20" s="10" t="n">
        <f aca="false">SUMIFS(Communes!$AA$5:$AA$187,Communes!$C$5:$C$187,A20)</f>
        <v>0</v>
      </c>
      <c r="Y20" s="10" t="n">
        <f aca="false">SUMIFS(Communes!$AB$5:$AB$187,Communes!$C$5:$C$187,A20)</f>
        <v>1</v>
      </c>
      <c r="Z20" s="10" t="n">
        <f aca="false">SUMIFS(Communes!$AC$5:$AC$187,Communes!$C$5:$C$187,A20)</f>
        <v>1</v>
      </c>
      <c r="AA20" s="10" t="n">
        <f aca="false">SUMIFS(Communes!$AD$5:$AD$187,Communes!$C$5:$C$187,A20)</f>
        <v>0</v>
      </c>
      <c r="AB20" s="10" t="n">
        <f aca="false">SUMIFS(Communes!$AE$5:$AE$187,Communes!$C$5:$C$187,A20)</f>
        <v>27</v>
      </c>
      <c r="AC20" s="10" t="n">
        <f aca="false">SUMIFS(Communes!$AF$5:$AF$187,Communes!$C$5:$C$187,A20)</f>
        <v>28</v>
      </c>
      <c r="AD20" s="10" t="n">
        <f aca="false">SUMIFS(Communes!$AG$5:$AG$187,Communes!$C$5:$C$187,A20)</f>
        <v>25</v>
      </c>
      <c r="AE20" s="10" t="n">
        <f aca="false">SUMIFS(Communes!$AH$5:$AH$187,Communes!$C$5:$C$187,A20)</f>
        <v>25</v>
      </c>
      <c r="AF20" s="10" t="n">
        <f aca="false">SUMIFS(Communes!$AI$5:$AI$187,Communes!$C$5:$C$187,A20)</f>
        <v>30</v>
      </c>
      <c r="AG20" s="10" t="n">
        <f aca="false">SUMIFS(Communes!$AJ$5:$AJ$187,Communes!$C$5:$C$187,A20)</f>
        <v>5986</v>
      </c>
      <c r="AH20" s="10" t="n">
        <f aca="false">SUMIFS(Communes!$AK$5:$AK$187,Communes!$C$5:$C$187,A20)</f>
        <v>7328</v>
      </c>
      <c r="AI20" s="10" t="n">
        <f aca="false">SUMIFS(Communes!$AL$5:$AL$187,Communes!$C$5:$C$187,A20)</f>
        <v>5834</v>
      </c>
      <c r="AJ20" s="10" t="n">
        <f aca="false">SUMIFS(Communes!$AM$5:$AM$187,Communes!$C$5:$C$187,A20)</f>
        <v>5995</v>
      </c>
      <c r="AK20" s="10" t="n">
        <f aca="false">SUMIFS(Communes!$AN$5:$AN$187,Communes!$C$5:$C$187,A20)</f>
        <v>7083</v>
      </c>
      <c r="AL20" s="10" t="n">
        <f aca="false">SUMIFS(Communes!$AO$5:$AO$187,Communes!$C$5:$C$187,A20)</f>
        <v>8610</v>
      </c>
      <c r="AM20" s="10" t="n">
        <f aca="false">SUMIFS(Communes!$AP$5:$AP$187,Communes!$C$5:$C$187,A20)</f>
        <v>8313</v>
      </c>
      <c r="AN20" s="10" t="n">
        <f aca="false">F20+G20</f>
        <v>8313</v>
      </c>
      <c r="AO20" s="11" t="n">
        <f aca="false">IF(AN20&gt;0,F20/AN20,"")</f>
        <v>0.481414651750271</v>
      </c>
      <c r="AP20" s="11" t="n">
        <f aca="false">IF((M20+N20)&gt;0,M20/(M20+N20),"")</f>
        <v>0.481068524970964</v>
      </c>
      <c r="AQ20" s="12" t="n">
        <f aca="false">IF(AND(ISNUMBER(AO20),ISNUMBER(AP20)),(AO20-AP20)*100,"")</f>
        <v>0.0346126779306677</v>
      </c>
      <c r="AR20" s="12" t="n">
        <f aca="false">IF(D20&gt;0,F20/D20*1000,"")</f>
        <v>70.9059017380982</v>
      </c>
      <c r="AS20" s="12" t="n">
        <f aca="false">IF(D20&gt;0,E20/D20*10000,"")</f>
        <v>4.9609326553392</v>
      </c>
      <c r="AT20" s="12" t="n">
        <f aca="false">IF(D20&gt;0,T20/D20*10000,"")</f>
        <v>8.85880831310572</v>
      </c>
      <c r="AU20" s="12" t="n">
        <f aca="false">IF(F20&gt;0,H20/F20*100,"")</f>
        <v>14.367816091954</v>
      </c>
      <c r="AV20" s="9" t="str">
        <f aca="false">IF(AN20&gt;=100,"ok",IF(AN20&gt;0,"effectif faible (&lt;100)","aucune association"))</f>
        <v>ok</v>
      </c>
    </row>
    <row r="21" customFormat="false" ht="15" hidden="false" customHeight="false" outlineLevel="0" collapsed="false">
      <c r="A21" s="9" t="s">
        <v>106</v>
      </c>
      <c r="B21" s="9" t="n">
        <f aca="false">COUNTIF(Communes!$C$5:$C$187,A21)</f>
        <v>43</v>
      </c>
      <c r="C21" s="9" t="n">
        <f aca="false">COUNTIFS(Communes!$C$5:$C$187,A21,Communes!$H$5:$H$187,0)</f>
        <v>27</v>
      </c>
      <c r="D21" s="10" t="n">
        <f aca="false">SUMIFS(Communes!$G$5:$G$187,Communes!$C$5:$C$187,A21)</f>
        <v>55479</v>
      </c>
      <c r="E21" s="10" t="n">
        <f aca="false">SUMIFS(Communes!$H$5:$H$187,Communes!$C$5:$C$187,A21)</f>
        <v>36</v>
      </c>
      <c r="F21" s="10" t="n">
        <f aca="false">SUMIFS(Communes!$I$5:$I$187,Communes!$C$5:$C$187,A21)</f>
        <v>2584</v>
      </c>
      <c r="G21" s="10" t="n">
        <f aca="false">SUMIFS(Communes!$J$5:$J$187,Communes!$C$5:$C$187,A21)</f>
        <v>3663</v>
      </c>
      <c r="H21" s="10" t="n">
        <f aca="false">SUMIFS(Communes!$K$5:$K$187,Communes!$C$5:$C$187,A21)</f>
        <v>601</v>
      </c>
      <c r="I21" s="10" t="n">
        <f aca="false">SUMIFS(Communes!$L$5:$L$187,Communes!$C$5:$C$187,A21)</f>
        <v>79</v>
      </c>
      <c r="J21" s="10" t="n">
        <f aca="false">SUMIFS(Communes!$M$5:$M$187,Communes!$C$5:$C$187,A21)</f>
        <v>7</v>
      </c>
      <c r="K21" s="10" t="n">
        <f aca="false">SUMIFS(Communes!$N$5:$N$187,Communes!$C$5:$C$187,A21)</f>
        <v>7</v>
      </c>
      <c r="L21" s="10" t="n">
        <f aca="false">SUMIFS(Communes!$O$5:$O$187,Communes!$C$5:$C$187,A21)</f>
        <v>40</v>
      </c>
      <c r="M21" s="10" t="n">
        <f aca="false">SUMIFS(Communes!$P$5:$P$187,Communes!$C$5:$C$187,A21)</f>
        <v>2652</v>
      </c>
      <c r="N21" s="10" t="n">
        <f aca="false">SUMIFS(Communes!$Q$5:$Q$187,Communes!$C$5:$C$187,A21)</f>
        <v>3641</v>
      </c>
      <c r="O21" s="10" t="n">
        <f aca="false">SUMIFS(Communes!$R$5:$R$187,Communes!$C$5:$C$187,A21)</f>
        <v>7</v>
      </c>
      <c r="P21" s="10" t="n">
        <f aca="false">SUMIFS(Communes!$S$5:$S$187,Communes!$C$5:$C$187,A21)</f>
        <v>1273</v>
      </c>
      <c r="Q21" s="10" t="n">
        <f aca="false">SUMIFS(Communes!$T$5:$T$187,Communes!$C$5:$C$187,A21)</f>
        <v>61</v>
      </c>
      <c r="R21" s="10" t="n">
        <f aca="false">SUMIFS(Communes!$U$5:$U$187,Communes!$C$5:$C$187,A21)</f>
        <v>37</v>
      </c>
      <c r="S21" s="10" t="n">
        <f aca="false">SUMIFS(Communes!$V$5:$V$187,Communes!$C$5:$C$187,A21)</f>
        <v>7</v>
      </c>
      <c r="T21" s="10" t="n">
        <f aca="false">SUMIFS(Communes!$W$5:$W$187,Communes!$C$5:$C$187,A21)</f>
        <v>148</v>
      </c>
      <c r="U21" s="10" t="n">
        <f aca="false">SUMIFS(Communes!$X$5:$X$187,Communes!$C$5:$C$187,A21)</f>
        <v>21</v>
      </c>
      <c r="V21" s="10" t="n">
        <f aca="false">SUMIFS(Communes!$Y$5:$Y$187,Communes!$C$5:$C$187,A21)</f>
        <v>1</v>
      </c>
      <c r="W21" s="10" t="n">
        <f aca="false">SUMIFS(Communes!$Z$5:$Z$187,Communes!$C$5:$C$187,A21)</f>
        <v>1</v>
      </c>
      <c r="X21" s="10" t="n">
        <f aca="false">SUMIFS(Communes!$AA$5:$AA$187,Communes!$C$5:$C$187,A21)</f>
        <v>1</v>
      </c>
      <c r="Y21" s="10" t="n">
        <f aca="false">SUMIFS(Communes!$AB$5:$AB$187,Communes!$C$5:$C$187,A21)</f>
        <v>2</v>
      </c>
      <c r="Z21" s="10" t="n">
        <f aca="false">SUMIFS(Communes!$AC$5:$AC$187,Communes!$C$5:$C$187,A21)</f>
        <v>2</v>
      </c>
      <c r="AA21" s="10" t="n">
        <f aca="false">SUMIFS(Communes!$AD$5:$AD$187,Communes!$C$5:$C$187,A21)</f>
        <v>0</v>
      </c>
      <c r="AB21" s="10" t="n">
        <f aca="false">SUMIFS(Communes!$AE$5:$AE$187,Communes!$C$5:$C$187,A21)</f>
        <v>37</v>
      </c>
      <c r="AC21" s="10" t="n">
        <f aca="false">SUMIFS(Communes!$AF$5:$AF$187,Communes!$C$5:$C$187,A21)</f>
        <v>41</v>
      </c>
      <c r="AD21" s="10" t="n">
        <f aca="false">SUMIFS(Communes!$AG$5:$AG$187,Communes!$C$5:$C$187,A21)</f>
        <v>40</v>
      </c>
      <c r="AE21" s="10" t="n">
        <f aca="false">SUMIFS(Communes!$AH$5:$AH$187,Communes!$C$5:$C$187,A21)</f>
        <v>38</v>
      </c>
      <c r="AF21" s="10" t="n">
        <f aca="false">SUMIFS(Communes!$AI$5:$AI$187,Communes!$C$5:$C$187,A21)</f>
        <v>38</v>
      </c>
      <c r="AG21" s="10" t="n">
        <f aca="false">SUMIFS(Communes!$AJ$5:$AJ$187,Communes!$C$5:$C$187,A21)</f>
        <v>4778</v>
      </c>
      <c r="AH21" s="10" t="n">
        <f aca="false">SUMIFS(Communes!$AK$5:$AK$187,Communes!$C$5:$C$187,A21)</f>
        <v>4945</v>
      </c>
      <c r="AI21" s="10" t="n">
        <f aca="false">SUMIFS(Communes!$AL$5:$AL$187,Communes!$C$5:$C$187,A21)</f>
        <v>3700</v>
      </c>
      <c r="AJ21" s="10" t="n">
        <f aca="false">SUMIFS(Communes!$AM$5:$AM$187,Communes!$C$5:$C$187,A21)</f>
        <v>4219</v>
      </c>
      <c r="AK21" s="10" t="n">
        <f aca="false">SUMIFS(Communes!$AN$5:$AN$187,Communes!$C$5:$C$187,A21)</f>
        <v>4591</v>
      </c>
      <c r="AL21" s="10" t="n">
        <f aca="false">SUMIFS(Communes!$AO$5:$AO$187,Communes!$C$5:$C$187,A21)</f>
        <v>6293</v>
      </c>
      <c r="AM21" s="10" t="n">
        <f aca="false">SUMIFS(Communes!$AP$5:$AP$187,Communes!$C$5:$C$187,A21)</f>
        <v>6247</v>
      </c>
      <c r="AN21" s="10" t="n">
        <f aca="false">F21+G21</f>
        <v>6247</v>
      </c>
      <c r="AO21" s="11" t="n">
        <f aca="false">IF(AN21&gt;0,F21/AN21,"")</f>
        <v>0.413638546502321</v>
      </c>
      <c r="AP21" s="11" t="n">
        <f aca="false">IF((M21+N21)&gt;0,M21/(M21+N21),"")</f>
        <v>0.421420626092484</v>
      </c>
      <c r="AQ21" s="12" t="n">
        <f aca="false">IF(AND(ISNUMBER(AO21),ISNUMBER(AP21)),(AO21-AP21)*100,"")</f>
        <v>-0.778207959016258</v>
      </c>
      <c r="AR21" s="12" t="n">
        <f aca="false">IF(D21&gt;0,F21/D21*1000,"")</f>
        <v>46.5761819787667</v>
      </c>
      <c r="AS21" s="12" t="n">
        <f aca="false">IF(D21&gt;0,E21/D21*10000,"")</f>
        <v>6.48894176174769</v>
      </c>
      <c r="AT21" s="12" t="n">
        <f aca="false">IF(D21&gt;0,T21/D21*10000,"")</f>
        <v>26.6767605760738</v>
      </c>
      <c r="AU21" s="12" t="n">
        <f aca="false">IF(F21&gt;0,H21/F21*100,"")</f>
        <v>23.2585139318885</v>
      </c>
      <c r="AV21" s="9" t="str">
        <f aca="false">IF(AN21&gt;=100,"ok",IF(AN21&gt;0,"effectif faible (&lt;100)","aucune association"))</f>
        <v>ok</v>
      </c>
    </row>
    <row r="22" customFormat="false" ht="15" hidden="false" customHeight="false" outlineLevel="0" collapsed="false">
      <c r="A22" s="9" t="s">
        <v>182</v>
      </c>
      <c r="B22" s="9" t="n">
        <f aca="false">COUNTIF(Communes!$C$5:$C$187,A22)</f>
        <v>7</v>
      </c>
      <c r="C22" s="9" t="n">
        <f aca="false">COUNTIFS(Communes!$C$5:$C$187,A22,Communes!$H$5:$H$187,0)</f>
        <v>2</v>
      </c>
      <c r="D22" s="10" t="n">
        <f aca="false">SUMIFS(Communes!$G$5:$G$187,Communes!$C$5:$C$187,A22)</f>
        <v>65514</v>
      </c>
      <c r="E22" s="10" t="n">
        <f aca="false">SUMIFS(Communes!$H$5:$H$187,Communes!$C$5:$C$187,A22)</f>
        <v>22</v>
      </c>
      <c r="F22" s="10" t="n">
        <f aca="false">SUMIFS(Communes!$I$5:$I$187,Communes!$C$5:$C$187,A22)</f>
        <v>1606</v>
      </c>
      <c r="G22" s="10" t="n">
        <f aca="false">SUMIFS(Communes!$J$5:$J$187,Communes!$C$5:$C$187,A22)</f>
        <v>2688</v>
      </c>
      <c r="H22" s="10" t="n">
        <f aca="false">SUMIFS(Communes!$K$5:$K$187,Communes!$C$5:$C$187,A22)</f>
        <v>292</v>
      </c>
      <c r="I22" s="10" t="n">
        <f aca="false">SUMIFS(Communes!$L$5:$L$187,Communes!$C$5:$C$187,A22)</f>
        <v>39</v>
      </c>
      <c r="J22" s="10" t="n">
        <f aca="false">SUMIFS(Communes!$M$5:$M$187,Communes!$C$5:$C$187,A22)</f>
        <v>3</v>
      </c>
      <c r="K22" s="10" t="n">
        <f aca="false">SUMIFS(Communes!$N$5:$N$187,Communes!$C$5:$C$187,A22)</f>
        <v>3</v>
      </c>
      <c r="L22" s="10" t="n">
        <f aca="false">SUMIFS(Communes!$O$5:$O$187,Communes!$C$5:$C$187,A22)</f>
        <v>23</v>
      </c>
      <c r="M22" s="10" t="n">
        <f aca="false">SUMIFS(Communes!$P$5:$P$187,Communes!$C$5:$C$187,A22)</f>
        <v>1424</v>
      </c>
      <c r="N22" s="10" t="n">
        <f aca="false">SUMIFS(Communes!$Q$5:$Q$187,Communes!$C$5:$C$187,A22)</f>
        <v>1836</v>
      </c>
      <c r="O22" s="10" t="n">
        <f aca="false">SUMIFS(Communes!$R$5:$R$187,Communes!$C$5:$C$187,A22)</f>
        <v>5</v>
      </c>
      <c r="P22" s="10" t="n">
        <f aca="false">SUMIFS(Communes!$S$5:$S$187,Communes!$C$5:$C$187,A22)</f>
        <v>693</v>
      </c>
      <c r="Q22" s="10" t="n">
        <f aca="false">SUMIFS(Communes!$T$5:$T$187,Communes!$C$5:$C$187,A22)</f>
        <v>31</v>
      </c>
      <c r="R22" s="10" t="n">
        <f aca="false">SUMIFS(Communes!$U$5:$U$187,Communes!$C$5:$C$187,A22)</f>
        <v>23</v>
      </c>
      <c r="S22" s="10" t="n">
        <f aca="false">SUMIFS(Communes!$V$5:$V$187,Communes!$C$5:$C$187,A22)</f>
        <v>5</v>
      </c>
      <c r="T22" s="10" t="n">
        <f aca="false">SUMIFS(Communes!$W$5:$W$187,Communes!$C$5:$C$187,A22)</f>
        <v>86</v>
      </c>
      <c r="U22" s="10" t="n">
        <f aca="false">SUMIFS(Communes!$X$5:$X$187,Communes!$C$5:$C$187,A22)</f>
        <v>35</v>
      </c>
      <c r="V22" s="10" t="n">
        <f aca="false">SUMIFS(Communes!$Y$5:$Y$187,Communes!$C$5:$C$187,A22)</f>
        <v>4</v>
      </c>
      <c r="W22" s="10" t="n">
        <f aca="false">SUMIFS(Communes!$Z$5:$Z$187,Communes!$C$5:$C$187,A22)</f>
        <v>3</v>
      </c>
      <c r="X22" s="10" t="n">
        <f aca="false">SUMIFS(Communes!$AA$5:$AA$187,Communes!$C$5:$C$187,A22)</f>
        <v>2</v>
      </c>
      <c r="Y22" s="10" t="n">
        <f aca="false">SUMIFS(Communes!$AB$5:$AB$187,Communes!$C$5:$C$187,A22)</f>
        <v>2</v>
      </c>
      <c r="Z22" s="10" t="n">
        <f aca="false">SUMIFS(Communes!$AC$5:$AC$187,Communes!$C$5:$C$187,A22)</f>
        <v>4</v>
      </c>
      <c r="AA22" s="10" t="n">
        <f aca="false">SUMIFS(Communes!$AD$5:$AD$187,Communes!$C$5:$C$187,A22)</f>
        <v>0</v>
      </c>
      <c r="AB22" s="10" t="n">
        <f aca="false">SUMIFS(Communes!$AE$5:$AE$187,Communes!$C$5:$C$187,A22)</f>
        <v>20</v>
      </c>
      <c r="AC22" s="10" t="n">
        <f aca="false">SUMIFS(Communes!$AF$5:$AF$187,Communes!$C$5:$C$187,A22)</f>
        <v>19</v>
      </c>
      <c r="AD22" s="10" t="n">
        <f aca="false">SUMIFS(Communes!$AG$5:$AG$187,Communes!$C$5:$C$187,A22)</f>
        <v>22</v>
      </c>
      <c r="AE22" s="10" t="n">
        <f aca="false">SUMIFS(Communes!$AH$5:$AH$187,Communes!$C$5:$C$187,A22)</f>
        <v>24</v>
      </c>
      <c r="AF22" s="10" t="n">
        <f aca="false">SUMIFS(Communes!$AI$5:$AI$187,Communes!$C$5:$C$187,A22)</f>
        <v>22</v>
      </c>
      <c r="AG22" s="10" t="n">
        <f aca="false">SUMIFS(Communes!$AJ$5:$AJ$187,Communes!$C$5:$C$187,A22)</f>
        <v>3784</v>
      </c>
      <c r="AH22" s="10" t="n">
        <f aca="false">SUMIFS(Communes!$AK$5:$AK$187,Communes!$C$5:$C$187,A22)</f>
        <v>4079</v>
      </c>
      <c r="AI22" s="10" t="n">
        <f aca="false">SUMIFS(Communes!$AL$5:$AL$187,Communes!$C$5:$C$187,A22)</f>
        <v>4664</v>
      </c>
      <c r="AJ22" s="10" t="n">
        <f aca="false">SUMIFS(Communes!$AM$5:$AM$187,Communes!$C$5:$C$187,A22)</f>
        <v>3505</v>
      </c>
      <c r="AK22" s="10" t="n">
        <f aca="false">SUMIFS(Communes!$AN$5:$AN$187,Communes!$C$5:$C$187,A22)</f>
        <v>3733</v>
      </c>
      <c r="AL22" s="10" t="n">
        <f aca="false">SUMIFS(Communes!$AO$5:$AO$187,Communes!$C$5:$C$187,A22)</f>
        <v>3260</v>
      </c>
      <c r="AM22" s="10" t="n">
        <f aca="false">SUMIFS(Communes!$AP$5:$AP$187,Communes!$C$5:$C$187,A22)</f>
        <v>4294</v>
      </c>
      <c r="AN22" s="10" t="n">
        <f aca="false">F22+G22</f>
        <v>4294</v>
      </c>
      <c r="AO22" s="11" t="n">
        <f aca="false">IF(AN22&gt;0,F22/AN22,"")</f>
        <v>0.374010246856078</v>
      </c>
      <c r="AP22" s="11" t="n">
        <f aca="false">IF((M22+N22)&gt;0,M22/(M22+N22),"")</f>
        <v>0.43680981595092</v>
      </c>
      <c r="AQ22" s="12" t="n">
        <f aca="false">IF(AND(ISNUMBER(AO22),ISNUMBER(AP22)),(AO22-AP22)*100,"")</f>
        <v>-6.2799569094842</v>
      </c>
      <c r="AR22" s="12" t="n">
        <f aca="false">IF(D22&gt;0,F22/D22*1000,"")</f>
        <v>24.5138443691425</v>
      </c>
      <c r="AS22" s="12" t="n">
        <f aca="false">IF(D22&gt;0,E22/D22*10000,"")</f>
        <v>3.35806087248527</v>
      </c>
      <c r="AT22" s="12" t="n">
        <f aca="false">IF(D22&gt;0,T22/D22*10000,"")</f>
        <v>13.1269652288061</v>
      </c>
      <c r="AU22" s="12" t="n">
        <f aca="false">IF(F22&gt;0,H22/F22*100,"")</f>
        <v>18.1818181818182</v>
      </c>
      <c r="AV22" s="9" t="str">
        <f aca="false">IF(AN22&gt;=100,"ok",IF(AN22&gt;0,"effectif faible (&lt;100)","aucune association"))</f>
        <v>ok</v>
      </c>
    </row>
    <row r="23" customFormat="false" ht="15" hidden="false" customHeight="false" outlineLevel="0" collapsed="false">
      <c r="A23" s="5" t="s">
        <v>491</v>
      </c>
      <c r="B23" s="13" t="n">
        <f aca="false">SUM(B5:B22)</f>
        <v>183</v>
      </c>
      <c r="C23" s="13" t="n">
        <f aca="false">SUM(C5:C22)</f>
        <v>78</v>
      </c>
      <c r="D23" s="13" t="n">
        <f aca="false">SUM(D5:D22)</f>
        <v>1281653</v>
      </c>
      <c r="E23" s="13" t="n">
        <f aca="false">SUM(E5:E22)</f>
        <v>551</v>
      </c>
      <c r="F23" s="13" t="n">
        <f aca="false">SUM(F5:F22)</f>
        <v>68623</v>
      </c>
      <c r="G23" s="13" t="n">
        <f aca="false">SUM(G5:G22)</f>
        <v>91352</v>
      </c>
      <c r="H23" s="13" t="n">
        <f aca="false">SUM(H5:H22)</f>
        <v>11261</v>
      </c>
      <c r="I23" s="13" t="n">
        <f aca="false">SUM(I5:I22)</f>
        <v>1285</v>
      </c>
      <c r="J23" s="13" t="n">
        <f aca="false">SUM(J5:J22)</f>
        <v>119</v>
      </c>
      <c r="K23" s="13" t="n">
        <f aca="false">SUM(K5:K22)</f>
        <v>126</v>
      </c>
      <c r="L23" s="13" t="n">
        <f aca="false">SUM(L5:L22)</f>
        <v>569</v>
      </c>
      <c r="M23" s="13" t="n">
        <f aca="false">SUM(M5:M22)</f>
        <v>68120</v>
      </c>
      <c r="N23" s="13" t="n">
        <f aca="false">SUM(N5:N22)</f>
        <v>90732</v>
      </c>
      <c r="O23" s="13" t="n">
        <f aca="false">SUM(O5:O22)</f>
        <v>103</v>
      </c>
      <c r="P23" s="13" t="n">
        <f aca="false">SUM(P5:P22)</f>
        <v>16504</v>
      </c>
      <c r="Q23" s="13" t="n">
        <f aca="false">SUM(Q5:Q22)</f>
        <v>581</v>
      </c>
      <c r="R23" s="13" t="n">
        <f aca="false">SUM(R5:R22)</f>
        <v>560</v>
      </c>
      <c r="S23" s="13" t="n">
        <f aca="false">SUM(S5:S22)</f>
        <v>103</v>
      </c>
      <c r="T23" s="13" t="n">
        <f aca="false">SUM(T5:T22)</f>
        <v>1543</v>
      </c>
      <c r="U23" s="13" t="n">
        <f aca="false">SUM(U5:U22)</f>
        <v>362</v>
      </c>
      <c r="V23" s="13" t="n">
        <f aca="false">SUM(V5:V22)</f>
        <v>34</v>
      </c>
      <c r="W23" s="13" t="n">
        <f aca="false">SUM(W5:W22)</f>
        <v>32</v>
      </c>
      <c r="X23" s="13" t="n">
        <f aca="false">SUM(X5:X22)</f>
        <v>30</v>
      </c>
      <c r="Y23" s="13" t="n">
        <f aca="false">SUM(Y5:Y22)</f>
        <v>39</v>
      </c>
      <c r="Z23" s="13" t="n">
        <f aca="false">SUM(Z5:Z22)</f>
        <v>47</v>
      </c>
      <c r="AA23" s="13" t="n">
        <f aca="false">SUM(AA5:AA22)</f>
        <v>1</v>
      </c>
      <c r="AB23" s="13" t="n">
        <f aca="false">SUM(AB5:AB22)</f>
        <v>542</v>
      </c>
      <c r="AC23" s="13" t="n">
        <f aca="false">SUM(AC5:AC22)</f>
        <v>574</v>
      </c>
      <c r="AD23" s="13" t="n">
        <f aca="false">SUM(AD5:AD22)</f>
        <v>571</v>
      </c>
      <c r="AE23" s="13" t="n">
        <f aca="false">SUM(AE5:AE22)</f>
        <v>552</v>
      </c>
      <c r="AF23" s="13" t="n">
        <f aca="false">SUM(AF5:AF22)</f>
        <v>553</v>
      </c>
      <c r="AG23" s="13" t="n">
        <f aca="false">SUM(AG5:AG22)</f>
        <v>134103</v>
      </c>
      <c r="AH23" s="13" t="n">
        <f aca="false">SUM(AH5:AH22)</f>
        <v>143678</v>
      </c>
      <c r="AI23" s="13" t="n">
        <f aca="false">SUM(AI5:AI22)</f>
        <v>131605</v>
      </c>
      <c r="AJ23" s="13" t="n">
        <f aca="false">SUM(AJ5:AJ22)</f>
        <v>122840</v>
      </c>
      <c r="AK23" s="13" t="n">
        <f aca="false">SUM(AK5:AK22)</f>
        <v>135863</v>
      </c>
      <c r="AL23" s="13" t="n">
        <f aca="false">SUM(AL5:AL22)</f>
        <v>158852</v>
      </c>
      <c r="AM23" s="13" t="n">
        <f aca="false">SUM(AM5:AM22)</f>
        <v>159975</v>
      </c>
      <c r="AN23" s="13" t="n">
        <f aca="false">F23+G23</f>
        <v>159975</v>
      </c>
      <c r="AO23" s="14" t="n">
        <f aca="false">IF(AN23&gt;0,F23/AN23,"")</f>
        <v>0.428960775121113</v>
      </c>
      <c r="AP23" s="14" t="n">
        <f aca="false">IF((M23+N23)&gt;0,M23/(M23+N23),"")</f>
        <v>0.428826832523355</v>
      </c>
      <c r="AQ23" s="15" t="n">
        <f aca="false">IF(AND(ISNUMBER(AO23),ISNUMBER(AP23)),(AO23-AP23)*100,"")</f>
        <v>0.0133942597757619</v>
      </c>
      <c r="AR23" s="15" t="n">
        <f aca="false">IF(D23&gt;0,F23/D23*1000,"")</f>
        <v>53.5425735358947</v>
      </c>
      <c r="AS23" s="15" t="n">
        <f aca="false">IF(D23&gt;0,E23/D23*10000,"")</f>
        <v>4.29913556945601</v>
      </c>
      <c r="AT23" s="15" t="n">
        <f aca="false">IF(D23&gt;0,T23/D23*10000,"")</f>
        <v>12.039140079257</v>
      </c>
      <c r="AU23" s="15" t="n">
        <f aca="false">IF(F23&gt;0,H23/F23*100,"")</f>
        <v>16.4099500167582</v>
      </c>
      <c r="AV23" s="5" t="str">
        <f aca="false">IF(AN23&gt;=100,"ok",IF(AN23&gt;0,"effectif faible (&lt;100)","aucune association"))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8" min="4" style="0" width="11"/>
  </cols>
  <sheetData>
    <row r="1" customFormat="false" ht="17.35" hidden="false" customHeight="false" outlineLevel="0" collapsed="false">
      <c r="A1" s="1" t="s">
        <v>492</v>
      </c>
    </row>
    <row r="2" customFormat="false" ht="15" hidden="false" customHeight="false" outlineLevel="0" collapsed="false">
      <c r="A2" s="2" t="s">
        <v>488</v>
      </c>
    </row>
    <row r="4" customFormat="false" ht="42" hidden="false" customHeight="true" outlineLevel="0" collapsed="false">
      <c r="A4" s="8" t="s">
        <v>8</v>
      </c>
      <c r="B4" s="8" t="s">
        <v>489</v>
      </c>
      <c r="C4" s="8" t="s">
        <v>490</v>
      </c>
      <c r="D4" s="8" t="s">
        <v>34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  <c r="J4" s="8" t="s">
        <v>60</v>
      </c>
      <c r="K4" s="8" t="s">
        <v>61</v>
      </c>
      <c r="L4" s="8" t="s">
        <v>62</v>
      </c>
      <c r="M4" s="8" t="s">
        <v>63</v>
      </c>
      <c r="N4" s="8" t="s">
        <v>64</v>
      </c>
      <c r="O4" s="8" t="s">
        <v>65</v>
      </c>
      <c r="P4" s="8" t="s">
        <v>66</v>
      </c>
      <c r="Q4" s="8" t="s">
        <v>67</v>
      </c>
      <c r="R4" s="8" t="s">
        <v>68</v>
      </c>
      <c r="S4" s="8" t="s">
        <v>69</v>
      </c>
      <c r="T4" s="8" t="s">
        <v>70</v>
      </c>
      <c r="U4" s="8" t="s">
        <v>71</v>
      </c>
      <c r="V4" s="8" t="s">
        <v>72</v>
      </c>
      <c r="W4" s="8" t="s">
        <v>73</v>
      </c>
      <c r="X4" s="8" t="s">
        <v>74</v>
      </c>
      <c r="Y4" s="8" t="s">
        <v>75</v>
      </c>
      <c r="Z4" s="8" t="s">
        <v>76</v>
      </c>
      <c r="AA4" s="8" t="s">
        <v>77</v>
      </c>
      <c r="AB4" s="8" t="s">
        <v>78</v>
      </c>
      <c r="AC4" s="8" t="s">
        <v>79</v>
      </c>
      <c r="AD4" s="8" t="s">
        <v>80</v>
      </c>
      <c r="AE4" s="8" t="s">
        <v>81</v>
      </c>
      <c r="AF4" s="8" t="s">
        <v>82</v>
      </c>
      <c r="AG4" s="8" t="s">
        <v>83</v>
      </c>
      <c r="AH4" s="8" t="s">
        <v>84</v>
      </c>
      <c r="AI4" s="8" t="s">
        <v>85</v>
      </c>
      <c r="AJ4" s="8" t="s">
        <v>86</v>
      </c>
      <c r="AK4" s="8" t="s">
        <v>87</v>
      </c>
      <c r="AL4" s="8" t="s">
        <v>88</v>
      </c>
      <c r="AM4" s="8" t="s">
        <v>89</v>
      </c>
      <c r="AN4" s="8" t="s">
        <v>90</v>
      </c>
      <c r="AO4" s="8" t="s">
        <v>25</v>
      </c>
      <c r="AP4" s="8" t="s">
        <v>91</v>
      </c>
      <c r="AQ4" s="8" t="s">
        <v>92</v>
      </c>
      <c r="AR4" s="8" t="s">
        <v>93</v>
      </c>
      <c r="AS4" s="8" t="s">
        <v>94</v>
      </c>
      <c r="AT4" s="8" t="s">
        <v>95</v>
      </c>
      <c r="AU4" s="8" t="s">
        <v>96</v>
      </c>
      <c r="AV4" s="8" t="s">
        <v>97</v>
      </c>
    </row>
    <row r="5" customFormat="false" ht="15" hidden="false" customHeight="false" outlineLevel="0" collapsed="false">
      <c r="A5" s="9" t="s">
        <v>116</v>
      </c>
      <c r="B5" s="9" t="n">
        <f aca="false">COUNTIF(Communes!$E$5:$E$187,A5)</f>
        <v>18</v>
      </c>
      <c r="C5" s="9" t="n">
        <f aca="false">COUNTIFS(Communes!$E$5:$E$187,A5,Communes!$H$5:$H$187,0)</f>
        <v>4</v>
      </c>
      <c r="D5" s="10" t="n">
        <f aca="false">SUMIFS(Communes!$G$5:$G$187,Communes!$E$5:$E$187,A5)</f>
        <v>187112</v>
      </c>
      <c r="E5" s="10" t="n">
        <f aca="false">SUMIFS(Communes!$H$5:$H$187,Communes!$E$5:$E$187,A5)</f>
        <v>74</v>
      </c>
      <c r="F5" s="10" t="n">
        <f aca="false">SUMIFS(Communes!$I$5:$I$187,Communes!$E$5:$E$187,A5)</f>
        <v>8116</v>
      </c>
      <c r="G5" s="10" t="n">
        <f aca="false">SUMIFS(Communes!$J$5:$J$187,Communes!$E$5:$E$187,A5)</f>
        <v>13316</v>
      </c>
      <c r="H5" s="10" t="n">
        <f aca="false">SUMIFS(Communes!$K$5:$K$187,Communes!$E$5:$E$187,A5)</f>
        <v>1829</v>
      </c>
      <c r="I5" s="10" t="n">
        <f aca="false">SUMIFS(Communes!$L$5:$L$187,Communes!$E$5:$E$187,A5)</f>
        <v>177</v>
      </c>
      <c r="J5" s="10" t="n">
        <f aca="false">SUMIFS(Communes!$M$5:$M$187,Communes!$E$5:$E$187,A5)</f>
        <v>17</v>
      </c>
      <c r="K5" s="10" t="n">
        <f aca="false">SUMIFS(Communes!$N$5:$N$187,Communes!$E$5:$E$187,A5)</f>
        <v>14</v>
      </c>
      <c r="L5" s="10" t="n">
        <f aca="false">SUMIFS(Communes!$O$5:$O$187,Communes!$E$5:$E$187,A5)</f>
        <v>76</v>
      </c>
      <c r="M5" s="10" t="n">
        <f aca="false">SUMIFS(Communes!$P$5:$P$187,Communes!$E$5:$E$187,A5)</f>
        <v>8463</v>
      </c>
      <c r="N5" s="10" t="n">
        <f aca="false">SUMIFS(Communes!$Q$5:$Q$187,Communes!$E$5:$E$187,A5)</f>
        <v>13423</v>
      </c>
      <c r="O5" s="10" t="n">
        <f aca="false">SUMIFS(Communes!$R$5:$R$187,Communes!$E$5:$E$187,A5)</f>
        <v>11</v>
      </c>
      <c r="P5" s="10" t="n">
        <f aca="false">SUMIFS(Communes!$S$5:$S$187,Communes!$E$5:$E$187,A5)</f>
        <v>1603</v>
      </c>
      <c r="Q5" s="10" t="n">
        <f aca="false">SUMIFS(Communes!$T$5:$T$187,Communes!$E$5:$E$187,A5)</f>
        <v>43</v>
      </c>
      <c r="R5" s="10" t="n">
        <f aca="false">SUMIFS(Communes!$U$5:$U$187,Communes!$E$5:$E$187,A5)</f>
        <v>78</v>
      </c>
      <c r="S5" s="10" t="n">
        <f aca="false">SUMIFS(Communes!$V$5:$V$187,Communes!$E$5:$E$187,A5)</f>
        <v>11</v>
      </c>
      <c r="T5" s="10" t="n">
        <f aca="false">SUMIFS(Communes!$W$5:$W$187,Communes!$E$5:$E$187,A5)</f>
        <v>185</v>
      </c>
      <c r="U5" s="10" t="n">
        <f aca="false">SUMIFS(Communes!$X$5:$X$187,Communes!$E$5:$E$187,A5)</f>
        <v>48</v>
      </c>
      <c r="V5" s="10" t="n">
        <f aca="false">SUMIFS(Communes!$Y$5:$Y$187,Communes!$E$5:$E$187,A5)</f>
        <v>3</v>
      </c>
      <c r="W5" s="10" t="n">
        <f aca="false">SUMIFS(Communes!$Z$5:$Z$187,Communes!$E$5:$E$187,A5)</f>
        <v>5</v>
      </c>
      <c r="X5" s="10" t="n">
        <f aca="false">SUMIFS(Communes!$AA$5:$AA$187,Communes!$E$5:$E$187,A5)</f>
        <v>4</v>
      </c>
      <c r="Y5" s="10" t="n">
        <f aca="false">SUMIFS(Communes!$AB$5:$AB$187,Communes!$E$5:$E$187,A5)</f>
        <v>7</v>
      </c>
      <c r="Z5" s="10" t="n">
        <f aca="false">SUMIFS(Communes!$AC$5:$AC$187,Communes!$E$5:$E$187,A5)</f>
        <v>4</v>
      </c>
      <c r="AA5" s="10" t="n">
        <f aca="false">SUMIFS(Communes!$AD$5:$AD$187,Communes!$E$5:$E$187,A5)</f>
        <v>0</v>
      </c>
      <c r="AB5" s="10" t="n">
        <f aca="false">SUMIFS(Communes!$AE$5:$AE$187,Communes!$E$5:$E$187,A5)</f>
        <v>75</v>
      </c>
      <c r="AC5" s="10" t="n">
        <f aca="false">SUMIFS(Communes!$AF$5:$AF$187,Communes!$E$5:$E$187,A5)</f>
        <v>78</v>
      </c>
      <c r="AD5" s="10" t="n">
        <f aca="false">SUMIFS(Communes!$AG$5:$AG$187,Communes!$E$5:$E$187,A5)</f>
        <v>83</v>
      </c>
      <c r="AE5" s="10" t="n">
        <f aca="false">SUMIFS(Communes!$AH$5:$AH$187,Communes!$E$5:$E$187,A5)</f>
        <v>77</v>
      </c>
      <c r="AF5" s="10" t="n">
        <f aca="false">SUMIFS(Communes!$AI$5:$AI$187,Communes!$E$5:$E$187,A5)</f>
        <v>76</v>
      </c>
      <c r="AG5" s="10" t="n">
        <f aca="false">SUMIFS(Communes!$AJ$5:$AJ$187,Communes!$E$5:$E$187,A5)</f>
        <v>18453</v>
      </c>
      <c r="AH5" s="10" t="n">
        <f aca="false">SUMIFS(Communes!$AK$5:$AK$187,Communes!$E$5:$E$187,A5)</f>
        <v>18826</v>
      </c>
      <c r="AI5" s="10" t="n">
        <f aca="false">SUMIFS(Communes!$AL$5:$AL$187,Communes!$E$5:$E$187,A5)</f>
        <v>18285</v>
      </c>
      <c r="AJ5" s="10" t="n">
        <f aca="false">SUMIFS(Communes!$AM$5:$AM$187,Communes!$E$5:$E$187,A5)</f>
        <v>18023</v>
      </c>
      <c r="AK5" s="10" t="n">
        <f aca="false">SUMIFS(Communes!$AN$5:$AN$187,Communes!$E$5:$E$187,A5)</f>
        <v>19162</v>
      </c>
      <c r="AL5" s="10" t="n">
        <f aca="false">SUMIFS(Communes!$AO$5:$AO$187,Communes!$E$5:$E$187,A5)</f>
        <v>21886</v>
      </c>
      <c r="AM5" s="10" t="n">
        <f aca="false">SUMIFS(Communes!$AP$5:$AP$187,Communes!$E$5:$E$187,A5)</f>
        <v>21432</v>
      </c>
      <c r="AN5" s="10" t="n">
        <f aca="false">F5+G5</f>
        <v>21432</v>
      </c>
      <c r="AO5" s="11" t="n">
        <f aca="false">IF(AN5&gt;0,F5/AN5,"")</f>
        <v>0.378686076894364</v>
      </c>
      <c r="AP5" s="11" t="n">
        <f aca="false">IF((M5+N5)&gt;0,M5/(M5+N5),"")</f>
        <v>0.386685552407932</v>
      </c>
      <c r="AQ5" s="12" t="n">
        <f aca="false">IF(AND(ISNUMBER(AO5),ISNUMBER(AP5)),(AO5-AP5)*100,"")</f>
        <v>-0.799947551356844</v>
      </c>
      <c r="AR5" s="12" t="n">
        <f aca="false">IF(D5&gt;0,F5/D5*1000,"")</f>
        <v>43.3750908546753</v>
      </c>
      <c r="AS5" s="12" t="n">
        <f aca="false">IF(D5&gt;0,E5/D5*10000,"")</f>
        <v>3.95485057078114</v>
      </c>
      <c r="AT5" s="12" t="n">
        <f aca="false">IF(D5&gt;0,T5/D5*10000,"")</f>
        <v>9.88712642695284</v>
      </c>
      <c r="AU5" s="12" t="n">
        <f aca="false">IF(F5&gt;0,H5/F5*100,"")</f>
        <v>22.5357318876294</v>
      </c>
      <c r="AV5" s="9" t="str">
        <f aca="false">IF(AN5&gt;=100,"ok",IF(AN5&gt;0,"effectif faible (&lt;100)","aucune association"))</f>
        <v>ok</v>
      </c>
    </row>
    <row r="6" customFormat="false" ht="15" hidden="false" customHeight="false" outlineLevel="0" collapsed="false">
      <c r="A6" s="9" t="s">
        <v>125</v>
      </c>
      <c r="B6" s="9" t="n">
        <f aca="false">COUNTIF(Communes!$E$5:$E$187,A6)</f>
        <v>25</v>
      </c>
      <c r="C6" s="9" t="n">
        <f aca="false">COUNTIFS(Communes!$E$5:$E$187,A6,Communes!$H$5:$H$187,0)</f>
        <v>7</v>
      </c>
      <c r="D6" s="10" t="n">
        <f aca="false">SUMIFS(Communes!$G$5:$G$187,Communes!$E$5:$E$187,A6)</f>
        <v>269382</v>
      </c>
      <c r="E6" s="10" t="n">
        <f aca="false">SUMIFS(Communes!$H$5:$H$187,Communes!$E$5:$E$187,A6)</f>
        <v>92</v>
      </c>
      <c r="F6" s="10" t="n">
        <f aca="false">SUMIFS(Communes!$I$5:$I$187,Communes!$E$5:$E$187,A6)</f>
        <v>11938</v>
      </c>
      <c r="G6" s="10" t="n">
        <f aca="false">SUMIFS(Communes!$J$5:$J$187,Communes!$E$5:$E$187,A6)</f>
        <v>16668</v>
      </c>
      <c r="H6" s="10" t="n">
        <f aca="false">SUMIFS(Communes!$K$5:$K$187,Communes!$E$5:$E$187,A6)</f>
        <v>1426</v>
      </c>
      <c r="I6" s="10" t="n">
        <f aca="false">SUMIFS(Communes!$L$5:$L$187,Communes!$E$5:$E$187,A6)</f>
        <v>180</v>
      </c>
      <c r="J6" s="10" t="n">
        <f aca="false">SUMIFS(Communes!$M$5:$M$187,Communes!$E$5:$E$187,A6)</f>
        <v>14</v>
      </c>
      <c r="K6" s="10" t="n">
        <f aca="false">SUMIFS(Communes!$N$5:$N$187,Communes!$E$5:$E$187,A6)</f>
        <v>28</v>
      </c>
      <c r="L6" s="10" t="n">
        <f aca="false">SUMIFS(Communes!$O$5:$O$187,Communes!$E$5:$E$187,A6)</f>
        <v>93</v>
      </c>
      <c r="M6" s="10" t="n">
        <f aca="false">SUMIFS(Communes!$P$5:$P$187,Communes!$E$5:$E$187,A6)</f>
        <v>13271</v>
      </c>
      <c r="N6" s="10" t="n">
        <f aca="false">SUMIFS(Communes!$Q$5:$Q$187,Communes!$E$5:$E$187,A6)</f>
        <v>17717</v>
      </c>
      <c r="O6" s="10" t="n">
        <f aca="false">SUMIFS(Communes!$R$5:$R$187,Communes!$E$5:$E$187,A6)</f>
        <v>19</v>
      </c>
      <c r="P6" s="10" t="n">
        <f aca="false">SUMIFS(Communes!$S$5:$S$187,Communes!$E$5:$E$187,A6)</f>
        <v>2826</v>
      </c>
      <c r="Q6" s="10" t="n">
        <f aca="false">SUMIFS(Communes!$T$5:$T$187,Communes!$E$5:$E$187,A6)</f>
        <v>100</v>
      </c>
      <c r="R6" s="10" t="n">
        <f aca="false">SUMIFS(Communes!$U$5:$U$187,Communes!$E$5:$E$187,A6)</f>
        <v>92</v>
      </c>
      <c r="S6" s="10" t="n">
        <f aca="false">SUMIFS(Communes!$V$5:$V$187,Communes!$E$5:$E$187,A6)</f>
        <v>18</v>
      </c>
      <c r="T6" s="10" t="n">
        <f aca="false">SUMIFS(Communes!$W$5:$W$187,Communes!$E$5:$E$187,A6)</f>
        <v>299</v>
      </c>
      <c r="U6" s="10" t="n">
        <f aca="false">SUMIFS(Communes!$X$5:$X$187,Communes!$E$5:$E$187,A6)</f>
        <v>93</v>
      </c>
      <c r="V6" s="10" t="n">
        <f aca="false">SUMIFS(Communes!$Y$5:$Y$187,Communes!$E$5:$E$187,A6)</f>
        <v>11</v>
      </c>
      <c r="W6" s="10" t="n">
        <f aca="false">SUMIFS(Communes!$Z$5:$Z$187,Communes!$E$5:$E$187,A6)</f>
        <v>4</v>
      </c>
      <c r="X6" s="10" t="n">
        <f aca="false">SUMIFS(Communes!$AA$5:$AA$187,Communes!$E$5:$E$187,A6)</f>
        <v>5</v>
      </c>
      <c r="Y6" s="10" t="n">
        <f aca="false">SUMIFS(Communes!$AB$5:$AB$187,Communes!$E$5:$E$187,A6)</f>
        <v>6</v>
      </c>
      <c r="Z6" s="10" t="n">
        <f aca="false">SUMIFS(Communes!$AC$5:$AC$187,Communes!$E$5:$E$187,A6)</f>
        <v>15</v>
      </c>
      <c r="AA6" s="10" t="n">
        <f aca="false">SUMIFS(Communes!$AD$5:$AD$187,Communes!$E$5:$E$187,A6)</f>
        <v>0</v>
      </c>
      <c r="AB6" s="10" t="n">
        <f aca="false">SUMIFS(Communes!$AE$5:$AE$187,Communes!$E$5:$E$187,A6)</f>
        <v>88</v>
      </c>
      <c r="AC6" s="10" t="n">
        <f aca="false">SUMIFS(Communes!$AF$5:$AF$187,Communes!$E$5:$E$187,A6)</f>
        <v>92</v>
      </c>
      <c r="AD6" s="10" t="n">
        <f aca="false">SUMIFS(Communes!$AG$5:$AG$187,Communes!$E$5:$E$187,A6)</f>
        <v>96</v>
      </c>
      <c r="AE6" s="10" t="n">
        <f aca="false">SUMIFS(Communes!$AH$5:$AH$187,Communes!$E$5:$E$187,A6)</f>
        <v>92</v>
      </c>
      <c r="AF6" s="10" t="n">
        <f aca="false">SUMIFS(Communes!$AI$5:$AI$187,Communes!$E$5:$E$187,A6)</f>
        <v>87</v>
      </c>
      <c r="AG6" s="10" t="n">
        <f aca="false">SUMIFS(Communes!$AJ$5:$AJ$187,Communes!$E$5:$E$187,A6)</f>
        <v>27609</v>
      </c>
      <c r="AH6" s="10" t="n">
        <f aca="false">SUMIFS(Communes!$AK$5:$AK$187,Communes!$E$5:$E$187,A6)</f>
        <v>26605</v>
      </c>
      <c r="AI6" s="10" t="n">
        <f aca="false">SUMIFS(Communes!$AL$5:$AL$187,Communes!$E$5:$E$187,A6)</f>
        <v>26537</v>
      </c>
      <c r="AJ6" s="10" t="n">
        <f aca="false">SUMIFS(Communes!$AM$5:$AM$187,Communes!$E$5:$E$187,A6)</f>
        <v>23295</v>
      </c>
      <c r="AK6" s="10" t="n">
        <f aca="false">SUMIFS(Communes!$AN$5:$AN$187,Communes!$E$5:$E$187,A6)</f>
        <v>26940</v>
      </c>
      <c r="AL6" s="10" t="n">
        <f aca="false">SUMIFS(Communes!$AO$5:$AO$187,Communes!$E$5:$E$187,A6)</f>
        <v>30988</v>
      </c>
      <c r="AM6" s="10" t="n">
        <f aca="false">SUMIFS(Communes!$AP$5:$AP$187,Communes!$E$5:$E$187,A6)</f>
        <v>28606</v>
      </c>
      <c r="AN6" s="10" t="n">
        <f aca="false">F6+G6</f>
        <v>28606</v>
      </c>
      <c r="AO6" s="11" t="n">
        <f aca="false">IF(AN6&gt;0,F6/AN6,"")</f>
        <v>0.417325036705586</v>
      </c>
      <c r="AP6" s="11" t="n">
        <f aca="false">IF((M6+N6)&gt;0,M6/(M6+N6),"")</f>
        <v>0.428262553246418</v>
      </c>
      <c r="AQ6" s="12" t="n">
        <f aca="false">IF(AND(ISNUMBER(AO6),ISNUMBER(AP6)),(AO6-AP6)*100,"")</f>
        <v>-1.09375165408317</v>
      </c>
      <c r="AR6" s="12" t="n">
        <f aca="false">IF(D6&gt;0,F6/D6*1000,"")</f>
        <v>44.3162497865485</v>
      </c>
      <c r="AS6" s="12" t="n">
        <f aca="false">IF(D6&gt;0,E6/D6*10000,"")</f>
        <v>3.41522447676534</v>
      </c>
      <c r="AT6" s="12" t="n">
        <f aca="false">IF(D6&gt;0,T6/D6*10000,"")</f>
        <v>11.0994795494873</v>
      </c>
      <c r="AU6" s="12" t="n">
        <f aca="false">IF(F6&gt;0,H6/F6*100,"")</f>
        <v>11.9450494220137</v>
      </c>
      <c r="AV6" s="9" t="str">
        <f aca="false">IF(AN6&gt;=100,"ok",IF(AN6&gt;0,"effectif faible (&lt;100)","aucune association"))</f>
        <v>ok</v>
      </c>
    </row>
    <row r="7" customFormat="false" ht="15" hidden="false" customHeight="false" outlineLevel="0" collapsed="false">
      <c r="A7" s="9" t="s">
        <v>170</v>
      </c>
      <c r="B7" s="9" t="n">
        <f aca="false">COUNTIF(Communes!$E$5:$E$187,A7)</f>
        <v>1</v>
      </c>
      <c r="C7" s="9" t="n">
        <f aca="false">COUNTIFS(Communes!$E$5:$E$187,A7,Communes!$H$5:$H$187,0)</f>
        <v>0</v>
      </c>
      <c r="D7" s="10" t="n">
        <f aca="false">SUMIFS(Communes!$G$5:$G$187,Communes!$E$5:$E$187,A7)</f>
        <v>36434</v>
      </c>
      <c r="E7" s="10" t="n">
        <f aca="false">SUMIFS(Communes!$H$5:$H$187,Communes!$E$5:$E$187,A7)</f>
        <v>2</v>
      </c>
      <c r="F7" s="10" t="n">
        <f aca="false">SUMIFS(Communes!$I$5:$I$187,Communes!$E$5:$E$187,A7)</f>
        <v>1246</v>
      </c>
      <c r="G7" s="10" t="n">
        <f aca="false">SUMIFS(Communes!$J$5:$J$187,Communes!$E$5:$E$187,A7)</f>
        <v>1833</v>
      </c>
      <c r="H7" s="10" t="n">
        <f aca="false">SUMIFS(Communes!$K$5:$K$187,Communes!$E$5:$E$187,A7)</f>
        <v>310</v>
      </c>
      <c r="I7" s="10" t="n">
        <f aca="false">SUMIFS(Communes!$L$5:$L$187,Communes!$E$5:$E$187,A7)</f>
        <v>22</v>
      </c>
      <c r="J7" s="10" t="n">
        <f aca="false">SUMIFS(Communes!$M$5:$M$187,Communes!$E$5:$E$187,A7)</f>
        <v>1</v>
      </c>
      <c r="K7" s="10" t="n">
        <f aca="false">SUMIFS(Communes!$N$5:$N$187,Communes!$E$5:$E$187,A7)</f>
        <v>0</v>
      </c>
      <c r="L7" s="10" t="n">
        <f aca="false">SUMIFS(Communes!$O$5:$O$187,Communes!$E$5:$E$187,A7)</f>
        <v>2</v>
      </c>
      <c r="M7" s="10" t="n">
        <f aca="false">SUMIFS(Communes!$P$5:$P$187,Communes!$E$5:$E$187,A7)</f>
        <v>1087</v>
      </c>
      <c r="N7" s="10" t="n">
        <f aca="false">SUMIFS(Communes!$Q$5:$Q$187,Communes!$E$5:$E$187,A7)</f>
        <v>1906</v>
      </c>
      <c r="O7" s="10" t="n">
        <f aca="false">SUMIFS(Communes!$R$5:$R$187,Communes!$E$5:$E$187,A7)</f>
        <v>1</v>
      </c>
      <c r="P7" s="10" t="n">
        <f aca="false">SUMIFS(Communes!$S$5:$S$187,Communes!$E$5:$E$187,A7)</f>
        <v>234</v>
      </c>
      <c r="Q7" s="10" t="n">
        <f aca="false">SUMIFS(Communes!$T$5:$T$187,Communes!$E$5:$E$187,A7)</f>
        <v>7</v>
      </c>
      <c r="R7" s="10" t="n">
        <f aca="false">SUMIFS(Communes!$U$5:$U$187,Communes!$E$5:$E$187,A7)</f>
        <v>2</v>
      </c>
      <c r="S7" s="10" t="n">
        <f aca="false">SUMIFS(Communes!$V$5:$V$187,Communes!$E$5:$E$187,A7)</f>
        <v>1</v>
      </c>
      <c r="T7" s="10" t="n">
        <f aca="false">SUMIFS(Communes!$W$5:$W$187,Communes!$E$5:$E$187,A7)</f>
        <v>22</v>
      </c>
      <c r="U7" s="10" t="n">
        <f aca="false">SUMIFS(Communes!$X$5:$X$187,Communes!$E$5:$E$187,A7)</f>
        <v>3</v>
      </c>
      <c r="V7" s="10" t="n">
        <f aca="false">SUMIFS(Communes!$Y$5:$Y$187,Communes!$E$5:$E$187,A7)</f>
        <v>0</v>
      </c>
      <c r="W7" s="10" t="n">
        <f aca="false">SUMIFS(Communes!$Z$5:$Z$187,Communes!$E$5:$E$187,A7)</f>
        <v>1</v>
      </c>
      <c r="X7" s="10" t="n">
        <f aca="false">SUMIFS(Communes!$AA$5:$AA$187,Communes!$E$5:$E$187,A7)</f>
        <v>1</v>
      </c>
      <c r="Y7" s="10" t="n">
        <f aca="false">SUMIFS(Communes!$AB$5:$AB$187,Communes!$E$5:$E$187,A7)</f>
        <v>1</v>
      </c>
      <c r="Z7" s="10" t="n">
        <f aca="false">SUMIFS(Communes!$AC$5:$AC$187,Communes!$E$5:$E$187,A7)</f>
        <v>1</v>
      </c>
      <c r="AA7" s="10" t="n">
        <f aca="false">SUMIFS(Communes!$AD$5:$AD$187,Communes!$E$5:$E$187,A7)</f>
        <v>0</v>
      </c>
      <c r="AB7" s="10" t="n">
        <f aca="false">SUMIFS(Communes!$AE$5:$AE$187,Communes!$E$5:$E$187,A7)</f>
        <v>3</v>
      </c>
      <c r="AC7" s="10" t="n">
        <f aca="false">SUMIFS(Communes!$AF$5:$AF$187,Communes!$E$5:$E$187,A7)</f>
        <v>2</v>
      </c>
      <c r="AD7" s="10" t="n">
        <f aca="false">SUMIFS(Communes!$AG$5:$AG$187,Communes!$E$5:$E$187,A7)</f>
        <v>2</v>
      </c>
      <c r="AE7" s="10" t="n">
        <f aca="false">SUMIFS(Communes!$AH$5:$AH$187,Communes!$E$5:$E$187,A7)</f>
        <v>1</v>
      </c>
      <c r="AF7" s="10" t="n">
        <f aca="false">SUMIFS(Communes!$AI$5:$AI$187,Communes!$E$5:$E$187,A7)</f>
        <v>2</v>
      </c>
      <c r="AG7" s="10" t="n">
        <f aca="false">SUMIFS(Communes!$AJ$5:$AJ$187,Communes!$E$5:$E$187,A7)</f>
        <v>2334</v>
      </c>
      <c r="AH7" s="10" t="n">
        <f aca="false">SUMIFS(Communes!$AK$5:$AK$187,Communes!$E$5:$E$187,A7)</f>
        <v>2196</v>
      </c>
      <c r="AI7" s="10" t="n">
        <f aca="false">SUMIFS(Communes!$AL$5:$AL$187,Communes!$E$5:$E$187,A7)</f>
        <v>1861</v>
      </c>
      <c r="AJ7" s="10" t="n">
        <f aca="false">SUMIFS(Communes!$AM$5:$AM$187,Communes!$E$5:$E$187,A7)</f>
        <v>2216</v>
      </c>
      <c r="AK7" s="10" t="n">
        <f aca="false">SUMIFS(Communes!$AN$5:$AN$187,Communes!$E$5:$E$187,A7)</f>
        <v>2310</v>
      </c>
      <c r="AL7" s="10" t="n">
        <f aca="false">SUMIFS(Communes!$AO$5:$AO$187,Communes!$E$5:$E$187,A7)</f>
        <v>2993</v>
      </c>
      <c r="AM7" s="10" t="n">
        <f aca="false">SUMIFS(Communes!$AP$5:$AP$187,Communes!$E$5:$E$187,A7)</f>
        <v>3079</v>
      </c>
      <c r="AN7" s="10" t="n">
        <f aca="false">F7+G7</f>
        <v>3079</v>
      </c>
      <c r="AO7" s="11" t="n">
        <f aca="false">IF(AN7&gt;0,F7/AN7,"")</f>
        <v>0.404676843130887</v>
      </c>
      <c r="AP7" s="11" t="n">
        <f aca="false">IF((M7+N7)&gt;0,M7/(M7+N7),"")</f>
        <v>0.363180755095222</v>
      </c>
      <c r="AQ7" s="12" t="n">
        <f aca="false">IF(AND(ISNUMBER(AO7),ISNUMBER(AP7)),(AO7-AP7)*100,"")</f>
        <v>4.14960880356645</v>
      </c>
      <c r="AR7" s="12" t="n">
        <f aca="false">IF(D7&gt;0,F7/D7*1000,"")</f>
        <v>34.1988252730966</v>
      </c>
      <c r="AS7" s="12" t="n">
        <f aca="false">IF(D7&gt;0,E7/D7*10000,"")</f>
        <v>0.548937805346654</v>
      </c>
      <c r="AT7" s="12" t="n">
        <f aca="false">IF(D7&gt;0,T7/D7*10000,"")</f>
        <v>6.0383158588132</v>
      </c>
      <c r="AU7" s="12" t="n">
        <f aca="false">IF(F7&gt;0,H7/F7*100,"")</f>
        <v>24.8796147672552</v>
      </c>
      <c r="AV7" s="9" t="str">
        <f aca="false">IF(AN7&gt;=100,"ok",IF(AN7&gt;0,"effectif faible (&lt;100)","aucune association"))</f>
        <v>ok</v>
      </c>
    </row>
    <row r="8" customFormat="false" ht="15" hidden="false" customHeight="false" outlineLevel="0" collapsed="false">
      <c r="A8" s="9" t="s">
        <v>152</v>
      </c>
      <c r="B8" s="9" t="n">
        <f aca="false">COUNTIF(Communes!$E$5:$E$187,A8)</f>
        <v>15</v>
      </c>
      <c r="C8" s="9" t="n">
        <f aca="false">COUNTIFS(Communes!$E$5:$E$187,A8,Communes!$H$5:$H$187,0)</f>
        <v>0</v>
      </c>
      <c r="D8" s="10" t="n">
        <f aca="false">SUMIFS(Communes!$G$5:$G$187,Communes!$E$5:$E$187,A8)</f>
        <v>290890</v>
      </c>
      <c r="E8" s="10" t="n">
        <f aca="false">SUMIFS(Communes!$H$5:$H$187,Communes!$E$5:$E$187,A8)</f>
        <v>124</v>
      </c>
      <c r="F8" s="10" t="n">
        <f aca="false">SUMIFS(Communes!$I$5:$I$187,Communes!$E$5:$E$187,A8)</f>
        <v>19712</v>
      </c>
      <c r="G8" s="10" t="n">
        <f aca="false">SUMIFS(Communes!$J$5:$J$187,Communes!$E$5:$E$187,A8)</f>
        <v>19665</v>
      </c>
      <c r="H8" s="10" t="n">
        <f aca="false">SUMIFS(Communes!$K$5:$K$187,Communes!$E$5:$E$187,A8)</f>
        <v>2533</v>
      </c>
      <c r="I8" s="10" t="n">
        <f aca="false">SUMIFS(Communes!$L$5:$L$187,Communes!$E$5:$E$187,A8)</f>
        <v>395</v>
      </c>
      <c r="J8" s="10" t="n">
        <f aca="false">SUMIFS(Communes!$M$5:$M$187,Communes!$E$5:$E$187,A8)</f>
        <v>22</v>
      </c>
      <c r="K8" s="10" t="n">
        <f aca="false">SUMIFS(Communes!$N$5:$N$187,Communes!$E$5:$E$187,A8)</f>
        <v>34</v>
      </c>
      <c r="L8" s="10" t="n">
        <f aca="false">SUMIFS(Communes!$O$5:$O$187,Communes!$E$5:$E$187,A8)</f>
        <v>127</v>
      </c>
      <c r="M8" s="10" t="n">
        <f aca="false">SUMIFS(Communes!$P$5:$P$187,Communes!$E$5:$E$187,A8)</f>
        <v>18355</v>
      </c>
      <c r="N8" s="10" t="n">
        <f aca="false">SUMIFS(Communes!$Q$5:$Q$187,Communes!$E$5:$E$187,A8)</f>
        <v>19156</v>
      </c>
      <c r="O8" s="10" t="n">
        <f aca="false">SUMIFS(Communes!$R$5:$R$187,Communes!$E$5:$E$187,A8)</f>
        <v>12</v>
      </c>
      <c r="P8" s="10" t="n">
        <f aca="false">SUMIFS(Communes!$S$5:$S$187,Communes!$E$5:$E$187,A8)</f>
        <v>1596</v>
      </c>
      <c r="Q8" s="10" t="n">
        <f aca="false">SUMIFS(Communes!$T$5:$T$187,Communes!$E$5:$E$187,A8)</f>
        <v>51</v>
      </c>
      <c r="R8" s="10" t="n">
        <f aca="false">SUMIFS(Communes!$U$5:$U$187,Communes!$E$5:$E$187,A8)</f>
        <v>122</v>
      </c>
      <c r="S8" s="10" t="n">
        <f aca="false">SUMIFS(Communes!$V$5:$V$187,Communes!$E$5:$E$187,A8)</f>
        <v>12</v>
      </c>
      <c r="T8" s="10" t="n">
        <f aca="false">SUMIFS(Communes!$W$5:$W$187,Communes!$E$5:$E$187,A8)</f>
        <v>255</v>
      </c>
      <c r="U8" s="10" t="n">
        <f aca="false">SUMIFS(Communes!$X$5:$X$187,Communes!$E$5:$E$187,A8)</f>
        <v>72</v>
      </c>
      <c r="V8" s="10" t="n">
        <f aca="false">SUMIFS(Communes!$Y$5:$Y$187,Communes!$E$5:$E$187,A8)</f>
        <v>9</v>
      </c>
      <c r="W8" s="10" t="n">
        <f aca="false">SUMIFS(Communes!$Z$5:$Z$187,Communes!$E$5:$E$187,A8)</f>
        <v>9</v>
      </c>
      <c r="X8" s="10" t="n">
        <f aca="false">SUMIFS(Communes!$AA$5:$AA$187,Communes!$E$5:$E$187,A8)</f>
        <v>3</v>
      </c>
      <c r="Y8" s="10" t="n">
        <f aca="false">SUMIFS(Communes!$AB$5:$AB$187,Communes!$E$5:$E$187,A8)</f>
        <v>11</v>
      </c>
      <c r="Z8" s="10" t="n">
        <f aca="false">SUMIFS(Communes!$AC$5:$AC$187,Communes!$E$5:$E$187,A8)</f>
        <v>7</v>
      </c>
      <c r="AA8" s="10" t="n">
        <f aca="false">SUMIFS(Communes!$AD$5:$AD$187,Communes!$E$5:$E$187,A8)</f>
        <v>1</v>
      </c>
      <c r="AB8" s="10" t="n">
        <f aca="false">SUMIFS(Communes!$AE$5:$AE$187,Communes!$E$5:$E$187,A8)</f>
        <v>118</v>
      </c>
      <c r="AC8" s="10" t="n">
        <f aca="false">SUMIFS(Communes!$AF$5:$AF$187,Communes!$E$5:$E$187,A8)</f>
        <v>121</v>
      </c>
      <c r="AD8" s="10" t="n">
        <f aca="false">SUMIFS(Communes!$AG$5:$AG$187,Communes!$E$5:$E$187,A8)</f>
        <v>117</v>
      </c>
      <c r="AE8" s="10" t="n">
        <f aca="false">SUMIFS(Communes!$AH$5:$AH$187,Communes!$E$5:$E$187,A8)</f>
        <v>118</v>
      </c>
      <c r="AF8" s="10" t="n">
        <f aca="false">SUMIFS(Communes!$AI$5:$AI$187,Communes!$E$5:$E$187,A8)</f>
        <v>124</v>
      </c>
      <c r="AG8" s="10" t="n">
        <f aca="false">SUMIFS(Communes!$AJ$5:$AJ$187,Communes!$E$5:$E$187,A8)</f>
        <v>32578</v>
      </c>
      <c r="AH8" s="10" t="n">
        <f aca="false">SUMIFS(Communes!$AK$5:$AK$187,Communes!$E$5:$E$187,A8)</f>
        <v>36508</v>
      </c>
      <c r="AI8" s="10" t="n">
        <f aca="false">SUMIFS(Communes!$AL$5:$AL$187,Communes!$E$5:$E$187,A8)</f>
        <v>33489</v>
      </c>
      <c r="AJ8" s="10" t="n">
        <f aca="false">SUMIFS(Communes!$AM$5:$AM$187,Communes!$E$5:$E$187,A8)</f>
        <v>28788</v>
      </c>
      <c r="AK8" s="10" t="n">
        <f aca="false">SUMIFS(Communes!$AN$5:$AN$187,Communes!$E$5:$E$187,A8)</f>
        <v>33515</v>
      </c>
      <c r="AL8" s="10" t="n">
        <f aca="false">SUMIFS(Communes!$AO$5:$AO$187,Communes!$E$5:$E$187,A8)</f>
        <v>37511</v>
      </c>
      <c r="AM8" s="10" t="n">
        <f aca="false">SUMIFS(Communes!$AP$5:$AP$187,Communes!$E$5:$E$187,A8)</f>
        <v>39377</v>
      </c>
      <c r="AN8" s="10" t="n">
        <f aca="false">F8+G8</f>
        <v>39377</v>
      </c>
      <c r="AO8" s="11" t="n">
        <f aca="false">IF(AN8&gt;0,F8/AN8,"")</f>
        <v>0.500596795083424</v>
      </c>
      <c r="AP8" s="11" t="n">
        <f aca="false">IF((M8+N8)&gt;0,M8/(M8+N8),"")</f>
        <v>0.489323131881315</v>
      </c>
      <c r="AQ8" s="12" t="n">
        <f aca="false">IF(AND(ISNUMBER(AO8),ISNUMBER(AP8)),(AO8-AP8)*100,"")</f>
        <v>1.12736632021095</v>
      </c>
      <c r="AR8" s="12" t="n">
        <f aca="false">IF(D8&gt;0,F8/D8*1000,"")</f>
        <v>67.7644470418371</v>
      </c>
      <c r="AS8" s="12" t="n">
        <f aca="false">IF(D8&gt;0,E8/D8*10000,"")</f>
        <v>4.26277974492076</v>
      </c>
      <c r="AT8" s="12" t="n">
        <f aca="false">IF(D8&gt;0,T8/D8*10000,"")</f>
        <v>8.7662002818935</v>
      </c>
      <c r="AU8" s="12" t="n">
        <f aca="false">IF(F8&gt;0,H8/F8*100,"")</f>
        <v>12.8500405844156</v>
      </c>
      <c r="AV8" s="9" t="str">
        <f aca="false">IF(AN8&gt;=100,"ok",IF(AN8&gt;0,"effectif faible (&lt;100)","aucune association"))</f>
        <v>ok</v>
      </c>
    </row>
    <row r="9" customFormat="false" ht="15" hidden="false" customHeight="false" outlineLevel="0" collapsed="false">
      <c r="A9" s="9" t="s">
        <v>173</v>
      </c>
      <c r="B9" s="9" t="n">
        <f aca="false">COUNTIF(Communes!$E$5:$E$187,A9)</f>
        <v>12</v>
      </c>
      <c r="C9" s="9" t="n">
        <f aca="false">COUNTIFS(Communes!$E$5:$E$187,A9,Communes!$H$5:$H$187,0)</f>
        <v>2</v>
      </c>
      <c r="D9" s="10" t="n">
        <f aca="false">SUMIFS(Communes!$G$5:$G$187,Communes!$E$5:$E$187,A9)</f>
        <v>215825</v>
      </c>
      <c r="E9" s="10" t="n">
        <f aca="false">SUMIFS(Communes!$H$5:$H$187,Communes!$E$5:$E$187,A9)</f>
        <v>106</v>
      </c>
      <c r="F9" s="10" t="n">
        <f aca="false">SUMIFS(Communes!$I$5:$I$187,Communes!$E$5:$E$187,A9)</f>
        <v>13997</v>
      </c>
      <c r="G9" s="10" t="n">
        <f aca="false">SUMIFS(Communes!$J$5:$J$187,Communes!$E$5:$E$187,A9)</f>
        <v>18553</v>
      </c>
      <c r="H9" s="10" t="n">
        <f aca="false">SUMIFS(Communes!$K$5:$K$187,Communes!$E$5:$E$187,A9)</f>
        <v>2279</v>
      </c>
      <c r="I9" s="10" t="n">
        <f aca="false">SUMIFS(Communes!$L$5:$L$187,Communes!$E$5:$E$187,A9)</f>
        <v>275</v>
      </c>
      <c r="J9" s="10" t="n">
        <f aca="false">SUMIFS(Communes!$M$5:$M$187,Communes!$E$5:$E$187,A9)</f>
        <v>23</v>
      </c>
      <c r="K9" s="10" t="n">
        <f aca="false">SUMIFS(Communes!$N$5:$N$187,Communes!$E$5:$E$187,A9)</f>
        <v>24</v>
      </c>
      <c r="L9" s="10" t="n">
        <f aca="false">SUMIFS(Communes!$O$5:$O$187,Communes!$E$5:$E$187,A9)</f>
        <v>112</v>
      </c>
      <c r="M9" s="10" t="n">
        <f aca="false">SUMIFS(Communes!$P$5:$P$187,Communes!$E$5:$E$187,A9)</f>
        <v>12998</v>
      </c>
      <c r="N9" s="10" t="n">
        <f aca="false">SUMIFS(Communes!$Q$5:$Q$187,Communes!$E$5:$E$187,A9)</f>
        <v>18186</v>
      </c>
      <c r="O9" s="10" t="n">
        <f aca="false">SUMIFS(Communes!$R$5:$R$187,Communes!$E$5:$E$187,A9)</f>
        <v>36</v>
      </c>
      <c r="P9" s="10" t="n">
        <f aca="false">SUMIFS(Communes!$S$5:$S$187,Communes!$E$5:$E$187,A9)</f>
        <v>6821</v>
      </c>
      <c r="Q9" s="10" t="n">
        <f aca="false">SUMIFS(Communes!$T$5:$T$187,Communes!$E$5:$E$187,A9)</f>
        <v>245</v>
      </c>
      <c r="R9" s="10" t="n">
        <f aca="false">SUMIFS(Communes!$U$5:$U$187,Communes!$E$5:$E$187,A9)</f>
        <v>109</v>
      </c>
      <c r="S9" s="10" t="n">
        <f aca="false">SUMIFS(Communes!$V$5:$V$187,Communes!$E$5:$E$187,A9)</f>
        <v>37</v>
      </c>
      <c r="T9" s="10" t="n">
        <f aca="false">SUMIFS(Communes!$W$5:$W$187,Communes!$E$5:$E$187,A9)</f>
        <v>258</v>
      </c>
      <c r="U9" s="10" t="n">
        <f aca="false">SUMIFS(Communes!$X$5:$X$187,Communes!$E$5:$E$187,A9)</f>
        <v>65</v>
      </c>
      <c r="V9" s="10" t="n">
        <f aca="false">SUMIFS(Communes!$Y$5:$Y$187,Communes!$E$5:$E$187,A9)</f>
        <v>7</v>
      </c>
      <c r="W9" s="10" t="n">
        <f aca="false">SUMIFS(Communes!$Z$5:$Z$187,Communes!$E$5:$E$187,A9)</f>
        <v>7</v>
      </c>
      <c r="X9" s="10" t="n">
        <f aca="false">SUMIFS(Communes!$AA$5:$AA$187,Communes!$E$5:$E$187,A9)</f>
        <v>11</v>
      </c>
      <c r="Y9" s="10" t="n">
        <f aca="false">SUMIFS(Communes!$AB$5:$AB$187,Communes!$E$5:$E$187,A9)</f>
        <v>10</v>
      </c>
      <c r="Z9" s="10" t="n">
        <f aca="false">SUMIFS(Communes!$AC$5:$AC$187,Communes!$E$5:$E$187,A9)</f>
        <v>11</v>
      </c>
      <c r="AA9" s="10" t="n">
        <f aca="false">SUMIFS(Communes!$AD$5:$AD$187,Communes!$E$5:$E$187,A9)</f>
        <v>0</v>
      </c>
      <c r="AB9" s="10" t="n">
        <f aca="false">SUMIFS(Communes!$AE$5:$AE$187,Communes!$E$5:$E$187,A9)</f>
        <v>101</v>
      </c>
      <c r="AC9" s="10" t="n">
        <f aca="false">SUMIFS(Communes!$AF$5:$AF$187,Communes!$E$5:$E$187,A9)</f>
        <v>112</v>
      </c>
      <c r="AD9" s="10" t="n">
        <f aca="false">SUMIFS(Communes!$AG$5:$AG$187,Communes!$E$5:$E$187,A9)</f>
        <v>106</v>
      </c>
      <c r="AE9" s="10" t="n">
        <f aca="false">SUMIFS(Communes!$AH$5:$AH$187,Communes!$E$5:$E$187,A9)</f>
        <v>105</v>
      </c>
      <c r="AF9" s="10" t="n">
        <f aca="false">SUMIFS(Communes!$AI$5:$AI$187,Communes!$E$5:$E$187,A9)</f>
        <v>105</v>
      </c>
      <c r="AG9" s="10" t="n">
        <f aca="false">SUMIFS(Communes!$AJ$5:$AJ$187,Communes!$E$5:$E$187,A9)</f>
        <v>24293</v>
      </c>
      <c r="AH9" s="10" t="n">
        <f aca="false">SUMIFS(Communes!$AK$5:$AK$187,Communes!$E$5:$E$187,A9)</f>
        <v>26235</v>
      </c>
      <c r="AI9" s="10" t="n">
        <f aca="false">SUMIFS(Communes!$AL$5:$AL$187,Communes!$E$5:$E$187,A9)</f>
        <v>22304</v>
      </c>
      <c r="AJ9" s="10" t="n">
        <f aca="false">SUMIFS(Communes!$AM$5:$AM$187,Communes!$E$5:$E$187,A9)</f>
        <v>21735</v>
      </c>
      <c r="AK9" s="10" t="n">
        <f aca="false">SUMIFS(Communes!$AN$5:$AN$187,Communes!$E$5:$E$187,A9)</f>
        <v>24622</v>
      </c>
      <c r="AL9" s="10" t="n">
        <f aca="false">SUMIFS(Communes!$AO$5:$AO$187,Communes!$E$5:$E$187,A9)</f>
        <v>31184</v>
      </c>
      <c r="AM9" s="10" t="n">
        <f aca="false">SUMIFS(Communes!$AP$5:$AP$187,Communes!$E$5:$E$187,A9)</f>
        <v>32550</v>
      </c>
      <c r="AN9" s="10" t="n">
        <f aca="false">F9+G9</f>
        <v>32550</v>
      </c>
      <c r="AO9" s="11" t="n">
        <f aca="false">IF(AN9&gt;0,F9/AN9,"")</f>
        <v>0.430015360983103</v>
      </c>
      <c r="AP9" s="11" t="n">
        <f aca="false">IF((M9+N9)&gt;0,M9/(M9+N9),"")</f>
        <v>0.416816316059518</v>
      </c>
      <c r="AQ9" s="12" t="n">
        <f aca="false">IF(AND(ISNUMBER(AO9),ISNUMBER(AP9)),(AO9-AP9)*100,"")</f>
        <v>1.31990449235853</v>
      </c>
      <c r="AR9" s="12" t="n">
        <f aca="false">IF(D9&gt;0,F9/D9*1000,"")</f>
        <v>64.8534692459168</v>
      </c>
      <c r="AS9" s="12" t="n">
        <f aca="false">IF(D9&gt;0,E9/D9*10000,"")</f>
        <v>4.91138654002085</v>
      </c>
      <c r="AT9" s="12" t="n">
        <f aca="false">IF(D9&gt;0,T9/D9*10000,"")</f>
        <v>11.9541295030696</v>
      </c>
      <c r="AU9" s="12" t="n">
        <f aca="false">IF(F9&gt;0,H9/F9*100,"")</f>
        <v>16.2820604415232</v>
      </c>
      <c r="AV9" s="9" t="str">
        <f aca="false">IF(AN9&gt;=100,"ok",IF(AN9&gt;0,"effectif faible (&lt;100)","aucune association"))</f>
        <v>ok</v>
      </c>
    </row>
    <row r="10" customFormat="false" ht="15" hidden="false" customHeight="false" outlineLevel="0" collapsed="false">
      <c r="A10" s="9" t="s">
        <v>134</v>
      </c>
      <c r="B10" s="9" t="n">
        <f aca="false">COUNTIF(Communes!$E$5:$E$187,A10)</f>
        <v>19</v>
      </c>
      <c r="C10" s="9" t="n">
        <f aca="false">COUNTIFS(Communes!$E$5:$E$187,A10,Communes!$H$5:$H$187,0)</f>
        <v>9</v>
      </c>
      <c r="D10" s="10" t="n">
        <f aca="false">SUMIFS(Communes!$G$5:$G$187,Communes!$E$5:$E$187,A10)</f>
        <v>33841</v>
      </c>
      <c r="E10" s="10" t="n">
        <f aca="false">SUMIFS(Communes!$H$5:$H$187,Communes!$E$5:$E$187,A10)</f>
        <v>22</v>
      </c>
      <c r="F10" s="10" t="n">
        <f aca="false">SUMIFS(Communes!$I$5:$I$187,Communes!$E$5:$E$187,A10)</f>
        <v>2029</v>
      </c>
      <c r="G10" s="10" t="n">
        <f aca="false">SUMIFS(Communes!$J$5:$J$187,Communes!$E$5:$E$187,A10)</f>
        <v>3213</v>
      </c>
      <c r="H10" s="10" t="n">
        <f aca="false">SUMIFS(Communes!$K$5:$K$187,Communes!$E$5:$E$187,A10)</f>
        <v>500</v>
      </c>
      <c r="I10" s="10" t="n">
        <f aca="false">SUMIFS(Communes!$L$5:$L$187,Communes!$E$5:$E$187,A10)</f>
        <v>25</v>
      </c>
      <c r="J10" s="10" t="n">
        <f aca="false">SUMIFS(Communes!$M$5:$M$187,Communes!$E$5:$E$187,A10)</f>
        <v>7</v>
      </c>
      <c r="K10" s="10" t="n">
        <f aca="false">SUMIFS(Communes!$N$5:$N$187,Communes!$E$5:$E$187,A10)</f>
        <v>6</v>
      </c>
      <c r="L10" s="10" t="n">
        <f aca="false">SUMIFS(Communes!$O$5:$O$187,Communes!$E$5:$E$187,A10)</f>
        <v>25</v>
      </c>
      <c r="M10" s="10" t="n">
        <f aca="false">SUMIFS(Communes!$P$5:$P$187,Communes!$E$5:$E$187,A10)</f>
        <v>2362</v>
      </c>
      <c r="N10" s="10" t="n">
        <f aca="false">SUMIFS(Communes!$Q$5:$Q$187,Communes!$E$5:$E$187,A10)</f>
        <v>3562</v>
      </c>
      <c r="O10" s="10" t="n">
        <f aca="false">SUMIFS(Communes!$R$5:$R$187,Communes!$E$5:$E$187,A10)</f>
        <v>2</v>
      </c>
      <c r="P10" s="10" t="n">
        <f aca="false">SUMIFS(Communes!$S$5:$S$187,Communes!$E$5:$E$187,A10)</f>
        <v>269</v>
      </c>
      <c r="Q10" s="10" t="n">
        <f aca="false">SUMIFS(Communes!$T$5:$T$187,Communes!$E$5:$E$187,A10)</f>
        <v>9</v>
      </c>
      <c r="R10" s="10" t="n">
        <f aca="false">SUMIFS(Communes!$U$5:$U$187,Communes!$E$5:$E$187,A10)</f>
        <v>22</v>
      </c>
      <c r="S10" s="10" t="n">
        <f aca="false">SUMIFS(Communes!$V$5:$V$187,Communes!$E$5:$E$187,A10)</f>
        <v>2</v>
      </c>
      <c r="T10" s="10" t="n">
        <f aca="false">SUMIFS(Communes!$W$5:$W$187,Communes!$E$5:$E$187,A10)</f>
        <v>82</v>
      </c>
      <c r="U10" s="10" t="n">
        <f aca="false">SUMIFS(Communes!$X$5:$X$187,Communes!$E$5:$E$187,A10)</f>
        <v>9</v>
      </c>
      <c r="V10" s="10" t="n">
        <f aca="false">SUMIFS(Communes!$Y$5:$Y$187,Communes!$E$5:$E$187,A10)</f>
        <v>0</v>
      </c>
      <c r="W10" s="10" t="n">
        <f aca="false">SUMIFS(Communes!$Z$5:$Z$187,Communes!$E$5:$E$187,A10)</f>
        <v>2</v>
      </c>
      <c r="X10" s="10" t="n">
        <f aca="false">SUMIFS(Communes!$AA$5:$AA$187,Communes!$E$5:$E$187,A10)</f>
        <v>0</v>
      </c>
      <c r="Y10" s="10" t="n">
        <f aca="false">SUMIFS(Communes!$AB$5:$AB$187,Communes!$E$5:$E$187,A10)</f>
        <v>0</v>
      </c>
      <c r="Z10" s="10" t="n">
        <f aca="false">SUMIFS(Communes!$AC$5:$AC$187,Communes!$E$5:$E$187,A10)</f>
        <v>2</v>
      </c>
      <c r="AA10" s="10" t="n">
        <f aca="false">SUMIFS(Communes!$AD$5:$AD$187,Communes!$E$5:$E$187,A10)</f>
        <v>0</v>
      </c>
      <c r="AB10" s="10" t="n">
        <f aca="false">SUMIFS(Communes!$AE$5:$AE$187,Communes!$E$5:$E$187,A10)</f>
        <v>24</v>
      </c>
      <c r="AC10" s="10" t="n">
        <f aca="false">SUMIFS(Communes!$AF$5:$AF$187,Communes!$E$5:$E$187,A10)</f>
        <v>22</v>
      </c>
      <c r="AD10" s="10" t="n">
        <f aca="false">SUMIFS(Communes!$AG$5:$AG$187,Communes!$E$5:$E$187,A10)</f>
        <v>23</v>
      </c>
      <c r="AE10" s="10" t="n">
        <f aca="false">SUMIFS(Communes!$AH$5:$AH$187,Communes!$E$5:$E$187,A10)</f>
        <v>24</v>
      </c>
      <c r="AF10" s="10" t="n">
        <f aca="false">SUMIFS(Communes!$AI$5:$AI$187,Communes!$E$5:$E$187,A10)</f>
        <v>24</v>
      </c>
      <c r="AG10" s="10" t="n">
        <f aca="false">SUMIFS(Communes!$AJ$5:$AJ$187,Communes!$E$5:$E$187,A10)</f>
        <v>5272</v>
      </c>
      <c r="AH10" s="10" t="n">
        <f aca="false">SUMIFS(Communes!$AK$5:$AK$187,Communes!$E$5:$E$187,A10)</f>
        <v>5371</v>
      </c>
      <c r="AI10" s="10" t="n">
        <f aca="false">SUMIFS(Communes!$AL$5:$AL$187,Communes!$E$5:$E$187,A10)</f>
        <v>4696</v>
      </c>
      <c r="AJ10" s="10" t="n">
        <f aca="false">SUMIFS(Communes!$AM$5:$AM$187,Communes!$E$5:$E$187,A10)</f>
        <v>4965</v>
      </c>
      <c r="AK10" s="10" t="n">
        <f aca="false">SUMIFS(Communes!$AN$5:$AN$187,Communes!$E$5:$E$187,A10)</f>
        <v>5340</v>
      </c>
      <c r="AL10" s="10" t="n">
        <f aca="false">SUMIFS(Communes!$AO$5:$AO$187,Communes!$E$5:$E$187,A10)</f>
        <v>5924</v>
      </c>
      <c r="AM10" s="10" t="n">
        <f aca="false">SUMIFS(Communes!$AP$5:$AP$187,Communes!$E$5:$E$187,A10)</f>
        <v>5242</v>
      </c>
      <c r="AN10" s="10" t="n">
        <f aca="false">F10+G10</f>
        <v>5242</v>
      </c>
      <c r="AO10" s="11" t="n">
        <f aca="false">IF(AN10&gt;0,F10/AN10,"")</f>
        <v>0.387066005341473</v>
      </c>
      <c r="AP10" s="11" t="n">
        <f aca="false">IF((M10+N10)&gt;0,M10/(M10+N10),"")</f>
        <v>0.398717083051992</v>
      </c>
      <c r="AQ10" s="12" t="n">
        <f aca="false">IF(AND(ISNUMBER(AO10),ISNUMBER(AP10)),(AO10-AP10)*100,"")</f>
        <v>-1.16510777105192</v>
      </c>
      <c r="AR10" s="12" t="n">
        <f aca="false">IF(D10&gt;0,F10/D10*1000,"")</f>
        <v>59.9568570668715</v>
      </c>
      <c r="AS10" s="12" t="n">
        <f aca="false">IF(D10&gt;0,E10/D10*10000,"")</f>
        <v>6.50098992346562</v>
      </c>
      <c r="AT10" s="12" t="n">
        <f aca="false">IF(D10&gt;0,T10/D10*10000,"")</f>
        <v>24.2309624420082</v>
      </c>
      <c r="AU10" s="12" t="n">
        <f aca="false">IF(F10&gt;0,H10/F10*100,"")</f>
        <v>24.6426811237063</v>
      </c>
      <c r="AV10" s="9" t="str">
        <f aca="false">IF(AN10&gt;=100,"ok",IF(AN10&gt;0,"effectif faible (&lt;100)","aucune association"))</f>
        <v>ok</v>
      </c>
    </row>
    <row r="11" customFormat="false" ht="15" hidden="false" customHeight="false" outlineLevel="0" collapsed="false">
      <c r="A11" s="9" t="s">
        <v>128</v>
      </c>
      <c r="B11" s="9" t="n">
        <f aca="false">COUNTIF(Communes!$E$5:$E$187,A11)</f>
        <v>15</v>
      </c>
      <c r="C11" s="9" t="n">
        <f aca="false">COUNTIFS(Communes!$E$5:$E$187,A11,Communes!$H$5:$H$187,0)</f>
        <v>10</v>
      </c>
      <c r="D11" s="10" t="n">
        <f aca="false">SUMIFS(Communes!$G$5:$G$187,Communes!$E$5:$E$187,A11)</f>
        <v>19069</v>
      </c>
      <c r="E11" s="10" t="n">
        <f aca="false">SUMIFS(Communes!$H$5:$H$187,Communes!$E$5:$E$187,A11)</f>
        <v>14</v>
      </c>
      <c r="F11" s="10" t="n">
        <f aca="false">SUMIFS(Communes!$I$5:$I$187,Communes!$E$5:$E$187,A11)</f>
        <v>743</v>
      </c>
      <c r="G11" s="10" t="n">
        <f aca="false">SUMIFS(Communes!$J$5:$J$187,Communes!$E$5:$E$187,A11)</f>
        <v>1396</v>
      </c>
      <c r="H11" s="10" t="n">
        <f aca="false">SUMIFS(Communes!$K$5:$K$187,Communes!$E$5:$E$187,A11)</f>
        <v>198</v>
      </c>
      <c r="I11" s="10" t="n">
        <f aca="false">SUMIFS(Communes!$L$5:$L$187,Communes!$E$5:$E$187,A11)</f>
        <v>18</v>
      </c>
      <c r="J11" s="10" t="n">
        <f aca="false">SUMIFS(Communes!$M$5:$M$187,Communes!$E$5:$E$187,A11)</f>
        <v>2</v>
      </c>
      <c r="K11" s="10" t="n">
        <f aca="false">SUMIFS(Communes!$N$5:$N$187,Communes!$E$5:$E$187,A11)</f>
        <v>3</v>
      </c>
      <c r="L11" s="10" t="n">
        <f aca="false">SUMIFS(Communes!$O$5:$O$187,Communes!$E$5:$E$187,A11)</f>
        <v>15</v>
      </c>
      <c r="M11" s="10" t="n">
        <f aca="false">SUMIFS(Communes!$P$5:$P$187,Communes!$E$5:$E$187,A11)</f>
        <v>767</v>
      </c>
      <c r="N11" s="10" t="n">
        <f aca="false">SUMIFS(Communes!$Q$5:$Q$187,Communes!$E$5:$E$187,A11)</f>
        <v>1383</v>
      </c>
      <c r="O11" s="10" t="n">
        <f aca="false">SUMIFS(Communes!$R$5:$R$187,Communes!$E$5:$E$187,A11)</f>
        <v>3</v>
      </c>
      <c r="P11" s="10" t="n">
        <f aca="false">SUMIFS(Communes!$S$5:$S$187,Communes!$E$5:$E$187,A11)</f>
        <v>528</v>
      </c>
      <c r="Q11" s="10" t="n">
        <f aca="false">SUMIFS(Communes!$T$5:$T$187,Communes!$E$5:$E$187,A11)</f>
        <v>13</v>
      </c>
      <c r="R11" s="10" t="n">
        <f aca="false">SUMIFS(Communes!$U$5:$U$187,Communes!$E$5:$E$187,A11)</f>
        <v>15</v>
      </c>
      <c r="S11" s="10" t="n">
        <f aca="false">SUMIFS(Communes!$V$5:$V$187,Communes!$E$5:$E$187,A11)</f>
        <v>3</v>
      </c>
      <c r="T11" s="10" t="n">
        <f aca="false">SUMIFS(Communes!$W$5:$W$187,Communes!$E$5:$E$187,A11)</f>
        <v>61</v>
      </c>
      <c r="U11" s="10" t="n">
        <f aca="false">SUMIFS(Communes!$X$5:$X$187,Communes!$E$5:$E$187,A11)</f>
        <v>6</v>
      </c>
      <c r="V11" s="10" t="n">
        <f aca="false">SUMIFS(Communes!$Y$5:$Y$187,Communes!$E$5:$E$187,A11)</f>
        <v>0</v>
      </c>
      <c r="W11" s="10" t="n">
        <f aca="false">SUMIFS(Communes!$Z$5:$Z$187,Communes!$E$5:$E$187,A11)</f>
        <v>0</v>
      </c>
      <c r="X11" s="10" t="n">
        <f aca="false">SUMIFS(Communes!$AA$5:$AA$187,Communes!$E$5:$E$187,A11)</f>
        <v>0</v>
      </c>
      <c r="Y11" s="10" t="n">
        <f aca="false">SUMIFS(Communes!$AB$5:$AB$187,Communes!$E$5:$E$187,A11)</f>
        <v>0</v>
      </c>
      <c r="Z11" s="10" t="n">
        <f aca="false">SUMIFS(Communes!$AC$5:$AC$187,Communes!$E$5:$E$187,A11)</f>
        <v>1</v>
      </c>
      <c r="AA11" s="10" t="n">
        <f aca="false">SUMIFS(Communes!$AD$5:$AD$187,Communes!$E$5:$E$187,A11)</f>
        <v>0</v>
      </c>
      <c r="AB11" s="10" t="n">
        <f aca="false">SUMIFS(Communes!$AE$5:$AE$187,Communes!$E$5:$E$187,A11)</f>
        <v>19</v>
      </c>
      <c r="AC11" s="10" t="n">
        <f aca="false">SUMIFS(Communes!$AF$5:$AF$187,Communes!$E$5:$E$187,A11)</f>
        <v>18</v>
      </c>
      <c r="AD11" s="10" t="n">
        <f aca="false">SUMIFS(Communes!$AG$5:$AG$187,Communes!$E$5:$E$187,A11)</f>
        <v>17</v>
      </c>
      <c r="AE11" s="10" t="n">
        <f aca="false">SUMIFS(Communes!$AH$5:$AH$187,Communes!$E$5:$E$187,A11)</f>
        <v>14</v>
      </c>
      <c r="AF11" s="10" t="n">
        <f aca="false">SUMIFS(Communes!$AI$5:$AI$187,Communes!$E$5:$E$187,A11)</f>
        <v>15</v>
      </c>
      <c r="AG11" s="10" t="n">
        <f aca="false">SUMIFS(Communes!$AJ$5:$AJ$187,Communes!$E$5:$E$187,A11)</f>
        <v>3030</v>
      </c>
      <c r="AH11" s="10" t="n">
        <f aca="false">SUMIFS(Communes!$AK$5:$AK$187,Communes!$E$5:$E$187,A11)</f>
        <v>2610</v>
      </c>
      <c r="AI11" s="10" t="n">
        <f aca="false">SUMIFS(Communes!$AL$5:$AL$187,Communes!$E$5:$E$187,A11)</f>
        <v>2068</v>
      </c>
      <c r="AJ11" s="10" t="n">
        <f aca="false">SUMIFS(Communes!$AM$5:$AM$187,Communes!$E$5:$E$187,A11)</f>
        <v>1884</v>
      </c>
      <c r="AK11" s="10" t="n">
        <f aca="false">SUMIFS(Communes!$AN$5:$AN$187,Communes!$E$5:$E$187,A11)</f>
        <v>1917</v>
      </c>
      <c r="AL11" s="10" t="n">
        <f aca="false">SUMIFS(Communes!$AO$5:$AO$187,Communes!$E$5:$E$187,A11)</f>
        <v>2150</v>
      </c>
      <c r="AM11" s="10" t="n">
        <f aca="false">SUMIFS(Communes!$AP$5:$AP$187,Communes!$E$5:$E$187,A11)</f>
        <v>2139</v>
      </c>
      <c r="AN11" s="10" t="n">
        <f aca="false">F11+G11</f>
        <v>2139</v>
      </c>
      <c r="AO11" s="11" t="n">
        <f aca="false">IF(AN11&gt;0,F11/AN11,"")</f>
        <v>0.347358578775129</v>
      </c>
      <c r="AP11" s="11" t="n">
        <f aca="false">IF((M11+N11)&gt;0,M11/(M11+N11),"")</f>
        <v>0.356744186046512</v>
      </c>
      <c r="AQ11" s="12" t="n">
        <f aca="false">IF(AND(ISNUMBER(AO11),ISNUMBER(AP11)),(AO11-AP11)*100,"")</f>
        <v>-0.93856072713831</v>
      </c>
      <c r="AR11" s="12" t="n">
        <f aca="false">IF(D11&gt;0,F11/D11*1000,"")</f>
        <v>38.9637631758351</v>
      </c>
      <c r="AS11" s="12" t="n">
        <f aca="false">IF(D11&gt;0,E11/D11*10000,"")</f>
        <v>7.34175887566207</v>
      </c>
      <c r="AT11" s="12" t="n">
        <f aca="false">IF(D11&gt;0,T11/D11*10000,"")</f>
        <v>31.9890922439562</v>
      </c>
      <c r="AU11" s="12" t="n">
        <f aca="false">IF(F11&gt;0,H11/F11*100,"")</f>
        <v>26.6487213997308</v>
      </c>
      <c r="AV11" s="9" t="str">
        <f aca="false">IF(AN11&gt;=100,"ok",IF(AN11&gt;0,"effectif faible (&lt;100)","aucune association"))</f>
        <v>ok</v>
      </c>
    </row>
    <row r="12" customFormat="false" ht="15" hidden="false" customHeight="false" outlineLevel="0" collapsed="false">
      <c r="A12" s="9" t="s">
        <v>102</v>
      </c>
      <c r="B12" s="9" t="n">
        <f aca="false">COUNTIF(Communes!$E$5:$E$187,A12)</f>
        <v>33</v>
      </c>
      <c r="C12" s="9" t="n">
        <f aca="false">COUNTIFS(Communes!$E$5:$E$187,A12,Communes!$H$5:$H$187,0)</f>
        <v>22</v>
      </c>
      <c r="D12" s="10" t="n">
        <f aca="false">SUMIFS(Communes!$G$5:$G$187,Communes!$E$5:$E$187,A12)</f>
        <v>25317</v>
      </c>
      <c r="E12" s="10" t="n">
        <f aca="false">SUMIFS(Communes!$H$5:$H$187,Communes!$E$5:$E$187,A12)</f>
        <v>22</v>
      </c>
      <c r="F12" s="10" t="n">
        <f aca="false">SUMIFS(Communes!$I$5:$I$187,Communes!$E$5:$E$187,A12)</f>
        <v>1222</v>
      </c>
      <c r="G12" s="10" t="n">
        <f aca="false">SUMIFS(Communes!$J$5:$J$187,Communes!$E$5:$E$187,A12)</f>
        <v>1728</v>
      </c>
      <c r="H12" s="10" t="n">
        <f aca="false">SUMIFS(Communes!$K$5:$K$187,Communes!$E$5:$E$187,A12)</f>
        <v>260</v>
      </c>
      <c r="I12" s="10" t="n">
        <f aca="false">SUMIFS(Communes!$L$5:$L$187,Communes!$E$5:$E$187,A12)</f>
        <v>20</v>
      </c>
      <c r="J12" s="10" t="n">
        <f aca="false">SUMIFS(Communes!$M$5:$M$187,Communes!$E$5:$E$187,A12)</f>
        <v>8</v>
      </c>
      <c r="K12" s="10" t="n">
        <f aca="false">SUMIFS(Communes!$N$5:$N$187,Communes!$E$5:$E$187,A12)</f>
        <v>2</v>
      </c>
      <c r="L12" s="10" t="n">
        <f aca="false">SUMIFS(Communes!$O$5:$O$187,Communes!$E$5:$E$187,A12)</f>
        <v>24</v>
      </c>
      <c r="M12" s="10" t="n">
        <f aca="false">SUMIFS(Communes!$P$5:$P$187,Communes!$E$5:$E$187,A12)</f>
        <v>1254</v>
      </c>
      <c r="N12" s="10" t="n">
        <f aca="false">SUMIFS(Communes!$Q$5:$Q$187,Communes!$E$5:$E$187,A12)</f>
        <v>2095</v>
      </c>
      <c r="O12" s="10" t="n">
        <f aca="false">SUMIFS(Communes!$R$5:$R$187,Communes!$E$5:$E$187,A12)</f>
        <v>2</v>
      </c>
      <c r="P12" s="10" t="n">
        <f aca="false">SUMIFS(Communes!$S$5:$S$187,Communes!$E$5:$E$187,A12)</f>
        <v>204</v>
      </c>
      <c r="Q12" s="10" t="n">
        <f aca="false">SUMIFS(Communes!$T$5:$T$187,Communes!$E$5:$E$187,A12)</f>
        <v>21</v>
      </c>
      <c r="R12" s="10" t="n">
        <f aca="false">SUMIFS(Communes!$U$5:$U$187,Communes!$E$5:$E$187,A12)</f>
        <v>23</v>
      </c>
      <c r="S12" s="10" t="n">
        <f aca="false">SUMIFS(Communes!$V$5:$V$187,Communes!$E$5:$E$187,A12)</f>
        <v>2</v>
      </c>
      <c r="T12" s="10" t="n">
        <f aca="false">SUMIFS(Communes!$W$5:$W$187,Communes!$E$5:$E$187,A12)</f>
        <v>101</v>
      </c>
      <c r="U12" s="10" t="n">
        <f aca="false">SUMIFS(Communes!$X$5:$X$187,Communes!$E$5:$E$187,A12)</f>
        <v>16</v>
      </c>
      <c r="V12" s="10" t="n">
        <f aca="false">SUMIFS(Communes!$Y$5:$Y$187,Communes!$E$5:$E$187,A12)</f>
        <v>0</v>
      </c>
      <c r="W12" s="10" t="n">
        <f aca="false">SUMIFS(Communes!$Z$5:$Z$187,Communes!$E$5:$E$187,A12)</f>
        <v>0</v>
      </c>
      <c r="X12" s="10" t="n">
        <f aca="false">SUMIFS(Communes!$AA$5:$AA$187,Communes!$E$5:$E$187,A12)</f>
        <v>1</v>
      </c>
      <c r="Y12" s="10" t="n">
        <f aca="false">SUMIFS(Communes!$AB$5:$AB$187,Communes!$E$5:$E$187,A12)</f>
        <v>0</v>
      </c>
      <c r="Z12" s="10" t="n">
        <f aca="false">SUMIFS(Communes!$AC$5:$AC$187,Communes!$E$5:$E$187,A12)</f>
        <v>0</v>
      </c>
      <c r="AA12" s="10" t="n">
        <f aca="false">SUMIFS(Communes!$AD$5:$AD$187,Communes!$E$5:$E$187,A12)</f>
        <v>0</v>
      </c>
      <c r="AB12" s="10" t="n">
        <f aca="false">SUMIFS(Communes!$AE$5:$AE$187,Communes!$E$5:$E$187,A12)</f>
        <v>28</v>
      </c>
      <c r="AC12" s="10" t="n">
        <f aca="false">SUMIFS(Communes!$AF$5:$AF$187,Communes!$E$5:$E$187,A12)</f>
        <v>29</v>
      </c>
      <c r="AD12" s="10" t="n">
        <f aca="false">SUMIFS(Communes!$AG$5:$AG$187,Communes!$E$5:$E$187,A12)</f>
        <v>26</v>
      </c>
      <c r="AE12" s="10" t="n">
        <f aca="false">SUMIFS(Communes!$AH$5:$AH$187,Communes!$E$5:$E$187,A12)</f>
        <v>25</v>
      </c>
      <c r="AF12" s="10" t="n">
        <f aca="false">SUMIFS(Communes!$AI$5:$AI$187,Communes!$E$5:$E$187,A12)</f>
        <v>23</v>
      </c>
      <c r="AG12" s="10" t="n">
        <f aca="false">SUMIFS(Communes!$AJ$5:$AJ$187,Communes!$E$5:$E$187,A12)</f>
        <v>2817</v>
      </c>
      <c r="AH12" s="10" t="n">
        <f aca="false">SUMIFS(Communes!$AK$5:$AK$187,Communes!$E$5:$E$187,A12)</f>
        <v>2418</v>
      </c>
      <c r="AI12" s="10" t="n">
        <f aca="false">SUMIFS(Communes!$AL$5:$AL$187,Communes!$E$5:$E$187,A12)</f>
        <v>2000</v>
      </c>
      <c r="AJ12" s="10" t="n">
        <f aca="false">SUMIFS(Communes!$AM$5:$AM$187,Communes!$E$5:$E$187,A12)</f>
        <v>1951</v>
      </c>
      <c r="AK12" s="10" t="n">
        <f aca="false">SUMIFS(Communes!$AN$5:$AN$187,Communes!$E$5:$E$187,A12)</f>
        <v>1735</v>
      </c>
      <c r="AL12" s="10" t="n">
        <f aca="false">SUMIFS(Communes!$AO$5:$AO$187,Communes!$E$5:$E$187,A12)</f>
        <v>3349</v>
      </c>
      <c r="AM12" s="10" t="n">
        <f aca="false">SUMIFS(Communes!$AP$5:$AP$187,Communes!$E$5:$E$187,A12)</f>
        <v>2950</v>
      </c>
      <c r="AN12" s="10" t="n">
        <f aca="false">F12+G12</f>
        <v>2950</v>
      </c>
      <c r="AO12" s="11" t="n">
        <f aca="false">IF(AN12&gt;0,F12/AN12,"")</f>
        <v>0.414237288135593</v>
      </c>
      <c r="AP12" s="11" t="n">
        <f aca="false">IF((M12+N12)&gt;0,M12/(M12+N12),"")</f>
        <v>0.374440131382502</v>
      </c>
      <c r="AQ12" s="12" t="n">
        <f aca="false">IF(AND(ISNUMBER(AO12),ISNUMBER(AP12)),(AO12-AP12)*100,"")</f>
        <v>3.9797156753091</v>
      </c>
      <c r="AR12" s="12" t="n">
        <f aca="false">IF(D12&gt;0,F12/D12*1000,"")</f>
        <v>48.2679622388119</v>
      </c>
      <c r="AS12" s="12" t="n">
        <f aca="false">IF(D12&gt;0,E12/D12*10000,"")</f>
        <v>8.68981316901687</v>
      </c>
      <c r="AT12" s="12" t="n">
        <f aca="false">IF(D12&gt;0,T12/D12*10000,"")</f>
        <v>39.8941422759411</v>
      </c>
      <c r="AU12" s="12" t="n">
        <f aca="false">IF(F12&gt;0,H12/F12*100,"")</f>
        <v>21.2765957446809</v>
      </c>
      <c r="AV12" s="9" t="str">
        <f aca="false">IF(AN12&gt;=100,"ok",IF(AN12&gt;0,"effectif faible (&lt;100)","aucune association"))</f>
        <v>ok</v>
      </c>
    </row>
    <row r="13" customFormat="false" ht="15" hidden="false" customHeight="false" outlineLevel="0" collapsed="false">
      <c r="A13" s="9" t="s">
        <v>197</v>
      </c>
      <c r="B13" s="9" t="n">
        <f aca="false">COUNTIF(Communes!$E$5:$E$187,A13)</f>
        <v>9</v>
      </c>
      <c r="C13" s="9" t="n">
        <f aca="false">COUNTIFS(Communes!$E$5:$E$187,A13,Communes!$H$5:$H$187,0)</f>
        <v>2</v>
      </c>
      <c r="D13" s="10" t="n">
        <f aca="false">SUMIFS(Communes!$G$5:$G$187,Communes!$E$5:$E$187,A13)</f>
        <v>39841</v>
      </c>
      <c r="E13" s="10" t="n">
        <f aca="false">SUMIFS(Communes!$H$5:$H$187,Communes!$E$5:$E$187,A13)</f>
        <v>35</v>
      </c>
      <c r="F13" s="10" t="n">
        <f aca="false">SUMIFS(Communes!$I$5:$I$187,Communes!$E$5:$E$187,A13)</f>
        <v>4306</v>
      </c>
      <c r="G13" s="10" t="n">
        <f aca="false">SUMIFS(Communes!$J$5:$J$187,Communes!$E$5:$E$187,A13)</f>
        <v>5871</v>
      </c>
      <c r="H13" s="10" t="n">
        <f aca="false">SUMIFS(Communes!$K$5:$K$187,Communes!$E$5:$E$187,A13)</f>
        <v>449</v>
      </c>
      <c r="I13" s="10" t="n">
        <f aca="false">SUMIFS(Communes!$L$5:$L$187,Communes!$E$5:$E$187,A13)</f>
        <v>61</v>
      </c>
      <c r="J13" s="10" t="n">
        <f aca="false">SUMIFS(Communes!$M$5:$M$187,Communes!$E$5:$E$187,A13)</f>
        <v>9</v>
      </c>
      <c r="K13" s="10" t="n">
        <f aca="false">SUMIFS(Communes!$N$5:$N$187,Communes!$E$5:$E$187,A13)</f>
        <v>7</v>
      </c>
      <c r="L13" s="10" t="n">
        <f aca="false">SUMIFS(Communes!$O$5:$O$187,Communes!$E$5:$E$187,A13)</f>
        <v>34</v>
      </c>
      <c r="M13" s="10" t="n">
        <f aca="false">SUMIFS(Communes!$P$5:$P$187,Communes!$E$5:$E$187,A13)</f>
        <v>3965</v>
      </c>
      <c r="N13" s="10" t="n">
        <f aca="false">SUMIFS(Communes!$Q$5:$Q$187,Communes!$E$5:$E$187,A13)</f>
        <v>5578</v>
      </c>
      <c r="O13" s="10" t="n">
        <f aca="false">SUMIFS(Communes!$R$5:$R$187,Communes!$E$5:$E$187,A13)</f>
        <v>3</v>
      </c>
      <c r="P13" s="10" t="n">
        <f aca="false">SUMIFS(Communes!$S$5:$S$187,Communes!$E$5:$E$187,A13)</f>
        <v>202</v>
      </c>
      <c r="Q13" s="10" t="n">
        <f aca="false">SUMIFS(Communes!$T$5:$T$187,Communes!$E$5:$E$187,A13)</f>
        <v>12</v>
      </c>
      <c r="R13" s="10" t="n">
        <f aca="false">SUMIFS(Communes!$U$5:$U$187,Communes!$E$5:$E$187,A13)</f>
        <v>36</v>
      </c>
      <c r="S13" s="10" t="n">
        <f aca="false">SUMIFS(Communes!$V$5:$V$187,Communes!$E$5:$E$187,A13)</f>
        <v>3</v>
      </c>
      <c r="T13" s="10" t="n">
        <f aca="false">SUMIFS(Communes!$W$5:$W$187,Communes!$E$5:$E$187,A13)</f>
        <v>77</v>
      </c>
      <c r="U13" s="10" t="n">
        <f aca="false">SUMIFS(Communes!$X$5:$X$187,Communes!$E$5:$E$187,A13)</f>
        <v>11</v>
      </c>
      <c r="V13" s="10" t="n">
        <f aca="false">SUMIFS(Communes!$Y$5:$Y$187,Communes!$E$5:$E$187,A13)</f>
        <v>2</v>
      </c>
      <c r="W13" s="10" t="n">
        <f aca="false">SUMIFS(Communes!$Z$5:$Z$187,Communes!$E$5:$E$187,A13)</f>
        <v>0</v>
      </c>
      <c r="X13" s="10" t="n">
        <f aca="false">SUMIFS(Communes!$AA$5:$AA$187,Communes!$E$5:$E$187,A13)</f>
        <v>1</v>
      </c>
      <c r="Y13" s="10" t="n">
        <f aca="false">SUMIFS(Communes!$AB$5:$AB$187,Communes!$E$5:$E$187,A13)</f>
        <v>1</v>
      </c>
      <c r="Z13" s="10" t="n">
        <f aca="false">SUMIFS(Communes!$AC$5:$AC$187,Communes!$E$5:$E$187,A13)</f>
        <v>0</v>
      </c>
      <c r="AA13" s="10" t="n">
        <f aca="false">SUMIFS(Communes!$AD$5:$AD$187,Communes!$E$5:$E$187,A13)</f>
        <v>0</v>
      </c>
      <c r="AB13" s="10" t="n">
        <f aca="false">SUMIFS(Communes!$AE$5:$AE$187,Communes!$E$5:$E$187,A13)</f>
        <v>29</v>
      </c>
      <c r="AC13" s="10" t="n">
        <f aca="false">SUMIFS(Communes!$AF$5:$AF$187,Communes!$E$5:$E$187,A13)</f>
        <v>34</v>
      </c>
      <c r="AD13" s="10" t="n">
        <f aca="false">SUMIFS(Communes!$AG$5:$AG$187,Communes!$E$5:$E$187,A13)</f>
        <v>35</v>
      </c>
      <c r="AE13" s="10" t="n">
        <f aca="false">SUMIFS(Communes!$AH$5:$AH$187,Communes!$E$5:$E$187,A13)</f>
        <v>31</v>
      </c>
      <c r="AF13" s="10" t="n">
        <f aca="false">SUMIFS(Communes!$AI$5:$AI$187,Communes!$E$5:$E$187,A13)</f>
        <v>32</v>
      </c>
      <c r="AG13" s="10" t="n">
        <f aca="false">SUMIFS(Communes!$AJ$5:$AJ$187,Communes!$E$5:$E$187,A13)</f>
        <v>5205</v>
      </c>
      <c r="AH13" s="10" t="n">
        <f aca="false">SUMIFS(Communes!$AK$5:$AK$187,Communes!$E$5:$E$187,A13)</f>
        <v>8871</v>
      </c>
      <c r="AI13" s="10" t="n">
        <f aca="false">SUMIFS(Communes!$AL$5:$AL$187,Communes!$E$5:$E$187,A13)</f>
        <v>7245</v>
      </c>
      <c r="AJ13" s="10" t="n">
        <f aca="false">SUMIFS(Communes!$AM$5:$AM$187,Communes!$E$5:$E$187,A13)</f>
        <v>7875</v>
      </c>
      <c r="AK13" s="10" t="n">
        <f aca="false">SUMIFS(Communes!$AN$5:$AN$187,Communes!$E$5:$E$187,A13)</f>
        <v>8143</v>
      </c>
      <c r="AL13" s="10" t="n">
        <f aca="false">SUMIFS(Communes!$AO$5:$AO$187,Communes!$E$5:$E$187,A13)</f>
        <v>9543</v>
      </c>
      <c r="AM13" s="10" t="n">
        <f aca="false">SUMIFS(Communes!$AP$5:$AP$187,Communes!$E$5:$E$187,A13)</f>
        <v>10177</v>
      </c>
      <c r="AN13" s="10" t="n">
        <f aca="false">F13+G13</f>
        <v>10177</v>
      </c>
      <c r="AO13" s="11" t="n">
        <f aca="false">IF(AN13&gt;0,F13/AN13,"")</f>
        <v>0.423110936425273</v>
      </c>
      <c r="AP13" s="11" t="n">
        <f aca="false">IF((M13+N13)&gt;0,M13/(M13+N13),"")</f>
        <v>0.415487792098921</v>
      </c>
      <c r="AQ13" s="12" t="n">
        <f aca="false">IF(AND(ISNUMBER(AO13),ISNUMBER(AP13)),(AO13-AP13)*100,"")</f>
        <v>0.762314432635203</v>
      </c>
      <c r="AR13" s="12" t="n">
        <f aca="false">IF(D13&gt;0,F13/D13*1000,"")</f>
        <v>108.07961647549</v>
      </c>
      <c r="AS13" s="12" t="n">
        <f aca="false">IF(D13&gt;0,E13/D13*10000,"")</f>
        <v>8.78492005722748</v>
      </c>
      <c r="AT13" s="12" t="n">
        <f aca="false">IF(D13&gt;0,T13/D13*10000,"")</f>
        <v>19.3268241259005</v>
      </c>
      <c r="AU13" s="12" t="n">
        <f aca="false">IF(F13&gt;0,H13/F13*100,"")</f>
        <v>10.4273107292151</v>
      </c>
      <c r="AV13" s="9" t="str">
        <f aca="false">IF(AN13&gt;=100,"ok",IF(AN13&gt;0,"effectif faible (&lt;100)","aucune association"))</f>
        <v>ok</v>
      </c>
    </row>
    <row r="14" customFormat="false" ht="15" hidden="false" customHeight="false" outlineLevel="0" collapsed="false">
      <c r="A14" s="9" t="s">
        <v>156</v>
      </c>
      <c r="B14" s="9" t="n">
        <f aca="false">COUNTIF(Communes!$E$5:$E$187,A14)</f>
        <v>9</v>
      </c>
      <c r="C14" s="9" t="n">
        <f aca="false">COUNTIFS(Communes!$E$5:$E$187,A14,Communes!$H$5:$H$187,0)</f>
        <v>4</v>
      </c>
      <c r="D14" s="10" t="n">
        <f aca="false">SUMIFS(Communes!$G$5:$G$187,Communes!$E$5:$E$187,A14)</f>
        <v>41284</v>
      </c>
      <c r="E14" s="10" t="n">
        <f aca="false">SUMIFS(Communes!$H$5:$H$187,Communes!$E$5:$E$187,A14)</f>
        <v>27</v>
      </c>
      <c r="F14" s="10" t="n">
        <f aca="false">SUMIFS(Communes!$I$5:$I$187,Communes!$E$5:$E$187,A14)</f>
        <v>1502</v>
      </c>
      <c r="G14" s="10" t="n">
        <f aca="false">SUMIFS(Communes!$J$5:$J$187,Communes!$E$5:$E$187,A14)</f>
        <v>3085</v>
      </c>
      <c r="H14" s="10" t="n">
        <f aca="false">SUMIFS(Communes!$K$5:$K$187,Communes!$E$5:$E$187,A14)</f>
        <v>611</v>
      </c>
      <c r="I14" s="10" t="n">
        <f aca="false">SUMIFS(Communes!$L$5:$L$187,Communes!$E$5:$E$187,A14)</f>
        <v>21</v>
      </c>
      <c r="J14" s="10" t="n">
        <f aca="false">SUMIFS(Communes!$M$5:$M$187,Communes!$E$5:$E$187,A14)</f>
        <v>9</v>
      </c>
      <c r="K14" s="10" t="n">
        <f aca="false">SUMIFS(Communes!$N$5:$N$187,Communes!$E$5:$E$187,A14)</f>
        <v>3</v>
      </c>
      <c r="L14" s="10" t="n">
        <f aca="false">SUMIFS(Communes!$O$5:$O$187,Communes!$E$5:$E$187,A14)</f>
        <v>28</v>
      </c>
      <c r="M14" s="10" t="n">
        <f aca="false">SUMIFS(Communes!$P$5:$P$187,Communes!$E$5:$E$187,A14)</f>
        <v>1679</v>
      </c>
      <c r="N14" s="10" t="n">
        <f aca="false">SUMIFS(Communes!$Q$5:$Q$187,Communes!$E$5:$E$187,A14)</f>
        <v>3376</v>
      </c>
      <c r="O14" s="10" t="n">
        <f aca="false">SUMIFS(Communes!$R$5:$R$187,Communes!$E$5:$E$187,A14)</f>
        <v>7</v>
      </c>
      <c r="P14" s="10" t="n">
        <f aca="false">SUMIFS(Communes!$S$5:$S$187,Communes!$E$5:$E$187,A14)</f>
        <v>1469</v>
      </c>
      <c r="Q14" s="10" t="n">
        <f aca="false">SUMIFS(Communes!$T$5:$T$187,Communes!$E$5:$E$187,A14)</f>
        <v>44</v>
      </c>
      <c r="R14" s="10" t="n">
        <f aca="false">SUMIFS(Communes!$U$5:$U$187,Communes!$E$5:$E$187,A14)</f>
        <v>29</v>
      </c>
      <c r="S14" s="10" t="n">
        <f aca="false">SUMIFS(Communes!$V$5:$V$187,Communes!$E$5:$E$187,A14)</f>
        <v>7</v>
      </c>
      <c r="T14" s="10" t="n">
        <f aca="false">SUMIFS(Communes!$W$5:$W$187,Communes!$E$5:$E$187,A14)</f>
        <v>66</v>
      </c>
      <c r="U14" s="10" t="n">
        <f aca="false">SUMIFS(Communes!$X$5:$X$187,Communes!$E$5:$E$187,A14)</f>
        <v>15</v>
      </c>
      <c r="V14" s="10" t="n">
        <f aca="false">SUMIFS(Communes!$Y$5:$Y$187,Communes!$E$5:$E$187,A14)</f>
        <v>1</v>
      </c>
      <c r="W14" s="10" t="n">
        <f aca="false">SUMIFS(Communes!$Z$5:$Z$187,Communes!$E$5:$E$187,A14)</f>
        <v>1</v>
      </c>
      <c r="X14" s="10" t="n">
        <f aca="false">SUMIFS(Communes!$AA$5:$AA$187,Communes!$E$5:$E$187,A14)</f>
        <v>2</v>
      </c>
      <c r="Y14" s="10" t="n">
        <f aca="false">SUMIFS(Communes!$AB$5:$AB$187,Communes!$E$5:$E$187,A14)</f>
        <v>2</v>
      </c>
      <c r="Z14" s="10" t="n">
        <f aca="false">SUMIFS(Communes!$AC$5:$AC$187,Communes!$E$5:$E$187,A14)</f>
        <v>2</v>
      </c>
      <c r="AA14" s="10" t="n">
        <f aca="false">SUMIFS(Communes!$AD$5:$AD$187,Communes!$E$5:$E$187,A14)</f>
        <v>0</v>
      </c>
      <c r="AB14" s="10" t="n">
        <f aca="false">SUMIFS(Communes!$AE$5:$AE$187,Communes!$E$5:$E$187,A14)</f>
        <v>26</v>
      </c>
      <c r="AC14" s="10" t="n">
        <f aca="false">SUMIFS(Communes!$AF$5:$AF$187,Communes!$E$5:$E$187,A14)</f>
        <v>30</v>
      </c>
      <c r="AD14" s="10" t="n">
        <f aca="false">SUMIFS(Communes!$AG$5:$AG$187,Communes!$E$5:$E$187,A14)</f>
        <v>31</v>
      </c>
      <c r="AE14" s="10" t="n">
        <f aca="false">SUMIFS(Communes!$AH$5:$AH$187,Communes!$E$5:$E$187,A14)</f>
        <v>30</v>
      </c>
      <c r="AF14" s="10" t="n">
        <f aca="false">SUMIFS(Communes!$AI$5:$AI$187,Communes!$E$5:$E$187,A14)</f>
        <v>31</v>
      </c>
      <c r="AG14" s="10" t="n">
        <f aca="false">SUMIFS(Communes!$AJ$5:$AJ$187,Communes!$E$5:$E$187,A14)</f>
        <v>3603</v>
      </c>
      <c r="AH14" s="10" t="n">
        <f aca="false">SUMIFS(Communes!$AK$5:$AK$187,Communes!$E$5:$E$187,A14)</f>
        <v>4212</v>
      </c>
      <c r="AI14" s="10" t="n">
        <f aca="false">SUMIFS(Communes!$AL$5:$AL$187,Communes!$E$5:$E$187,A14)</f>
        <v>4015</v>
      </c>
      <c r="AJ14" s="10" t="n">
        <f aca="false">SUMIFS(Communes!$AM$5:$AM$187,Communes!$E$5:$E$187,A14)</f>
        <v>4526</v>
      </c>
      <c r="AK14" s="10" t="n">
        <f aca="false">SUMIFS(Communes!$AN$5:$AN$187,Communes!$E$5:$E$187,A14)</f>
        <v>4494</v>
      </c>
      <c r="AL14" s="10" t="n">
        <f aca="false">SUMIFS(Communes!$AO$5:$AO$187,Communes!$E$5:$E$187,A14)</f>
        <v>5055</v>
      </c>
      <c r="AM14" s="10" t="n">
        <f aca="false">SUMIFS(Communes!$AP$5:$AP$187,Communes!$E$5:$E$187,A14)</f>
        <v>4587</v>
      </c>
      <c r="AN14" s="10" t="n">
        <f aca="false">F14+G14</f>
        <v>4587</v>
      </c>
      <c r="AO14" s="11" t="n">
        <f aca="false">IF(AN14&gt;0,F14/AN14,"")</f>
        <v>0.327447133202529</v>
      </c>
      <c r="AP14" s="11" t="n">
        <f aca="false">IF((M14+N14)&gt;0,M14/(M14+N14),"")</f>
        <v>0.332146389713155</v>
      </c>
      <c r="AQ14" s="12" t="n">
        <f aca="false">IF(AND(ISNUMBER(AO14),ISNUMBER(AP14)),(AO14-AP14)*100,"")</f>
        <v>-0.469925651062642</v>
      </c>
      <c r="AR14" s="12" t="n">
        <f aca="false">IF(D14&gt;0,F14/D14*1000,"")</f>
        <v>36.3821335141944</v>
      </c>
      <c r="AS14" s="12" t="n">
        <f aca="false">IF(D14&gt;0,E14/D14*10000,"")</f>
        <v>6.54006394729193</v>
      </c>
      <c r="AT14" s="12" t="n">
        <f aca="false">IF(D14&gt;0,T14/D14*10000,"")</f>
        <v>15.9868229822692</v>
      </c>
      <c r="AU14" s="12" t="n">
        <f aca="false">IF(F14&gt;0,H14/F14*100,"")</f>
        <v>40.6790945406125</v>
      </c>
      <c r="AV14" s="9" t="str">
        <f aca="false">IF(AN14&gt;=100,"ok",IF(AN14&gt;0,"effectif faible (&lt;100)","aucune association"))</f>
        <v>ok</v>
      </c>
    </row>
    <row r="15" customFormat="false" ht="15" hidden="false" customHeight="false" outlineLevel="0" collapsed="false">
      <c r="A15" s="9" t="s">
        <v>108</v>
      </c>
      <c r="B15" s="9" t="n">
        <f aca="false">COUNTIF(Communes!$E$5:$E$187,A15)</f>
        <v>26</v>
      </c>
      <c r="C15" s="9" t="n">
        <f aca="false">COUNTIFS(Communes!$E$5:$E$187,A15,Communes!$H$5:$H$187,0)</f>
        <v>18</v>
      </c>
      <c r="D15" s="10" t="n">
        <f aca="false">SUMIFS(Communes!$G$5:$G$187,Communes!$E$5:$E$187,A15)</f>
        <v>16528</v>
      </c>
      <c r="E15" s="10" t="n">
        <f aca="false">SUMIFS(Communes!$H$5:$H$187,Communes!$E$5:$E$187,A15)</f>
        <v>9</v>
      </c>
      <c r="F15" s="10" t="n">
        <f aca="false">SUMIFS(Communes!$I$5:$I$187,Communes!$E$5:$E$187,A15)</f>
        <v>448</v>
      </c>
      <c r="G15" s="10" t="n">
        <f aca="false">SUMIFS(Communes!$J$5:$J$187,Communes!$E$5:$E$187,A15)</f>
        <v>690</v>
      </c>
      <c r="H15" s="10" t="n">
        <f aca="false">SUMIFS(Communes!$K$5:$K$187,Communes!$E$5:$E$187,A15)</f>
        <v>187</v>
      </c>
      <c r="I15" s="10" t="n">
        <f aca="false">SUMIFS(Communes!$L$5:$L$187,Communes!$E$5:$E$187,A15)</f>
        <v>23</v>
      </c>
      <c r="J15" s="10" t="n">
        <f aca="false">SUMIFS(Communes!$M$5:$M$187,Communes!$E$5:$E$187,A15)</f>
        <v>1</v>
      </c>
      <c r="K15" s="10" t="n">
        <f aca="false">SUMIFS(Communes!$N$5:$N$187,Communes!$E$5:$E$187,A15)</f>
        <v>2</v>
      </c>
      <c r="L15" s="10" t="n">
        <f aca="false">SUMIFS(Communes!$O$5:$O$187,Communes!$E$5:$E$187,A15)</f>
        <v>11</v>
      </c>
      <c r="M15" s="10" t="n">
        <f aca="false">SUMIFS(Communes!$P$5:$P$187,Communes!$E$5:$E$187,A15)</f>
        <v>521</v>
      </c>
      <c r="N15" s="10" t="n">
        <f aca="false">SUMIFS(Communes!$Q$5:$Q$187,Communes!$E$5:$E$187,A15)</f>
        <v>662</v>
      </c>
      <c r="O15" s="10" t="n">
        <f aca="false">SUMIFS(Communes!$R$5:$R$187,Communes!$E$5:$E$187,A15)</f>
        <v>1</v>
      </c>
      <c r="P15" s="10" t="n">
        <f aca="false">SUMIFS(Communes!$S$5:$S$187,Communes!$E$5:$E$187,A15)</f>
        <v>69</v>
      </c>
      <c r="Q15" s="10" t="n">
        <f aca="false">SUMIFS(Communes!$T$5:$T$187,Communes!$E$5:$E$187,A15)</f>
        <v>10</v>
      </c>
      <c r="R15" s="10" t="n">
        <f aca="false">SUMIFS(Communes!$U$5:$U$187,Communes!$E$5:$E$187,A15)</f>
        <v>8</v>
      </c>
      <c r="S15" s="10" t="n">
        <f aca="false">SUMIFS(Communes!$V$5:$V$187,Communes!$E$5:$E$187,A15)</f>
        <v>1</v>
      </c>
      <c r="T15" s="10" t="n">
        <f aca="false">SUMIFS(Communes!$W$5:$W$187,Communes!$E$5:$E$187,A15)</f>
        <v>69</v>
      </c>
      <c r="U15" s="10" t="n">
        <f aca="false">SUMIFS(Communes!$X$5:$X$187,Communes!$E$5:$E$187,A15)</f>
        <v>10</v>
      </c>
      <c r="V15" s="10" t="n">
        <f aca="false">SUMIFS(Communes!$Y$5:$Y$187,Communes!$E$5:$E$187,A15)</f>
        <v>0</v>
      </c>
      <c r="W15" s="10" t="n">
        <f aca="false">SUMIFS(Communes!$Z$5:$Z$187,Communes!$E$5:$E$187,A15)</f>
        <v>1</v>
      </c>
      <c r="X15" s="10" t="n">
        <f aca="false">SUMIFS(Communes!$AA$5:$AA$187,Communes!$E$5:$E$187,A15)</f>
        <v>0</v>
      </c>
      <c r="Y15" s="10" t="n">
        <f aca="false">SUMIFS(Communes!$AB$5:$AB$187,Communes!$E$5:$E$187,A15)</f>
        <v>1</v>
      </c>
      <c r="Z15" s="10" t="n">
        <f aca="false">SUMIFS(Communes!$AC$5:$AC$187,Communes!$E$5:$E$187,A15)</f>
        <v>0</v>
      </c>
      <c r="AA15" s="10" t="n">
        <f aca="false">SUMIFS(Communes!$AD$5:$AD$187,Communes!$E$5:$E$187,A15)</f>
        <v>0</v>
      </c>
      <c r="AB15" s="10" t="n">
        <f aca="false">SUMIFS(Communes!$AE$5:$AE$187,Communes!$E$5:$E$187,A15)</f>
        <v>10</v>
      </c>
      <c r="AC15" s="10" t="n">
        <f aca="false">SUMIFS(Communes!$AF$5:$AF$187,Communes!$E$5:$E$187,A15)</f>
        <v>10</v>
      </c>
      <c r="AD15" s="10" t="n">
        <f aca="false">SUMIFS(Communes!$AG$5:$AG$187,Communes!$E$5:$E$187,A15)</f>
        <v>10</v>
      </c>
      <c r="AE15" s="10" t="n">
        <f aca="false">SUMIFS(Communes!$AH$5:$AH$187,Communes!$E$5:$E$187,A15)</f>
        <v>10</v>
      </c>
      <c r="AF15" s="10" t="n">
        <f aca="false">SUMIFS(Communes!$AI$5:$AI$187,Communes!$E$5:$E$187,A15)</f>
        <v>11</v>
      </c>
      <c r="AG15" s="10" t="n">
        <f aca="false">SUMIFS(Communes!$AJ$5:$AJ$187,Communes!$E$5:$E$187,A15)</f>
        <v>1055</v>
      </c>
      <c r="AH15" s="10" t="n">
        <f aca="false">SUMIFS(Communes!$AK$5:$AK$187,Communes!$E$5:$E$187,A15)</f>
        <v>871</v>
      </c>
      <c r="AI15" s="10" t="n">
        <f aca="false">SUMIFS(Communes!$AL$5:$AL$187,Communes!$E$5:$E$187,A15)</f>
        <v>837</v>
      </c>
      <c r="AJ15" s="10" t="n">
        <f aca="false">SUMIFS(Communes!$AM$5:$AM$187,Communes!$E$5:$E$187,A15)</f>
        <v>831</v>
      </c>
      <c r="AK15" s="10" t="n">
        <f aca="false">SUMIFS(Communes!$AN$5:$AN$187,Communes!$E$5:$E$187,A15)</f>
        <v>952</v>
      </c>
      <c r="AL15" s="10" t="n">
        <f aca="false">SUMIFS(Communes!$AO$5:$AO$187,Communes!$E$5:$E$187,A15)</f>
        <v>1183</v>
      </c>
      <c r="AM15" s="10" t="n">
        <f aca="false">SUMIFS(Communes!$AP$5:$AP$187,Communes!$E$5:$E$187,A15)</f>
        <v>1138</v>
      </c>
      <c r="AN15" s="10" t="n">
        <f aca="false">F15+G15</f>
        <v>1138</v>
      </c>
      <c r="AO15" s="11" t="n">
        <f aca="false">IF(AN15&gt;0,F15/AN15,"")</f>
        <v>0.393673110720562</v>
      </c>
      <c r="AP15" s="11" t="n">
        <f aca="false">IF((M15+N15)&gt;0,M15/(M15+N15),"")</f>
        <v>0.440405748098056</v>
      </c>
      <c r="AQ15" s="12" t="n">
        <f aca="false">IF(AND(ISNUMBER(AO15),ISNUMBER(AP15)),(AO15-AP15)*100,"")</f>
        <v>-4.67326373774934</v>
      </c>
      <c r="AR15" s="12" t="n">
        <f aca="false">IF(D15&gt;0,F15/D15*1000,"")</f>
        <v>27.1055179090029</v>
      </c>
      <c r="AS15" s="12" t="n">
        <f aca="false">IF(D15&gt;0,E15/D15*10000,"")</f>
        <v>5.44530493707648</v>
      </c>
      <c r="AT15" s="12" t="n">
        <f aca="false">IF(D15&gt;0,T15/D15*10000,"")</f>
        <v>41.7473378509197</v>
      </c>
      <c r="AU15" s="12" t="n">
        <f aca="false">IF(F15&gt;0,H15/F15*100,"")</f>
        <v>41.7410714285714</v>
      </c>
      <c r="AV15" s="9" t="str">
        <f aca="false">IF(AN15&gt;=100,"ok",IF(AN15&gt;0,"effectif faible (&lt;100)","aucune association"))</f>
        <v>ok</v>
      </c>
    </row>
    <row r="16" customFormat="false" ht="15" hidden="false" customHeight="false" outlineLevel="0" collapsed="false">
      <c r="A16" s="9" t="s">
        <v>121</v>
      </c>
      <c r="B16" s="9" t="n">
        <f aca="false">COUNTIF(Communes!$E$5:$E$187,A16)</f>
        <v>1</v>
      </c>
      <c r="C16" s="9" t="n">
        <f aca="false">COUNTIFS(Communes!$E$5:$E$187,A16,Communes!$H$5:$H$187,0)</f>
        <v>0</v>
      </c>
      <c r="D16" s="10" t="n">
        <f aca="false">SUMIFS(Communes!$G$5:$G$187,Communes!$E$5:$E$187,A16)</f>
        <v>106130</v>
      </c>
      <c r="E16" s="10" t="n">
        <f aca="false">SUMIFS(Communes!$H$5:$H$187,Communes!$E$5:$E$187,A16)</f>
        <v>24</v>
      </c>
      <c r="F16" s="10" t="n">
        <f aca="false">SUMIFS(Communes!$I$5:$I$187,Communes!$E$5:$E$187,A16)</f>
        <v>3364</v>
      </c>
      <c r="G16" s="10" t="n">
        <f aca="false">SUMIFS(Communes!$J$5:$J$187,Communes!$E$5:$E$187,A16)</f>
        <v>5334</v>
      </c>
      <c r="H16" s="10" t="n">
        <f aca="false">SUMIFS(Communes!$K$5:$K$187,Communes!$E$5:$E$187,A16)</f>
        <v>679</v>
      </c>
      <c r="I16" s="10" t="n">
        <f aca="false">SUMIFS(Communes!$L$5:$L$187,Communes!$E$5:$E$187,A16)</f>
        <v>68</v>
      </c>
      <c r="J16" s="10" t="n">
        <f aca="false">SUMIFS(Communes!$M$5:$M$187,Communes!$E$5:$E$187,A16)</f>
        <v>6</v>
      </c>
      <c r="K16" s="10" t="n">
        <f aca="false">SUMIFS(Communes!$N$5:$N$187,Communes!$E$5:$E$187,A16)</f>
        <v>3</v>
      </c>
      <c r="L16" s="10" t="n">
        <f aca="false">SUMIFS(Communes!$O$5:$O$187,Communes!$E$5:$E$187,A16)</f>
        <v>22</v>
      </c>
      <c r="M16" s="10" t="n">
        <f aca="false">SUMIFS(Communes!$P$5:$P$187,Communes!$E$5:$E$187,A16)</f>
        <v>3398</v>
      </c>
      <c r="N16" s="10" t="n">
        <f aca="false">SUMIFS(Communes!$Q$5:$Q$187,Communes!$E$5:$E$187,A16)</f>
        <v>3688</v>
      </c>
      <c r="O16" s="10" t="n">
        <f aca="false">SUMIFS(Communes!$R$5:$R$187,Communes!$E$5:$E$187,A16)</f>
        <v>6</v>
      </c>
      <c r="P16" s="10" t="n">
        <f aca="false">SUMIFS(Communes!$S$5:$S$187,Communes!$E$5:$E$187,A16)</f>
        <v>683</v>
      </c>
      <c r="Q16" s="10" t="n">
        <f aca="false">SUMIFS(Communes!$T$5:$T$187,Communes!$E$5:$E$187,A16)</f>
        <v>26</v>
      </c>
      <c r="R16" s="10" t="n">
        <f aca="false">SUMIFS(Communes!$U$5:$U$187,Communes!$E$5:$E$187,A16)</f>
        <v>24</v>
      </c>
      <c r="S16" s="10" t="n">
        <f aca="false">SUMIFS(Communes!$V$5:$V$187,Communes!$E$5:$E$187,A16)</f>
        <v>6</v>
      </c>
      <c r="T16" s="10" t="n">
        <f aca="false">SUMIFS(Communes!$W$5:$W$187,Communes!$E$5:$E$187,A16)</f>
        <v>68</v>
      </c>
      <c r="U16" s="10" t="n">
        <f aca="false">SUMIFS(Communes!$X$5:$X$187,Communes!$E$5:$E$187,A16)</f>
        <v>14</v>
      </c>
      <c r="V16" s="10" t="n">
        <f aca="false">SUMIFS(Communes!$Y$5:$Y$187,Communes!$E$5:$E$187,A16)</f>
        <v>1</v>
      </c>
      <c r="W16" s="10" t="n">
        <f aca="false">SUMIFS(Communes!$Z$5:$Z$187,Communes!$E$5:$E$187,A16)</f>
        <v>2</v>
      </c>
      <c r="X16" s="10" t="n">
        <f aca="false">SUMIFS(Communes!$AA$5:$AA$187,Communes!$E$5:$E$187,A16)</f>
        <v>2</v>
      </c>
      <c r="Y16" s="10" t="n">
        <f aca="false">SUMIFS(Communes!$AB$5:$AB$187,Communes!$E$5:$E$187,A16)</f>
        <v>0</v>
      </c>
      <c r="Z16" s="10" t="n">
        <f aca="false">SUMIFS(Communes!$AC$5:$AC$187,Communes!$E$5:$E$187,A16)</f>
        <v>4</v>
      </c>
      <c r="AA16" s="10" t="n">
        <f aca="false">SUMIFS(Communes!$AD$5:$AD$187,Communes!$E$5:$E$187,A16)</f>
        <v>0</v>
      </c>
      <c r="AB16" s="10" t="n">
        <f aca="false">SUMIFS(Communes!$AE$5:$AE$187,Communes!$E$5:$E$187,A16)</f>
        <v>21</v>
      </c>
      <c r="AC16" s="10" t="n">
        <f aca="false">SUMIFS(Communes!$AF$5:$AF$187,Communes!$E$5:$E$187,A16)</f>
        <v>26</v>
      </c>
      <c r="AD16" s="10" t="n">
        <f aca="false">SUMIFS(Communes!$AG$5:$AG$187,Communes!$E$5:$E$187,A16)</f>
        <v>25</v>
      </c>
      <c r="AE16" s="10" t="n">
        <f aca="false">SUMIFS(Communes!$AH$5:$AH$187,Communes!$E$5:$E$187,A16)</f>
        <v>25</v>
      </c>
      <c r="AF16" s="10" t="n">
        <f aca="false">SUMIFS(Communes!$AI$5:$AI$187,Communes!$E$5:$E$187,A16)</f>
        <v>23</v>
      </c>
      <c r="AG16" s="10" t="n">
        <f aca="false">SUMIFS(Communes!$AJ$5:$AJ$187,Communes!$E$5:$E$187,A16)</f>
        <v>7854</v>
      </c>
      <c r="AH16" s="10" t="n">
        <f aca="false">SUMIFS(Communes!$AK$5:$AK$187,Communes!$E$5:$E$187,A16)</f>
        <v>8955</v>
      </c>
      <c r="AI16" s="10" t="n">
        <f aca="false">SUMIFS(Communes!$AL$5:$AL$187,Communes!$E$5:$E$187,A16)</f>
        <v>8268</v>
      </c>
      <c r="AJ16" s="10" t="n">
        <f aca="false">SUMIFS(Communes!$AM$5:$AM$187,Communes!$E$5:$E$187,A16)</f>
        <v>6751</v>
      </c>
      <c r="AK16" s="10" t="n">
        <f aca="false">SUMIFS(Communes!$AN$5:$AN$187,Communes!$E$5:$E$187,A16)</f>
        <v>6733</v>
      </c>
      <c r="AL16" s="10" t="n">
        <f aca="false">SUMIFS(Communes!$AO$5:$AO$187,Communes!$E$5:$E$187,A16)</f>
        <v>7086</v>
      </c>
      <c r="AM16" s="10" t="n">
        <f aca="false">SUMIFS(Communes!$AP$5:$AP$187,Communes!$E$5:$E$187,A16)</f>
        <v>8698</v>
      </c>
      <c r="AN16" s="10" t="n">
        <f aca="false">F16+G16</f>
        <v>8698</v>
      </c>
      <c r="AO16" s="11" t="n">
        <f aca="false">IF(AN16&gt;0,F16/AN16,"")</f>
        <v>0.386755575994482</v>
      </c>
      <c r="AP16" s="11" t="n">
        <f aca="false">IF((M16+N16)&gt;0,M16/(M16+N16),"")</f>
        <v>0.479537115438894</v>
      </c>
      <c r="AQ16" s="12" t="n">
        <f aca="false">IF(AND(ISNUMBER(AO16),ISNUMBER(AP16)),(AO16-AP16)*100,"")</f>
        <v>-9.27815394444121</v>
      </c>
      <c r="AR16" s="12" t="n">
        <f aca="false">IF(D16&gt;0,F16/D16*1000,"")</f>
        <v>31.6969754075191</v>
      </c>
      <c r="AS16" s="12" t="n">
        <f aca="false">IF(D16&gt;0,E16/D16*10000,"")</f>
        <v>2.26137755582776</v>
      </c>
      <c r="AT16" s="12" t="n">
        <f aca="false">IF(D16&gt;0,T16/D16*10000,"")</f>
        <v>6.40723640817865</v>
      </c>
      <c r="AU16" s="12" t="n">
        <f aca="false">IF(F16&gt;0,H16/F16*100,"")</f>
        <v>20.1843043995244</v>
      </c>
      <c r="AV16" s="9" t="str">
        <f aca="false">IF(AN16&gt;=100,"ok",IF(AN16&gt;0,"effectif faible (&lt;100)","aucune association"))</f>
        <v>ok</v>
      </c>
    </row>
    <row r="17" customFormat="false" ht="15" hidden="false" customHeight="false" outlineLevel="0" collapsed="false">
      <c r="A17" s="5" t="s">
        <v>491</v>
      </c>
      <c r="B17" s="13" t="n">
        <f aca="false">SUM(B5:B16)</f>
        <v>183</v>
      </c>
      <c r="C17" s="13" t="n">
        <f aca="false">SUM(C5:C16)</f>
        <v>78</v>
      </c>
      <c r="D17" s="13" t="n">
        <f aca="false">SUM(D5:D16)</f>
        <v>1281653</v>
      </c>
      <c r="E17" s="13" t="n">
        <f aca="false">SUM(E5:E16)</f>
        <v>551</v>
      </c>
      <c r="F17" s="13" t="n">
        <f aca="false">SUM(F5:F16)</f>
        <v>68623</v>
      </c>
      <c r="G17" s="13" t="n">
        <f aca="false">SUM(G5:G16)</f>
        <v>91352</v>
      </c>
      <c r="H17" s="13" t="n">
        <f aca="false">SUM(H5:H16)</f>
        <v>11261</v>
      </c>
      <c r="I17" s="13" t="n">
        <f aca="false">SUM(I5:I16)</f>
        <v>1285</v>
      </c>
      <c r="J17" s="13" t="n">
        <f aca="false">SUM(J5:J16)</f>
        <v>119</v>
      </c>
      <c r="K17" s="13" t="n">
        <f aca="false">SUM(K5:K16)</f>
        <v>126</v>
      </c>
      <c r="L17" s="13" t="n">
        <f aca="false">SUM(L5:L16)</f>
        <v>569</v>
      </c>
      <c r="M17" s="13" t="n">
        <f aca="false">SUM(M5:M16)</f>
        <v>68120</v>
      </c>
      <c r="N17" s="13" t="n">
        <f aca="false">SUM(N5:N16)</f>
        <v>90732</v>
      </c>
      <c r="O17" s="13" t="n">
        <f aca="false">SUM(O5:O16)</f>
        <v>103</v>
      </c>
      <c r="P17" s="13" t="n">
        <f aca="false">SUM(P5:P16)</f>
        <v>16504</v>
      </c>
      <c r="Q17" s="13" t="n">
        <f aca="false">SUM(Q5:Q16)</f>
        <v>581</v>
      </c>
      <c r="R17" s="13" t="n">
        <f aca="false">SUM(R5:R16)</f>
        <v>560</v>
      </c>
      <c r="S17" s="13" t="n">
        <f aca="false">SUM(S5:S16)</f>
        <v>103</v>
      </c>
      <c r="T17" s="13" t="n">
        <f aca="false">SUM(T5:T16)</f>
        <v>1543</v>
      </c>
      <c r="U17" s="13" t="n">
        <f aca="false">SUM(U5:U16)</f>
        <v>362</v>
      </c>
      <c r="V17" s="13" t="n">
        <f aca="false">SUM(V5:V16)</f>
        <v>34</v>
      </c>
      <c r="W17" s="13" t="n">
        <f aca="false">SUM(W5:W16)</f>
        <v>32</v>
      </c>
      <c r="X17" s="13" t="n">
        <f aca="false">SUM(X5:X16)</f>
        <v>30</v>
      </c>
      <c r="Y17" s="13" t="n">
        <f aca="false">SUM(Y5:Y16)</f>
        <v>39</v>
      </c>
      <c r="Z17" s="13" t="n">
        <f aca="false">SUM(Z5:Z16)</f>
        <v>47</v>
      </c>
      <c r="AA17" s="13" t="n">
        <f aca="false">SUM(AA5:AA16)</f>
        <v>1</v>
      </c>
      <c r="AB17" s="13" t="n">
        <f aca="false">SUM(AB5:AB16)</f>
        <v>542</v>
      </c>
      <c r="AC17" s="13" t="n">
        <f aca="false">SUM(AC5:AC16)</f>
        <v>574</v>
      </c>
      <c r="AD17" s="13" t="n">
        <f aca="false">SUM(AD5:AD16)</f>
        <v>571</v>
      </c>
      <c r="AE17" s="13" t="n">
        <f aca="false">SUM(AE5:AE16)</f>
        <v>552</v>
      </c>
      <c r="AF17" s="13" t="n">
        <f aca="false">SUM(AF5:AF16)</f>
        <v>553</v>
      </c>
      <c r="AG17" s="13" t="n">
        <f aca="false">SUM(AG5:AG16)</f>
        <v>134103</v>
      </c>
      <c r="AH17" s="13" t="n">
        <f aca="false">SUM(AH5:AH16)</f>
        <v>143678</v>
      </c>
      <c r="AI17" s="13" t="n">
        <f aca="false">SUM(AI5:AI16)</f>
        <v>131605</v>
      </c>
      <c r="AJ17" s="13" t="n">
        <f aca="false">SUM(AJ5:AJ16)</f>
        <v>122840</v>
      </c>
      <c r="AK17" s="13" t="n">
        <f aca="false">SUM(AK5:AK16)</f>
        <v>135863</v>
      </c>
      <c r="AL17" s="13" t="n">
        <f aca="false">SUM(AL5:AL16)</f>
        <v>158852</v>
      </c>
      <c r="AM17" s="13" t="n">
        <f aca="false">SUM(AM5:AM16)</f>
        <v>159975</v>
      </c>
      <c r="AN17" s="13" t="n">
        <f aca="false">F17+G17</f>
        <v>159975</v>
      </c>
      <c r="AO17" s="14" t="n">
        <f aca="false">IF(AN17&gt;0,F17/AN17,"")</f>
        <v>0.428960775121113</v>
      </c>
      <c r="AP17" s="14" t="n">
        <f aca="false">IF((M17+N17)&gt;0,M17/(M17+N17),"")</f>
        <v>0.428826832523355</v>
      </c>
      <c r="AQ17" s="15" t="n">
        <f aca="false">IF(AND(ISNUMBER(AO17),ISNUMBER(AP17)),(AO17-AP17)*100,"")</f>
        <v>0.0133942597757619</v>
      </c>
      <c r="AR17" s="15" t="n">
        <f aca="false">IF(D17&gt;0,F17/D17*1000,"")</f>
        <v>53.5425735358947</v>
      </c>
      <c r="AS17" s="15" t="n">
        <f aca="false">IF(D17&gt;0,E17/D17*10000,"")</f>
        <v>4.29913556945601</v>
      </c>
      <c r="AT17" s="15" t="n">
        <f aca="false">IF(D17&gt;0,T17/D17*10000,"")</f>
        <v>12.039140079257</v>
      </c>
      <c r="AU17" s="15" t="n">
        <f aca="false">IF(F17&gt;0,H17/F17*100,"")</f>
        <v>16.4099500167582</v>
      </c>
      <c r="AV17" s="5" t="str">
        <f aca="false">IF(AN17&gt;=100,"ok",IF(AN17&gt;0,"effectif faible (&lt;100)","aucune association"))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11" min="7" style="0" width="11"/>
    <col collapsed="false" customWidth="true" hidden="false" outlineLevel="0" max="12" min="12" style="0" width="9"/>
    <col collapsed="false" customWidth="true" hidden="false" outlineLevel="0" max="13" min="13" style="0" width="28"/>
  </cols>
  <sheetData>
    <row r="1" customFormat="false" ht="17.35" hidden="false" customHeight="false" outlineLevel="0" collapsed="false">
      <c r="A1" s="1" t="s">
        <v>493</v>
      </c>
    </row>
    <row r="2" customFormat="false" ht="15" hidden="false" customHeight="false" outlineLevel="0" collapsed="false">
      <c r="A2" s="2" t="s">
        <v>494</v>
      </c>
    </row>
    <row r="4" customFormat="false" ht="42" hidden="false" customHeight="true" outlineLevel="0" collapsed="false">
      <c r="A4" s="8" t="s">
        <v>495</v>
      </c>
      <c r="B4" s="8" t="s">
        <v>496</v>
      </c>
      <c r="C4" s="8" t="s">
        <v>50</v>
      </c>
      <c r="D4" s="8" t="s">
        <v>51</v>
      </c>
      <c r="E4" s="8" t="s">
        <v>52</v>
      </c>
      <c r="F4" s="8" t="s">
        <v>8</v>
      </c>
      <c r="G4" s="8" t="s">
        <v>497</v>
      </c>
      <c r="H4" s="8" t="s">
        <v>498</v>
      </c>
      <c r="I4" s="8" t="s">
        <v>499</v>
      </c>
      <c r="J4" s="8" t="s">
        <v>500</v>
      </c>
      <c r="K4" s="8" t="s">
        <v>501</v>
      </c>
      <c r="L4" s="8" t="s">
        <v>502</v>
      </c>
      <c r="M4" s="8" t="s">
        <v>503</v>
      </c>
    </row>
    <row r="5" customFormat="false" ht="15" hidden="false" customHeight="false" outlineLevel="0" collapsed="false">
      <c r="A5" s="9" t="s">
        <v>504</v>
      </c>
      <c r="B5" s="9" t="s">
        <v>505</v>
      </c>
      <c r="C5" s="9" t="s">
        <v>98</v>
      </c>
      <c r="D5" s="9" t="s">
        <v>99</v>
      </c>
      <c r="E5" s="9" t="s">
        <v>100</v>
      </c>
      <c r="F5" s="9" t="s">
        <v>102</v>
      </c>
      <c r="G5" s="10" t="n">
        <v>38</v>
      </c>
      <c r="H5" s="10" t="n">
        <v>185</v>
      </c>
      <c r="I5" s="10" t="n">
        <v>7</v>
      </c>
      <c r="J5" s="10" t="n">
        <v>0</v>
      </c>
      <c r="K5" s="10" t="n">
        <f aca="false">G5+H5</f>
        <v>223</v>
      </c>
      <c r="L5" s="11" t="n">
        <f aca="false">IF(K5&gt;0,G5/K5,"")</f>
        <v>0.170403587443946</v>
      </c>
      <c r="M5" s="9" t="str">
        <f aca="false">IF(K5=0,"",IF(L5&lt;0.2,"Très masculine (&lt;20 % F)",IF(L5&lt;0.4,"Plutôt masculine (20-40 %)",IF(L5&lt;0.6,"Mixte (40-60 %)","À dominante féminine (≥60 %)"))))</f>
        <v>Très masculine (&lt;20 % F)</v>
      </c>
    </row>
    <row r="6" customFormat="false" ht="15" hidden="false" customHeight="false" outlineLevel="0" collapsed="false">
      <c r="A6" s="9" t="s">
        <v>506</v>
      </c>
      <c r="B6" s="9" t="s">
        <v>507</v>
      </c>
      <c r="C6" s="9" t="s">
        <v>118</v>
      </c>
      <c r="D6" s="9" t="s">
        <v>119</v>
      </c>
      <c r="E6" s="9" t="s">
        <v>120</v>
      </c>
      <c r="F6" s="9" t="s">
        <v>121</v>
      </c>
      <c r="G6" s="10" t="n">
        <v>96</v>
      </c>
      <c r="H6" s="10" t="n">
        <v>136</v>
      </c>
      <c r="I6" s="10" t="n">
        <v>12</v>
      </c>
      <c r="J6" s="10" t="n">
        <v>0</v>
      </c>
      <c r="K6" s="10" t="n">
        <f aca="false">G6+H6</f>
        <v>232</v>
      </c>
      <c r="L6" s="11" t="n">
        <f aca="false">IF(K6&gt;0,G6/K6,"")</f>
        <v>0.413793103448276</v>
      </c>
      <c r="M6" s="9" t="str">
        <f aca="false">IF(K6=0,"",IF(L6&lt;0.2,"Très masculine (&lt;20 % F)",IF(L6&lt;0.4,"Plutôt masculine (20-40 %)",IF(L6&lt;0.6,"Mixte (40-60 %)","À dominante féminine (≥60 %)"))))</f>
        <v>Mixte (40-60 %)</v>
      </c>
    </row>
    <row r="7" customFormat="false" ht="15" hidden="false" customHeight="false" outlineLevel="0" collapsed="false">
      <c r="A7" s="9" t="s">
        <v>508</v>
      </c>
      <c r="B7" s="9" t="s">
        <v>507</v>
      </c>
      <c r="C7" s="9" t="s">
        <v>118</v>
      </c>
      <c r="D7" s="9" t="s">
        <v>119</v>
      </c>
      <c r="E7" s="9" t="s">
        <v>120</v>
      </c>
      <c r="F7" s="9" t="s">
        <v>121</v>
      </c>
      <c r="G7" s="10" t="n">
        <v>152</v>
      </c>
      <c r="H7" s="10" t="n">
        <v>249</v>
      </c>
      <c r="I7" s="10" t="n">
        <v>18</v>
      </c>
      <c r="J7" s="10" t="n">
        <v>0</v>
      </c>
      <c r="K7" s="10" t="n">
        <f aca="false">G7+H7</f>
        <v>401</v>
      </c>
      <c r="L7" s="11" t="n">
        <f aca="false">IF(K7&gt;0,G7/K7,"")</f>
        <v>0.379052369077307</v>
      </c>
      <c r="M7" s="9" t="str">
        <f aca="false">IF(K7=0,"",IF(L7&lt;0.2,"Très masculine (&lt;20 % F)",IF(L7&lt;0.4,"Plutôt masculine (20-40 %)",IF(L7&lt;0.6,"Mixte (40-60 %)","À dominante féminine (≥60 %)"))))</f>
        <v>Plutôt masculine (20-40 %)</v>
      </c>
    </row>
    <row r="8" customFormat="false" ht="15" hidden="false" customHeight="false" outlineLevel="0" collapsed="false">
      <c r="A8" s="9" t="s">
        <v>509</v>
      </c>
      <c r="B8" s="9" t="s">
        <v>507</v>
      </c>
      <c r="C8" s="9" t="s">
        <v>118</v>
      </c>
      <c r="D8" s="9" t="s">
        <v>119</v>
      </c>
      <c r="E8" s="9" t="s">
        <v>120</v>
      </c>
      <c r="F8" s="9" t="s">
        <v>121</v>
      </c>
      <c r="G8" s="10" t="n">
        <v>105</v>
      </c>
      <c r="H8" s="10" t="n">
        <v>937</v>
      </c>
      <c r="I8" s="10" t="n">
        <v>87</v>
      </c>
      <c r="J8" s="10" t="n">
        <v>3</v>
      </c>
      <c r="K8" s="10" t="n">
        <f aca="false">G8+H8</f>
        <v>1042</v>
      </c>
      <c r="L8" s="11" t="n">
        <f aca="false">IF(K8&gt;0,G8/K8,"")</f>
        <v>0.100767754318618</v>
      </c>
      <c r="M8" s="9" t="str">
        <f aca="false">IF(K8=0,"",IF(L8&lt;0.2,"Très masculine (&lt;20 % F)",IF(L8&lt;0.4,"Plutôt masculine (20-40 %)",IF(L8&lt;0.6,"Mixte (40-60 %)","À dominante féminine (≥60 %)"))))</f>
        <v>Très masculine (&lt;20 % F)</v>
      </c>
    </row>
    <row r="9" customFormat="false" ht="15" hidden="false" customHeight="false" outlineLevel="0" collapsed="false">
      <c r="A9" s="9" t="s">
        <v>510</v>
      </c>
      <c r="B9" s="9" t="s">
        <v>507</v>
      </c>
      <c r="C9" s="9" t="s">
        <v>118</v>
      </c>
      <c r="D9" s="9" t="s">
        <v>119</v>
      </c>
      <c r="E9" s="9" t="s">
        <v>120</v>
      </c>
      <c r="F9" s="9" t="s">
        <v>121</v>
      </c>
      <c r="G9" s="10" t="n">
        <v>229</v>
      </c>
      <c r="H9" s="10" t="n">
        <v>228</v>
      </c>
      <c r="I9" s="10" t="n">
        <v>9</v>
      </c>
      <c r="J9" s="10" t="n">
        <v>10</v>
      </c>
      <c r="K9" s="10" t="n">
        <f aca="false">G9+H9</f>
        <v>457</v>
      </c>
      <c r="L9" s="11" t="n">
        <f aca="false">IF(K9&gt;0,G9/K9,"")</f>
        <v>0.50109409190372</v>
      </c>
      <c r="M9" s="9" t="str">
        <f aca="false">IF(K9=0,"",IF(L9&lt;0.2,"Très masculine (&lt;20 % F)",IF(L9&lt;0.4,"Plutôt masculine (20-40 %)",IF(L9&lt;0.6,"Mixte (40-60 %)","À dominante féminine (≥60 %)"))))</f>
        <v>Mixte (40-60 %)</v>
      </c>
    </row>
    <row r="10" customFormat="false" ht="15" hidden="false" customHeight="false" outlineLevel="0" collapsed="false">
      <c r="A10" s="9" t="s">
        <v>511</v>
      </c>
      <c r="B10" s="9" t="s">
        <v>507</v>
      </c>
      <c r="C10" s="9" t="s">
        <v>118</v>
      </c>
      <c r="D10" s="9" t="s">
        <v>119</v>
      </c>
      <c r="E10" s="9" t="s">
        <v>120</v>
      </c>
      <c r="F10" s="9" t="s">
        <v>121</v>
      </c>
      <c r="G10" s="10" t="n">
        <v>15</v>
      </c>
      <c r="H10" s="10" t="n">
        <v>85</v>
      </c>
      <c r="I10" s="10" t="n">
        <v>11</v>
      </c>
      <c r="J10" s="10" t="n">
        <v>3</v>
      </c>
      <c r="K10" s="10" t="n">
        <f aca="false">G10+H10</f>
        <v>100</v>
      </c>
      <c r="L10" s="11" t="n">
        <f aca="false">IF(K10&gt;0,G10/K10,"")</f>
        <v>0.15</v>
      </c>
      <c r="M10" s="9" t="str">
        <f aca="false">IF(K10=0,"",IF(L10&lt;0.2,"Très masculine (&lt;20 % F)",IF(L10&lt;0.4,"Plutôt masculine (20-40 %)",IF(L10&lt;0.6,"Mixte (40-60 %)","À dominante féminine (≥60 %)"))))</f>
        <v>Très masculine (&lt;20 % F)</v>
      </c>
    </row>
    <row r="11" customFormat="false" ht="15" hidden="false" customHeight="false" outlineLevel="0" collapsed="false">
      <c r="A11" s="9" t="s">
        <v>512</v>
      </c>
      <c r="B11" s="9" t="s">
        <v>507</v>
      </c>
      <c r="C11" s="9" t="s">
        <v>118</v>
      </c>
      <c r="D11" s="9" t="s">
        <v>119</v>
      </c>
      <c r="E11" s="9" t="s">
        <v>120</v>
      </c>
      <c r="F11" s="9" t="s">
        <v>121</v>
      </c>
      <c r="G11" s="10" t="n">
        <v>11</v>
      </c>
      <c r="H11" s="10" t="n">
        <v>61</v>
      </c>
      <c r="I11" s="10" t="n">
        <v>21</v>
      </c>
      <c r="J11" s="10" t="n">
        <v>0</v>
      </c>
      <c r="K11" s="10" t="n">
        <f aca="false">G11+H11</f>
        <v>72</v>
      </c>
      <c r="L11" s="11" t="n">
        <f aca="false">IF(K11&gt;0,G11/K11,"")</f>
        <v>0.152777777777778</v>
      </c>
      <c r="M11" s="9" t="str">
        <f aca="false">IF(K11=0,"",IF(L11&lt;0.2,"Très masculine (&lt;20 % F)",IF(L11&lt;0.4,"Plutôt masculine (20-40 %)",IF(L11&lt;0.6,"Mixte (40-60 %)","À dominante féminine (≥60 %)"))))</f>
        <v>Très masculine (&lt;20 % F)</v>
      </c>
    </row>
    <row r="12" customFormat="false" ht="15" hidden="false" customHeight="false" outlineLevel="0" collapsed="false">
      <c r="A12" s="9" t="s">
        <v>513</v>
      </c>
      <c r="B12" s="9" t="s">
        <v>507</v>
      </c>
      <c r="C12" s="9" t="s">
        <v>118</v>
      </c>
      <c r="D12" s="9" t="s">
        <v>119</v>
      </c>
      <c r="E12" s="9" t="s">
        <v>120</v>
      </c>
      <c r="F12" s="9" t="s">
        <v>121</v>
      </c>
      <c r="G12" s="10" t="n">
        <v>131</v>
      </c>
      <c r="H12" s="10" t="n">
        <v>117</v>
      </c>
      <c r="I12" s="10" t="n">
        <v>18</v>
      </c>
      <c r="J12" s="10" t="n">
        <v>2</v>
      </c>
      <c r="K12" s="10" t="n">
        <f aca="false">G12+H12</f>
        <v>248</v>
      </c>
      <c r="L12" s="11" t="n">
        <f aca="false">IF(K12&gt;0,G12/K12,"")</f>
        <v>0.528225806451613</v>
      </c>
      <c r="M12" s="9" t="str">
        <f aca="false">IF(K12=0,"",IF(L12&lt;0.2,"Très masculine (&lt;20 % F)",IF(L12&lt;0.4,"Plutôt masculine (20-40 %)",IF(L12&lt;0.6,"Mixte (40-60 %)","À dominante féminine (≥60 %)"))))</f>
        <v>Mixte (40-60 %)</v>
      </c>
    </row>
    <row r="13" customFormat="false" ht="15" hidden="false" customHeight="false" outlineLevel="0" collapsed="false">
      <c r="A13" s="9" t="s">
        <v>514</v>
      </c>
      <c r="B13" s="9" t="s">
        <v>507</v>
      </c>
      <c r="C13" s="9" t="s">
        <v>118</v>
      </c>
      <c r="D13" s="9" t="s">
        <v>119</v>
      </c>
      <c r="E13" s="9" t="s">
        <v>120</v>
      </c>
      <c r="F13" s="9" t="s">
        <v>121</v>
      </c>
      <c r="G13" s="10" t="n">
        <v>21</v>
      </c>
      <c r="H13" s="10" t="n">
        <v>52</v>
      </c>
      <c r="I13" s="10" t="n">
        <v>16</v>
      </c>
      <c r="J13" s="10" t="n">
        <v>0</v>
      </c>
      <c r="K13" s="10" t="n">
        <f aca="false">G13+H13</f>
        <v>73</v>
      </c>
      <c r="L13" s="11" t="n">
        <f aca="false">IF(K13&gt;0,G13/K13,"")</f>
        <v>0.287671232876712</v>
      </c>
      <c r="M13" s="9" t="str">
        <f aca="false">IF(K13=0,"",IF(L13&lt;0.2,"Très masculine (&lt;20 % F)",IF(L13&lt;0.4,"Plutôt masculine (20-40 %)",IF(L13&lt;0.6,"Mixte (40-60 %)","À dominante féminine (≥60 %)"))))</f>
        <v>Plutôt masculine (20-40 %)</v>
      </c>
    </row>
    <row r="14" customFormat="false" ht="15" hidden="false" customHeight="false" outlineLevel="0" collapsed="false">
      <c r="A14" s="9" t="s">
        <v>515</v>
      </c>
      <c r="B14" s="9" t="s">
        <v>507</v>
      </c>
      <c r="C14" s="9" t="s">
        <v>118</v>
      </c>
      <c r="D14" s="9" t="s">
        <v>119</v>
      </c>
      <c r="E14" s="9" t="s">
        <v>120</v>
      </c>
      <c r="F14" s="9" t="s">
        <v>121</v>
      </c>
      <c r="G14" s="10" t="n">
        <v>29</v>
      </c>
      <c r="H14" s="10" t="n">
        <v>48</v>
      </c>
      <c r="I14" s="10" t="n">
        <v>19</v>
      </c>
      <c r="J14" s="10" t="n">
        <v>0</v>
      </c>
      <c r="K14" s="10" t="n">
        <f aca="false">G14+H14</f>
        <v>77</v>
      </c>
      <c r="L14" s="11" t="n">
        <f aca="false">IF(K14&gt;0,G14/K14,"")</f>
        <v>0.376623376623377</v>
      </c>
      <c r="M14" s="9" t="str">
        <f aca="false">IF(K14=0,"",IF(L14&lt;0.2,"Très masculine (&lt;20 % F)",IF(L14&lt;0.4,"Plutôt masculine (20-40 %)",IF(L14&lt;0.6,"Mixte (40-60 %)","À dominante féminine (≥60 %)"))))</f>
        <v>Plutôt masculine (20-40 %)</v>
      </c>
    </row>
    <row r="15" customFormat="false" ht="15" hidden="false" customHeight="false" outlineLevel="0" collapsed="false">
      <c r="A15" s="9" t="s">
        <v>516</v>
      </c>
      <c r="B15" s="9" t="s">
        <v>507</v>
      </c>
      <c r="C15" s="9" t="s">
        <v>118</v>
      </c>
      <c r="D15" s="9" t="s">
        <v>119</v>
      </c>
      <c r="E15" s="9" t="s">
        <v>120</v>
      </c>
      <c r="F15" s="9" t="s">
        <v>121</v>
      </c>
      <c r="G15" s="10" t="n">
        <v>46</v>
      </c>
      <c r="H15" s="10" t="n">
        <v>115</v>
      </c>
      <c r="I15" s="10" t="n">
        <v>12</v>
      </c>
      <c r="J15" s="10" t="n">
        <v>2</v>
      </c>
      <c r="K15" s="10" t="n">
        <f aca="false">G15+H15</f>
        <v>161</v>
      </c>
      <c r="L15" s="11" t="n">
        <f aca="false">IF(K15&gt;0,G15/K15,"")</f>
        <v>0.285714285714286</v>
      </c>
      <c r="M15" s="9" t="str">
        <f aca="false">IF(K15=0,"",IF(L15&lt;0.2,"Très masculine (&lt;20 % F)",IF(L15&lt;0.4,"Plutôt masculine (20-40 %)",IF(L15&lt;0.6,"Mixte (40-60 %)","À dominante féminine (≥60 %)"))))</f>
        <v>Plutôt masculine (20-40 %)</v>
      </c>
    </row>
    <row r="16" customFormat="false" ht="15" hidden="false" customHeight="false" outlineLevel="0" collapsed="false">
      <c r="A16" s="9" t="s">
        <v>517</v>
      </c>
      <c r="B16" s="9" t="s">
        <v>507</v>
      </c>
      <c r="C16" s="9" t="s">
        <v>118</v>
      </c>
      <c r="D16" s="9" t="s">
        <v>119</v>
      </c>
      <c r="E16" s="9" t="s">
        <v>120</v>
      </c>
      <c r="F16" s="9" t="s">
        <v>121</v>
      </c>
      <c r="G16" s="10" t="n">
        <v>95</v>
      </c>
      <c r="H16" s="10" t="n">
        <v>157</v>
      </c>
      <c r="I16" s="10" t="n">
        <v>16</v>
      </c>
      <c r="J16" s="10" t="n">
        <v>0</v>
      </c>
      <c r="K16" s="10" t="n">
        <f aca="false">G16+H16</f>
        <v>252</v>
      </c>
      <c r="L16" s="11" t="n">
        <f aca="false">IF(K16&gt;0,G16/K16,"")</f>
        <v>0.376984126984127</v>
      </c>
      <c r="M16" s="9" t="str">
        <f aca="false">IF(K16=0,"",IF(L16&lt;0.2,"Très masculine (&lt;20 % F)",IF(L16&lt;0.4,"Plutôt masculine (20-40 %)",IF(L16&lt;0.6,"Mixte (40-60 %)","À dominante féminine (≥60 %)"))))</f>
        <v>Plutôt masculine (20-40 %)</v>
      </c>
    </row>
    <row r="17" customFormat="false" ht="15" hidden="false" customHeight="false" outlineLevel="0" collapsed="false">
      <c r="A17" s="9" t="s">
        <v>518</v>
      </c>
      <c r="B17" s="9" t="s">
        <v>507</v>
      </c>
      <c r="C17" s="9" t="s">
        <v>118</v>
      </c>
      <c r="D17" s="9" t="s">
        <v>119</v>
      </c>
      <c r="E17" s="9" t="s">
        <v>120</v>
      </c>
      <c r="F17" s="9" t="s">
        <v>121</v>
      </c>
      <c r="G17" s="10" t="n">
        <v>854</v>
      </c>
      <c r="H17" s="10" t="n">
        <v>328</v>
      </c>
      <c r="I17" s="10" t="n">
        <v>101</v>
      </c>
      <c r="J17" s="10" t="n">
        <v>19</v>
      </c>
      <c r="K17" s="10" t="n">
        <f aca="false">G17+H17</f>
        <v>1182</v>
      </c>
      <c r="L17" s="11" t="n">
        <f aca="false">IF(K17&gt;0,G17/K17,"")</f>
        <v>0.722504230118443</v>
      </c>
      <c r="M17" s="9" t="str">
        <f aca="false">IF(K17=0,"",IF(L17&lt;0.2,"Très masculine (&lt;20 % F)",IF(L17&lt;0.4,"Plutôt masculine (20-40 %)",IF(L17&lt;0.6,"Mixte (40-60 %)","À dominante féminine (≥60 %)"))))</f>
        <v>À dominante féminine (≥60 %)</v>
      </c>
    </row>
    <row r="18" customFormat="false" ht="15" hidden="false" customHeight="false" outlineLevel="0" collapsed="false">
      <c r="A18" s="9" t="s">
        <v>519</v>
      </c>
      <c r="B18" s="9" t="s">
        <v>507</v>
      </c>
      <c r="C18" s="9" t="s">
        <v>118</v>
      </c>
      <c r="D18" s="9" t="s">
        <v>119</v>
      </c>
      <c r="E18" s="9" t="s">
        <v>120</v>
      </c>
      <c r="F18" s="9" t="s">
        <v>121</v>
      </c>
      <c r="G18" s="10" t="n">
        <v>127</v>
      </c>
      <c r="H18" s="10" t="n">
        <v>138</v>
      </c>
      <c r="I18" s="10" t="n">
        <v>18</v>
      </c>
      <c r="J18" s="10" t="n">
        <v>1</v>
      </c>
      <c r="K18" s="10" t="n">
        <f aca="false">G18+H18</f>
        <v>265</v>
      </c>
      <c r="L18" s="11" t="n">
        <f aca="false">IF(K18&gt;0,G18/K18,"")</f>
        <v>0.479245283018868</v>
      </c>
      <c r="M18" s="9" t="str">
        <f aca="false">IF(K18=0,"",IF(L18&lt;0.2,"Très masculine (&lt;20 % F)",IF(L18&lt;0.4,"Plutôt masculine (20-40 %)",IF(L18&lt;0.6,"Mixte (40-60 %)","À dominante féminine (≥60 %)"))))</f>
        <v>Mixte (40-60 %)</v>
      </c>
    </row>
    <row r="19" customFormat="false" ht="15" hidden="false" customHeight="false" outlineLevel="0" collapsed="false">
      <c r="A19" s="9" t="s">
        <v>520</v>
      </c>
      <c r="B19" s="9" t="s">
        <v>507</v>
      </c>
      <c r="C19" s="9" t="s">
        <v>118</v>
      </c>
      <c r="D19" s="9" t="s">
        <v>119</v>
      </c>
      <c r="E19" s="9" t="s">
        <v>120</v>
      </c>
      <c r="F19" s="9" t="s">
        <v>121</v>
      </c>
      <c r="G19" s="10" t="n">
        <v>407</v>
      </c>
      <c r="H19" s="10" t="n">
        <v>7</v>
      </c>
      <c r="I19" s="10" t="n">
        <v>24</v>
      </c>
      <c r="J19" s="10" t="n">
        <v>2</v>
      </c>
      <c r="K19" s="10" t="n">
        <f aca="false">G19+H19</f>
        <v>414</v>
      </c>
      <c r="L19" s="11" t="n">
        <f aca="false">IF(K19&gt;0,G19/K19,"")</f>
        <v>0.983091787439614</v>
      </c>
      <c r="M19" s="9" t="str">
        <f aca="false">IF(K19=0,"",IF(L19&lt;0.2,"Très masculine (&lt;20 % F)",IF(L19&lt;0.4,"Plutôt masculine (20-40 %)",IF(L19&lt;0.6,"Mixte (40-60 %)","À dominante féminine (≥60 %)"))))</f>
        <v>À dominante féminine (≥60 %)</v>
      </c>
    </row>
    <row r="20" customFormat="false" ht="15" hidden="false" customHeight="false" outlineLevel="0" collapsed="false">
      <c r="A20" s="9" t="s">
        <v>521</v>
      </c>
      <c r="B20" s="9" t="s">
        <v>507</v>
      </c>
      <c r="C20" s="9" t="s">
        <v>118</v>
      </c>
      <c r="D20" s="9" t="s">
        <v>119</v>
      </c>
      <c r="E20" s="9" t="s">
        <v>120</v>
      </c>
      <c r="F20" s="9" t="s">
        <v>121</v>
      </c>
      <c r="G20" s="10" t="n">
        <v>138</v>
      </c>
      <c r="H20" s="10" t="n">
        <v>317</v>
      </c>
      <c r="I20" s="10" t="n">
        <v>3</v>
      </c>
      <c r="J20" s="10" t="n">
        <v>3</v>
      </c>
      <c r="K20" s="10" t="n">
        <f aca="false">G20+H20</f>
        <v>455</v>
      </c>
      <c r="L20" s="11" t="n">
        <f aca="false">IF(K20&gt;0,G20/K20,"")</f>
        <v>0.303296703296703</v>
      </c>
      <c r="M20" s="9" t="str">
        <f aca="false">IF(K20=0,"",IF(L20&lt;0.2,"Très masculine (&lt;20 % F)",IF(L20&lt;0.4,"Plutôt masculine (20-40 %)",IF(L20&lt;0.6,"Mixte (40-60 %)","À dominante féminine (≥60 %)"))))</f>
        <v>Plutôt masculine (20-40 %)</v>
      </c>
    </row>
    <row r="21" customFormat="false" ht="15" hidden="false" customHeight="false" outlineLevel="0" collapsed="false">
      <c r="A21" s="9" t="s">
        <v>522</v>
      </c>
      <c r="B21" s="9" t="s">
        <v>507</v>
      </c>
      <c r="C21" s="9" t="s">
        <v>118</v>
      </c>
      <c r="D21" s="9" t="s">
        <v>119</v>
      </c>
      <c r="E21" s="9" t="s">
        <v>120</v>
      </c>
      <c r="F21" s="9" t="s">
        <v>121</v>
      </c>
      <c r="G21" s="10" t="n">
        <v>507</v>
      </c>
      <c r="H21" s="10" t="n">
        <v>287</v>
      </c>
      <c r="I21" s="10" t="n">
        <v>55</v>
      </c>
      <c r="J21" s="10" t="n">
        <v>20</v>
      </c>
      <c r="K21" s="10" t="n">
        <f aca="false">G21+H21</f>
        <v>794</v>
      </c>
      <c r="L21" s="11" t="n">
        <f aca="false">IF(K21&gt;0,G21/K21,"")</f>
        <v>0.638539042821159</v>
      </c>
      <c r="M21" s="9" t="str">
        <f aca="false">IF(K21=0,"",IF(L21&lt;0.2,"Très masculine (&lt;20 % F)",IF(L21&lt;0.4,"Plutôt masculine (20-40 %)",IF(L21&lt;0.6,"Mixte (40-60 %)","À dominante féminine (≥60 %)"))))</f>
        <v>À dominante féminine (≥60 %)</v>
      </c>
    </row>
    <row r="22" customFormat="false" ht="15" hidden="false" customHeight="false" outlineLevel="0" collapsed="false">
      <c r="A22" s="9" t="s">
        <v>523</v>
      </c>
      <c r="B22" s="9" t="s">
        <v>507</v>
      </c>
      <c r="C22" s="9" t="s">
        <v>118</v>
      </c>
      <c r="D22" s="9" t="s">
        <v>119</v>
      </c>
      <c r="E22" s="9" t="s">
        <v>120</v>
      </c>
      <c r="F22" s="9" t="s">
        <v>121</v>
      </c>
      <c r="G22" s="10" t="n">
        <v>8</v>
      </c>
      <c r="H22" s="10" t="n">
        <v>20</v>
      </c>
      <c r="I22" s="10" t="n">
        <v>13</v>
      </c>
      <c r="J22" s="10" t="n">
        <v>0</v>
      </c>
      <c r="K22" s="10" t="n">
        <f aca="false">G22+H22</f>
        <v>28</v>
      </c>
      <c r="L22" s="11" t="n">
        <f aca="false">IF(K22&gt;0,G22/K22,"")</f>
        <v>0.285714285714286</v>
      </c>
      <c r="M22" s="9" t="str">
        <f aca="false">IF(K22=0,"",IF(L22&lt;0.2,"Très masculine (&lt;20 % F)",IF(L22&lt;0.4,"Plutôt masculine (20-40 %)",IF(L22&lt;0.6,"Mixte (40-60 %)","À dominante féminine (≥60 %)"))))</f>
        <v>Plutôt masculine (20-40 %)</v>
      </c>
    </row>
    <row r="23" customFormat="false" ht="15" hidden="false" customHeight="false" outlineLevel="0" collapsed="false">
      <c r="A23" s="9" t="s">
        <v>524</v>
      </c>
      <c r="B23" s="9" t="s">
        <v>507</v>
      </c>
      <c r="C23" s="9" t="s">
        <v>118</v>
      </c>
      <c r="D23" s="9" t="s">
        <v>119</v>
      </c>
      <c r="E23" s="9" t="s">
        <v>120</v>
      </c>
      <c r="F23" s="9" t="s">
        <v>121</v>
      </c>
      <c r="G23" s="10" t="n">
        <v>4</v>
      </c>
      <c r="H23" s="10" t="n">
        <v>10</v>
      </c>
      <c r="I23" s="10" t="n">
        <v>14</v>
      </c>
      <c r="J23" s="10" t="n">
        <v>0</v>
      </c>
      <c r="K23" s="10" t="n">
        <f aca="false">G23+H23</f>
        <v>14</v>
      </c>
      <c r="L23" s="11" t="n">
        <f aca="false">IF(K23&gt;0,G23/K23,"")</f>
        <v>0.285714285714286</v>
      </c>
      <c r="M23" s="9" t="str">
        <f aca="false">IF(K23=0,"",IF(L23&lt;0.2,"Très masculine (&lt;20 % F)",IF(L23&lt;0.4,"Plutôt masculine (20-40 %)",IF(L23&lt;0.6,"Mixte (40-60 %)","À dominante féminine (≥60 %)"))))</f>
        <v>Plutôt masculine (20-40 %)</v>
      </c>
    </row>
    <row r="24" customFormat="false" ht="15" hidden="false" customHeight="false" outlineLevel="0" collapsed="false">
      <c r="A24" s="9" t="s">
        <v>525</v>
      </c>
      <c r="B24" s="9" t="s">
        <v>507</v>
      </c>
      <c r="C24" s="9" t="s">
        <v>118</v>
      </c>
      <c r="D24" s="9" t="s">
        <v>119</v>
      </c>
      <c r="E24" s="9" t="s">
        <v>120</v>
      </c>
      <c r="F24" s="9" t="s">
        <v>121</v>
      </c>
      <c r="G24" s="10" t="n">
        <v>9</v>
      </c>
      <c r="H24" s="10" t="n">
        <v>51</v>
      </c>
      <c r="I24" s="10" t="n">
        <v>7</v>
      </c>
      <c r="J24" s="10" t="n">
        <v>0</v>
      </c>
      <c r="K24" s="10" t="n">
        <f aca="false">G24+H24</f>
        <v>60</v>
      </c>
      <c r="L24" s="11" t="n">
        <f aca="false">IF(K24&gt;0,G24/K24,"")</f>
        <v>0.15</v>
      </c>
      <c r="M24" s="9" t="str">
        <f aca="false">IF(K24=0,"",IF(L24&lt;0.2,"Très masculine (&lt;20 % F)",IF(L24&lt;0.4,"Plutôt masculine (20-40 %)",IF(L24&lt;0.6,"Mixte (40-60 %)","À dominante féminine (≥60 %)"))))</f>
        <v>Très masculine (&lt;20 % F)</v>
      </c>
    </row>
    <row r="25" customFormat="false" ht="15" hidden="false" customHeight="false" outlineLevel="0" collapsed="false">
      <c r="A25" s="9" t="s">
        <v>526</v>
      </c>
      <c r="B25" s="9" t="s">
        <v>507</v>
      </c>
      <c r="C25" s="9" t="s">
        <v>118</v>
      </c>
      <c r="D25" s="9" t="s">
        <v>119</v>
      </c>
      <c r="E25" s="9" t="s">
        <v>120</v>
      </c>
      <c r="F25" s="9" t="s">
        <v>121</v>
      </c>
      <c r="G25" s="10" t="n">
        <v>23</v>
      </c>
      <c r="H25" s="10" t="n">
        <v>38</v>
      </c>
      <c r="I25" s="10" t="n">
        <v>25</v>
      </c>
      <c r="J25" s="10" t="n">
        <v>0</v>
      </c>
      <c r="K25" s="10" t="n">
        <f aca="false">G25+H25</f>
        <v>61</v>
      </c>
      <c r="L25" s="11" t="n">
        <f aca="false">IF(K25&gt;0,G25/K25,"")</f>
        <v>0.377049180327869</v>
      </c>
      <c r="M25" s="9" t="str">
        <f aca="false">IF(K25=0,"",IF(L25&lt;0.2,"Très masculine (&lt;20 % F)",IF(L25&lt;0.4,"Plutôt masculine (20-40 %)",IF(L25&lt;0.6,"Mixte (40-60 %)","À dominante féminine (≥60 %)"))))</f>
        <v>Plutôt masculine (20-40 %)</v>
      </c>
    </row>
    <row r="26" customFormat="false" ht="15" hidden="false" customHeight="false" outlineLevel="0" collapsed="false">
      <c r="A26" s="9" t="s">
        <v>527</v>
      </c>
      <c r="B26" s="9" t="s">
        <v>507</v>
      </c>
      <c r="C26" s="9" t="s">
        <v>118</v>
      </c>
      <c r="D26" s="9" t="s">
        <v>119</v>
      </c>
      <c r="E26" s="9" t="s">
        <v>120</v>
      </c>
      <c r="F26" s="9" t="s">
        <v>121</v>
      </c>
      <c r="G26" s="10" t="n">
        <v>29</v>
      </c>
      <c r="H26" s="10" t="n">
        <v>27</v>
      </c>
      <c r="I26" s="10" t="n">
        <v>15</v>
      </c>
      <c r="J26" s="10" t="n">
        <v>0</v>
      </c>
      <c r="K26" s="10" t="n">
        <f aca="false">G26+H26</f>
        <v>56</v>
      </c>
      <c r="L26" s="11" t="n">
        <f aca="false">IF(K26&gt;0,G26/K26,"")</f>
        <v>0.517857142857143</v>
      </c>
      <c r="M26" s="9" t="str">
        <f aca="false">IF(K26=0,"",IF(L26&lt;0.2,"Très masculine (&lt;20 % F)",IF(L26&lt;0.4,"Plutôt masculine (20-40 %)",IF(L26&lt;0.6,"Mixte (40-60 %)","À dominante féminine (≥60 %)"))))</f>
        <v>Mixte (40-60 %)</v>
      </c>
    </row>
    <row r="27" customFormat="false" ht="15" hidden="false" customHeight="false" outlineLevel="0" collapsed="false">
      <c r="A27" s="9" t="s">
        <v>528</v>
      </c>
      <c r="B27" s="9" t="s">
        <v>507</v>
      </c>
      <c r="C27" s="9" t="s">
        <v>118</v>
      </c>
      <c r="D27" s="9" t="s">
        <v>119</v>
      </c>
      <c r="E27" s="9" t="s">
        <v>120</v>
      </c>
      <c r="F27" s="9" t="s">
        <v>121</v>
      </c>
      <c r="G27" s="10" t="n">
        <v>128</v>
      </c>
      <c r="H27" s="10" t="n">
        <v>1410</v>
      </c>
      <c r="I27" s="10" t="n">
        <v>95</v>
      </c>
      <c r="J27" s="10" t="n">
        <v>2</v>
      </c>
      <c r="K27" s="10" t="n">
        <f aca="false">G27+H27</f>
        <v>1538</v>
      </c>
      <c r="L27" s="11" t="n">
        <f aca="false">IF(K27&gt;0,G27/K27,"")</f>
        <v>0.0832249674902471</v>
      </c>
      <c r="M27" s="9" t="str">
        <f aca="false">IF(K27=0,"",IF(L27&lt;0.2,"Très masculine (&lt;20 % F)",IF(L27&lt;0.4,"Plutôt masculine (20-40 %)",IF(L27&lt;0.6,"Mixte (40-60 %)","À dominante féminine (≥60 %)"))))</f>
        <v>Très masculine (&lt;20 % F)</v>
      </c>
    </row>
    <row r="28" customFormat="false" ht="15" hidden="false" customHeight="false" outlineLevel="0" collapsed="false">
      <c r="A28" s="9" t="s">
        <v>529</v>
      </c>
      <c r="B28" s="9" t="s">
        <v>507</v>
      </c>
      <c r="C28" s="9" t="s">
        <v>118</v>
      </c>
      <c r="D28" s="9" t="s">
        <v>119</v>
      </c>
      <c r="E28" s="9" t="s">
        <v>120</v>
      </c>
      <c r="F28" s="9" t="s">
        <v>121</v>
      </c>
      <c r="G28" s="10" t="n">
        <v>188</v>
      </c>
      <c r="H28" s="10" t="n">
        <v>453</v>
      </c>
      <c r="I28" s="10" t="n">
        <v>62</v>
      </c>
      <c r="J28" s="10" t="n">
        <v>1</v>
      </c>
      <c r="K28" s="10" t="n">
        <f aca="false">G28+H28</f>
        <v>641</v>
      </c>
      <c r="L28" s="11" t="n">
        <f aca="false">IF(K28&gt;0,G28/K28,"")</f>
        <v>0.293291731669267</v>
      </c>
      <c r="M28" s="9" t="str">
        <f aca="false">IF(K28=0,"",IF(L28&lt;0.2,"Très masculine (&lt;20 % F)",IF(L28&lt;0.4,"Plutôt masculine (20-40 %)",IF(L28&lt;0.6,"Mixte (40-60 %)","À dominante féminine (≥60 %)"))))</f>
        <v>Plutôt masculine (20-40 %)</v>
      </c>
    </row>
    <row r="29" customFormat="false" ht="15" hidden="false" customHeight="false" outlineLevel="0" collapsed="false">
      <c r="A29" s="9" t="s">
        <v>530</v>
      </c>
      <c r="B29" s="9" t="s">
        <v>507</v>
      </c>
      <c r="C29" s="9" t="s">
        <v>118</v>
      </c>
      <c r="D29" s="9" t="s">
        <v>119</v>
      </c>
      <c r="E29" s="9" t="s">
        <v>120</v>
      </c>
      <c r="F29" s="9" t="s">
        <v>121</v>
      </c>
      <c r="G29" s="10" t="n">
        <v>12</v>
      </c>
      <c r="H29" s="10" t="n">
        <v>63</v>
      </c>
      <c r="I29" s="10" t="n">
        <v>8</v>
      </c>
      <c r="J29" s="10" t="n">
        <v>0</v>
      </c>
      <c r="K29" s="10" t="n">
        <f aca="false">G29+H29</f>
        <v>75</v>
      </c>
      <c r="L29" s="11" t="n">
        <f aca="false">IF(K29&gt;0,G29/K29,"")</f>
        <v>0.16</v>
      </c>
      <c r="M29" s="9" t="str">
        <f aca="false">IF(K29=0,"",IF(L29&lt;0.2,"Très masculine (&lt;20 % F)",IF(L29&lt;0.4,"Plutôt masculine (20-40 %)",IF(L29&lt;0.6,"Mixte (40-60 %)","À dominante féminine (≥60 %)"))))</f>
        <v>Très masculine (&lt;20 % F)</v>
      </c>
    </row>
    <row r="30" customFormat="false" ht="15" hidden="false" customHeight="false" outlineLevel="0" collapsed="false">
      <c r="A30" s="9" t="s">
        <v>531</v>
      </c>
      <c r="B30" s="9" t="s">
        <v>532</v>
      </c>
      <c r="C30" s="9" t="s">
        <v>122</v>
      </c>
      <c r="D30" s="9" t="s">
        <v>123</v>
      </c>
      <c r="E30" s="9" t="s">
        <v>124</v>
      </c>
      <c r="F30" s="9" t="s">
        <v>125</v>
      </c>
      <c r="G30" s="10" t="n">
        <v>54</v>
      </c>
      <c r="H30" s="10" t="n">
        <v>96</v>
      </c>
      <c r="I30" s="10" t="n">
        <v>3</v>
      </c>
      <c r="J30" s="10" t="n">
        <v>2</v>
      </c>
      <c r="K30" s="10" t="n">
        <f aca="false">G30+H30</f>
        <v>150</v>
      </c>
      <c r="L30" s="11" t="n">
        <f aca="false">IF(K30&gt;0,G30/K30,"")</f>
        <v>0.36</v>
      </c>
      <c r="M30" s="9" t="str">
        <f aca="false">IF(K30=0,"",IF(L30&lt;0.2,"Très masculine (&lt;20 % F)",IF(L30&lt;0.4,"Plutôt masculine (20-40 %)",IF(L30&lt;0.6,"Mixte (40-60 %)","À dominante féminine (≥60 %)"))))</f>
        <v>Plutôt masculine (20-40 %)</v>
      </c>
    </row>
    <row r="31" customFormat="false" ht="15" hidden="false" customHeight="false" outlineLevel="0" collapsed="false">
      <c r="A31" s="9" t="s">
        <v>533</v>
      </c>
      <c r="B31" s="9" t="s">
        <v>532</v>
      </c>
      <c r="C31" s="9" t="s">
        <v>122</v>
      </c>
      <c r="D31" s="9" t="s">
        <v>123</v>
      </c>
      <c r="E31" s="9" t="s">
        <v>124</v>
      </c>
      <c r="F31" s="9" t="s">
        <v>125</v>
      </c>
      <c r="G31" s="10" t="n">
        <v>41</v>
      </c>
      <c r="H31" s="10" t="n">
        <v>96</v>
      </c>
      <c r="I31" s="10" t="n">
        <v>13</v>
      </c>
      <c r="J31" s="10" t="n">
        <v>1</v>
      </c>
      <c r="K31" s="10" t="n">
        <f aca="false">G31+H31</f>
        <v>137</v>
      </c>
      <c r="L31" s="11" t="n">
        <f aca="false">IF(K31&gt;0,G31/K31,"")</f>
        <v>0.299270072992701</v>
      </c>
      <c r="M31" s="9" t="str">
        <f aca="false">IF(K31=0,"",IF(L31&lt;0.2,"Très masculine (&lt;20 % F)",IF(L31&lt;0.4,"Plutôt masculine (20-40 %)",IF(L31&lt;0.6,"Mixte (40-60 %)","À dominante féminine (≥60 %)"))))</f>
        <v>Plutôt masculine (20-40 %)</v>
      </c>
    </row>
    <row r="32" customFormat="false" ht="15" hidden="false" customHeight="false" outlineLevel="0" collapsed="false">
      <c r="A32" s="9" t="s">
        <v>534</v>
      </c>
      <c r="B32" s="9" t="s">
        <v>532</v>
      </c>
      <c r="C32" s="9" t="s">
        <v>122</v>
      </c>
      <c r="D32" s="9" t="s">
        <v>123</v>
      </c>
      <c r="E32" s="9" t="s">
        <v>124</v>
      </c>
      <c r="F32" s="9" t="s">
        <v>125</v>
      </c>
      <c r="G32" s="10" t="n">
        <v>42</v>
      </c>
      <c r="H32" s="10" t="n">
        <v>19</v>
      </c>
      <c r="I32" s="10" t="n">
        <v>61</v>
      </c>
      <c r="J32" s="10" t="n">
        <v>0</v>
      </c>
      <c r="K32" s="10" t="n">
        <f aca="false">G32+H32</f>
        <v>61</v>
      </c>
      <c r="L32" s="11" t="n">
        <f aca="false">IF(K32&gt;0,G32/K32,"")</f>
        <v>0.688524590163934</v>
      </c>
      <c r="M32" s="9" t="str">
        <f aca="false">IF(K32=0,"",IF(L32&lt;0.2,"Très masculine (&lt;20 % F)",IF(L32&lt;0.4,"Plutôt masculine (20-40 %)",IF(L32&lt;0.6,"Mixte (40-60 %)","À dominante féminine (≥60 %)"))))</f>
        <v>À dominante féminine (≥60 %)</v>
      </c>
    </row>
    <row r="33" customFormat="false" ht="15" hidden="false" customHeight="false" outlineLevel="0" collapsed="false">
      <c r="A33" s="9" t="s">
        <v>535</v>
      </c>
      <c r="B33" s="9" t="s">
        <v>536</v>
      </c>
      <c r="C33" s="9" t="s">
        <v>126</v>
      </c>
      <c r="D33" s="9" t="s">
        <v>127</v>
      </c>
      <c r="E33" s="9" t="s">
        <v>100</v>
      </c>
      <c r="F33" s="9" t="s">
        <v>128</v>
      </c>
      <c r="G33" s="10" t="n">
        <v>5</v>
      </c>
      <c r="H33" s="10" t="n">
        <v>9</v>
      </c>
      <c r="I33" s="10" t="n">
        <v>0</v>
      </c>
      <c r="J33" s="10" t="n">
        <v>0</v>
      </c>
      <c r="K33" s="10" t="n">
        <f aca="false">G33+H33</f>
        <v>14</v>
      </c>
      <c r="L33" s="11" t="n">
        <f aca="false">IF(K33&gt;0,G33/K33,"")</f>
        <v>0.357142857142857</v>
      </c>
      <c r="M33" s="9" t="str">
        <f aca="false">IF(K33=0,"",IF(L33&lt;0.2,"Très masculine (&lt;20 % F)",IF(L33&lt;0.4,"Plutôt masculine (20-40 %)",IF(L33&lt;0.6,"Mixte (40-60 %)","À dominante féminine (≥60 %)"))))</f>
        <v>Plutôt masculine (20-40 %)</v>
      </c>
    </row>
    <row r="34" customFormat="false" ht="15" hidden="false" customHeight="false" outlineLevel="0" collapsed="false">
      <c r="A34" s="9" t="s">
        <v>537</v>
      </c>
      <c r="B34" s="9" t="s">
        <v>538</v>
      </c>
      <c r="C34" s="9" t="s">
        <v>129</v>
      </c>
      <c r="D34" s="9" t="s">
        <v>130</v>
      </c>
      <c r="E34" s="9" t="s">
        <v>106</v>
      </c>
      <c r="F34" s="9" t="s">
        <v>108</v>
      </c>
      <c r="G34" s="10" t="n">
        <v>30</v>
      </c>
      <c r="H34" s="10" t="n">
        <v>23</v>
      </c>
      <c r="I34" s="10" t="n">
        <v>8</v>
      </c>
      <c r="J34" s="10" t="n">
        <v>1</v>
      </c>
      <c r="K34" s="10" t="n">
        <f aca="false">G34+H34</f>
        <v>53</v>
      </c>
      <c r="L34" s="11" t="n">
        <f aca="false">IF(K34&gt;0,G34/K34,"")</f>
        <v>0.566037735849057</v>
      </c>
      <c r="M34" s="9" t="str">
        <f aca="false">IF(K34=0,"",IF(L34&lt;0.2,"Très masculine (&lt;20 % F)",IF(L34&lt;0.4,"Plutôt masculine (20-40 %)",IF(L34&lt;0.6,"Mixte (40-60 %)","À dominante féminine (≥60 %)"))))</f>
        <v>Mixte (40-60 %)</v>
      </c>
    </row>
    <row r="35" customFormat="false" ht="15" hidden="false" customHeight="false" outlineLevel="0" collapsed="false">
      <c r="A35" s="9" t="s">
        <v>539</v>
      </c>
      <c r="B35" s="9" t="s">
        <v>540</v>
      </c>
      <c r="C35" s="9" t="s">
        <v>136</v>
      </c>
      <c r="D35" s="9" t="s">
        <v>137</v>
      </c>
      <c r="E35" s="9" t="s">
        <v>133</v>
      </c>
      <c r="F35" s="9" t="s">
        <v>116</v>
      </c>
      <c r="G35" s="10" t="n">
        <v>234</v>
      </c>
      <c r="H35" s="10" t="n">
        <v>111</v>
      </c>
      <c r="I35" s="10" t="n">
        <v>9</v>
      </c>
      <c r="J35" s="10" t="n">
        <v>6</v>
      </c>
      <c r="K35" s="10" t="n">
        <f aca="false">G35+H35</f>
        <v>345</v>
      </c>
      <c r="L35" s="11" t="n">
        <f aca="false">IF(K35&gt;0,G35/K35,"")</f>
        <v>0.678260869565217</v>
      </c>
      <c r="M35" s="9" t="str">
        <f aca="false">IF(K35=0,"",IF(L35&lt;0.2,"Très masculine (&lt;20 % F)",IF(L35&lt;0.4,"Plutôt masculine (20-40 %)",IF(L35&lt;0.6,"Mixte (40-60 %)","À dominante féminine (≥60 %)"))))</f>
        <v>À dominante féminine (≥60 %)</v>
      </c>
    </row>
    <row r="36" customFormat="false" ht="15" hidden="false" customHeight="false" outlineLevel="0" collapsed="false">
      <c r="A36" s="9" t="s">
        <v>541</v>
      </c>
      <c r="B36" s="9" t="s">
        <v>540</v>
      </c>
      <c r="C36" s="9" t="s">
        <v>136</v>
      </c>
      <c r="D36" s="9" t="s">
        <v>137</v>
      </c>
      <c r="E36" s="9" t="s">
        <v>133</v>
      </c>
      <c r="F36" s="9" t="s">
        <v>116</v>
      </c>
      <c r="G36" s="10" t="n">
        <v>22</v>
      </c>
      <c r="H36" s="10" t="n">
        <v>188</v>
      </c>
      <c r="I36" s="10" t="n">
        <v>14</v>
      </c>
      <c r="J36" s="10" t="n">
        <v>1</v>
      </c>
      <c r="K36" s="10" t="n">
        <f aca="false">G36+H36</f>
        <v>210</v>
      </c>
      <c r="L36" s="11" t="n">
        <f aca="false">IF(K36&gt;0,G36/K36,"")</f>
        <v>0.104761904761905</v>
      </c>
      <c r="M36" s="9" t="str">
        <f aca="false">IF(K36=0,"",IF(L36&lt;0.2,"Très masculine (&lt;20 % F)",IF(L36&lt;0.4,"Plutôt masculine (20-40 %)",IF(L36&lt;0.6,"Mixte (40-60 %)","À dominante féminine (≥60 %)"))))</f>
        <v>Très masculine (&lt;20 % F)</v>
      </c>
    </row>
    <row r="37" customFormat="false" ht="15" hidden="false" customHeight="false" outlineLevel="0" collapsed="false">
      <c r="A37" s="9" t="s">
        <v>542</v>
      </c>
      <c r="B37" s="9" t="s">
        <v>540</v>
      </c>
      <c r="C37" s="9" t="s">
        <v>136</v>
      </c>
      <c r="D37" s="9" t="s">
        <v>137</v>
      </c>
      <c r="E37" s="9" t="s">
        <v>133</v>
      </c>
      <c r="F37" s="9" t="s">
        <v>116</v>
      </c>
      <c r="G37" s="10" t="n">
        <v>28</v>
      </c>
      <c r="H37" s="10" t="n">
        <v>92</v>
      </c>
      <c r="I37" s="10" t="n">
        <v>20</v>
      </c>
      <c r="J37" s="10" t="n">
        <v>0</v>
      </c>
      <c r="K37" s="10" t="n">
        <f aca="false">G37+H37</f>
        <v>120</v>
      </c>
      <c r="L37" s="11" t="n">
        <f aca="false">IF(K37&gt;0,G37/K37,"")</f>
        <v>0.233333333333333</v>
      </c>
      <c r="M37" s="9" t="str">
        <f aca="false">IF(K37=0,"",IF(L37&lt;0.2,"Très masculine (&lt;20 % F)",IF(L37&lt;0.4,"Plutôt masculine (20-40 %)",IF(L37&lt;0.6,"Mixte (40-60 %)","À dominante féminine (≥60 %)"))))</f>
        <v>Plutôt masculine (20-40 %)</v>
      </c>
    </row>
    <row r="38" customFormat="false" ht="15" hidden="false" customHeight="false" outlineLevel="0" collapsed="false">
      <c r="A38" s="9" t="s">
        <v>543</v>
      </c>
      <c r="B38" s="9" t="s">
        <v>544</v>
      </c>
      <c r="C38" s="9" t="s">
        <v>138</v>
      </c>
      <c r="D38" s="9" t="s">
        <v>139</v>
      </c>
      <c r="E38" s="9" t="s">
        <v>140</v>
      </c>
      <c r="F38" s="9" t="s">
        <v>128</v>
      </c>
      <c r="G38" s="10" t="n">
        <v>68</v>
      </c>
      <c r="H38" s="10" t="n">
        <v>31</v>
      </c>
      <c r="I38" s="10" t="n">
        <v>0</v>
      </c>
      <c r="J38" s="10" t="n">
        <v>0</v>
      </c>
      <c r="K38" s="10" t="n">
        <f aca="false">G38+H38</f>
        <v>99</v>
      </c>
      <c r="L38" s="11" t="n">
        <f aca="false">IF(K38&gt;0,G38/K38,"")</f>
        <v>0.686868686868687</v>
      </c>
      <c r="M38" s="9" t="str">
        <f aca="false">IF(K38=0,"",IF(L38&lt;0.2,"Très masculine (&lt;20 % F)",IF(L38&lt;0.4,"Plutôt masculine (20-40 %)",IF(L38&lt;0.6,"Mixte (40-60 %)","À dominante féminine (≥60 %)"))))</f>
        <v>À dominante féminine (≥60 %)</v>
      </c>
    </row>
    <row r="39" customFormat="false" ht="15" hidden="false" customHeight="false" outlineLevel="0" collapsed="false">
      <c r="A39" s="9" t="s">
        <v>545</v>
      </c>
      <c r="B39" s="9" t="s">
        <v>544</v>
      </c>
      <c r="C39" s="9" t="s">
        <v>138</v>
      </c>
      <c r="D39" s="9" t="s">
        <v>139</v>
      </c>
      <c r="E39" s="9" t="s">
        <v>140</v>
      </c>
      <c r="F39" s="9" t="s">
        <v>128</v>
      </c>
      <c r="G39" s="10" t="n">
        <v>20</v>
      </c>
      <c r="H39" s="10" t="n">
        <v>274</v>
      </c>
      <c r="I39" s="10" t="n">
        <v>30</v>
      </c>
      <c r="J39" s="10" t="n">
        <v>0</v>
      </c>
      <c r="K39" s="10" t="n">
        <f aca="false">G39+H39</f>
        <v>294</v>
      </c>
      <c r="L39" s="11" t="n">
        <f aca="false">IF(K39&gt;0,G39/K39,"")</f>
        <v>0.0680272108843538</v>
      </c>
      <c r="M39" s="9" t="str">
        <f aca="false">IF(K39=0,"",IF(L39&lt;0.2,"Très masculine (&lt;20 % F)",IF(L39&lt;0.4,"Plutôt masculine (20-40 %)",IF(L39&lt;0.6,"Mixte (40-60 %)","À dominante féminine (≥60 %)"))))</f>
        <v>Très masculine (&lt;20 % F)</v>
      </c>
    </row>
    <row r="40" customFormat="false" ht="15" hidden="false" customHeight="false" outlineLevel="0" collapsed="false">
      <c r="A40" s="9" t="s">
        <v>546</v>
      </c>
      <c r="B40" s="9" t="s">
        <v>544</v>
      </c>
      <c r="C40" s="9" t="s">
        <v>138</v>
      </c>
      <c r="D40" s="9" t="s">
        <v>139</v>
      </c>
      <c r="E40" s="9" t="s">
        <v>140</v>
      </c>
      <c r="F40" s="9" t="s">
        <v>128</v>
      </c>
      <c r="G40" s="10" t="n">
        <v>171</v>
      </c>
      <c r="H40" s="10" t="n">
        <v>15</v>
      </c>
      <c r="I40" s="10" t="n">
        <v>16</v>
      </c>
      <c r="J40" s="10" t="n">
        <v>5</v>
      </c>
      <c r="K40" s="10" t="n">
        <f aca="false">G40+H40</f>
        <v>186</v>
      </c>
      <c r="L40" s="11" t="n">
        <f aca="false">IF(K40&gt;0,G40/K40,"")</f>
        <v>0.919354838709677</v>
      </c>
      <c r="M40" s="9" t="str">
        <f aca="false">IF(K40=0,"",IF(L40&lt;0.2,"Très masculine (&lt;20 % F)",IF(L40&lt;0.4,"Plutôt masculine (20-40 %)",IF(L40&lt;0.6,"Mixte (40-60 %)","À dominante féminine (≥60 %)"))))</f>
        <v>À dominante féminine (≥60 %)</v>
      </c>
    </row>
    <row r="41" customFormat="false" ht="15" hidden="false" customHeight="false" outlineLevel="0" collapsed="false">
      <c r="A41" s="9" t="s">
        <v>547</v>
      </c>
      <c r="B41" s="9" t="s">
        <v>544</v>
      </c>
      <c r="C41" s="9" t="s">
        <v>138</v>
      </c>
      <c r="D41" s="9" t="s">
        <v>139</v>
      </c>
      <c r="E41" s="9" t="s">
        <v>140</v>
      </c>
      <c r="F41" s="9" t="s">
        <v>128</v>
      </c>
      <c r="G41" s="10" t="n">
        <v>150</v>
      </c>
      <c r="H41" s="10" t="n">
        <v>460</v>
      </c>
      <c r="I41" s="10" t="n">
        <v>31</v>
      </c>
      <c r="J41" s="10" t="n">
        <v>0</v>
      </c>
      <c r="K41" s="10" t="n">
        <f aca="false">G41+H41</f>
        <v>610</v>
      </c>
      <c r="L41" s="11" t="n">
        <f aca="false">IF(K41&gt;0,G41/K41,"")</f>
        <v>0.245901639344262</v>
      </c>
      <c r="M41" s="9" t="str">
        <f aca="false">IF(K41=0,"",IF(L41&lt;0.2,"Très masculine (&lt;20 % F)",IF(L41&lt;0.4,"Plutôt masculine (20-40 %)",IF(L41&lt;0.6,"Mixte (40-60 %)","À dominante féminine (≥60 %)"))))</f>
        <v>Plutôt masculine (20-40 %)</v>
      </c>
    </row>
    <row r="42" customFormat="false" ht="15" hidden="false" customHeight="false" outlineLevel="0" collapsed="false">
      <c r="A42" s="9" t="s">
        <v>548</v>
      </c>
      <c r="B42" s="9" t="s">
        <v>544</v>
      </c>
      <c r="C42" s="9" t="s">
        <v>138</v>
      </c>
      <c r="D42" s="9" t="s">
        <v>139</v>
      </c>
      <c r="E42" s="9" t="s">
        <v>140</v>
      </c>
      <c r="F42" s="9" t="s">
        <v>128</v>
      </c>
      <c r="G42" s="10" t="n">
        <v>28</v>
      </c>
      <c r="H42" s="10" t="n">
        <v>11</v>
      </c>
      <c r="I42" s="10" t="n">
        <v>5</v>
      </c>
      <c r="J42" s="10" t="n">
        <v>0</v>
      </c>
      <c r="K42" s="10" t="n">
        <f aca="false">G42+H42</f>
        <v>39</v>
      </c>
      <c r="L42" s="11" t="n">
        <f aca="false">IF(K42&gt;0,G42/K42,"")</f>
        <v>0.717948717948718</v>
      </c>
      <c r="M42" s="9" t="str">
        <f aca="false">IF(K42=0,"",IF(L42&lt;0.2,"Très masculine (&lt;20 % F)",IF(L42&lt;0.4,"Plutôt masculine (20-40 %)",IF(L42&lt;0.6,"Mixte (40-60 %)","À dominante féminine (≥60 %)"))))</f>
        <v>À dominante féminine (≥60 %)</v>
      </c>
    </row>
    <row r="43" customFormat="false" ht="15" hidden="false" customHeight="false" outlineLevel="0" collapsed="false">
      <c r="A43" s="9" t="s">
        <v>549</v>
      </c>
      <c r="B43" s="9" t="s">
        <v>544</v>
      </c>
      <c r="C43" s="9" t="s">
        <v>138</v>
      </c>
      <c r="D43" s="9" t="s">
        <v>139</v>
      </c>
      <c r="E43" s="9" t="s">
        <v>140</v>
      </c>
      <c r="F43" s="9" t="s">
        <v>128</v>
      </c>
      <c r="G43" s="10" t="n">
        <v>25</v>
      </c>
      <c r="H43" s="10" t="n">
        <v>26</v>
      </c>
      <c r="I43" s="10" t="n">
        <v>30</v>
      </c>
      <c r="J43" s="10" t="n">
        <v>0</v>
      </c>
      <c r="K43" s="10" t="n">
        <f aca="false">G43+H43</f>
        <v>51</v>
      </c>
      <c r="L43" s="11" t="n">
        <f aca="false">IF(K43&gt;0,G43/K43,"")</f>
        <v>0.490196078431373</v>
      </c>
      <c r="M43" s="9" t="str">
        <f aca="false">IF(K43=0,"",IF(L43&lt;0.2,"Très masculine (&lt;20 % F)",IF(L43&lt;0.4,"Plutôt masculine (20-40 %)",IF(L43&lt;0.6,"Mixte (40-60 %)","À dominante féminine (≥60 %)"))))</f>
        <v>Mixte (40-60 %)</v>
      </c>
    </row>
    <row r="44" customFormat="false" ht="15" hidden="false" customHeight="false" outlineLevel="0" collapsed="false">
      <c r="A44" s="9" t="s">
        <v>550</v>
      </c>
      <c r="B44" s="9" t="s">
        <v>551</v>
      </c>
      <c r="C44" s="9" t="s">
        <v>141</v>
      </c>
      <c r="D44" s="9" t="s">
        <v>142</v>
      </c>
      <c r="E44" s="9" t="s">
        <v>106</v>
      </c>
      <c r="F44" s="9" t="s">
        <v>102</v>
      </c>
      <c r="G44" s="10" t="n">
        <v>2</v>
      </c>
      <c r="H44" s="10" t="n">
        <v>45</v>
      </c>
      <c r="I44" s="10" t="n">
        <v>6</v>
      </c>
      <c r="J44" s="10" t="n">
        <v>0</v>
      </c>
      <c r="K44" s="10" t="n">
        <f aca="false">G44+H44</f>
        <v>47</v>
      </c>
      <c r="L44" s="11" t="n">
        <f aca="false">IF(K44&gt;0,G44/K44,"")</f>
        <v>0.0425531914893617</v>
      </c>
      <c r="M44" s="9" t="str">
        <f aca="false">IF(K44=0,"",IF(L44&lt;0.2,"Très masculine (&lt;20 % F)",IF(L44&lt;0.4,"Plutôt masculine (20-40 %)",IF(L44&lt;0.6,"Mixte (40-60 %)","À dominante féminine (≥60 %)"))))</f>
        <v>Très masculine (&lt;20 % F)</v>
      </c>
    </row>
    <row r="45" customFormat="false" ht="15" hidden="false" customHeight="false" outlineLevel="0" collapsed="false">
      <c r="A45" s="9" t="s">
        <v>552</v>
      </c>
      <c r="B45" s="9" t="s">
        <v>553</v>
      </c>
      <c r="C45" s="9" t="s">
        <v>144</v>
      </c>
      <c r="D45" s="9" t="s">
        <v>145</v>
      </c>
      <c r="E45" s="9" t="s">
        <v>146</v>
      </c>
      <c r="F45" s="9" t="s">
        <v>134</v>
      </c>
      <c r="G45" s="10" t="n">
        <v>64</v>
      </c>
      <c r="H45" s="10" t="n">
        <v>18</v>
      </c>
      <c r="I45" s="10" t="n">
        <v>3</v>
      </c>
      <c r="J45" s="10" t="n">
        <v>1</v>
      </c>
      <c r="K45" s="10" t="n">
        <f aca="false">G45+H45</f>
        <v>82</v>
      </c>
      <c r="L45" s="11" t="n">
        <f aca="false">IF(K45&gt;0,G45/K45,"")</f>
        <v>0.780487804878049</v>
      </c>
      <c r="M45" s="9" t="str">
        <f aca="false">IF(K45=0,"",IF(L45&lt;0.2,"Très masculine (&lt;20 % F)",IF(L45&lt;0.4,"Plutôt masculine (20-40 %)",IF(L45&lt;0.6,"Mixte (40-60 %)","À dominante féminine (≥60 %)"))))</f>
        <v>À dominante féminine (≥60 %)</v>
      </c>
    </row>
    <row r="46" customFormat="false" ht="15" hidden="false" customHeight="false" outlineLevel="0" collapsed="false">
      <c r="A46" s="9" t="s">
        <v>554</v>
      </c>
      <c r="B46" s="9" t="s">
        <v>553</v>
      </c>
      <c r="C46" s="9" t="s">
        <v>144</v>
      </c>
      <c r="D46" s="9" t="s">
        <v>145</v>
      </c>
      <c r="E46" s="9" t="s">
        <v>146</v>
      </c>
      <c r="F46" s="9" t="s">
        <v>134</v>
      </c>
      <c r="G46" s="10" t="n">
        <v>52</v>
      </c>
      <c r="H46" s="10" t="n">
        <v>112</v>
      </c>
      <c r="I46" s="10" t="n">
        <v>4</v>
      </c>
      <c r="J46" s="10" t="n">
        <v>0</v>
      </c>
      <c r="K46" s="10" t="n">
        <f aca="false">G46+H46</f>
        <v>164</v>
      </c>
      <c r="L46" s="11" t="n">
        <f aca="false">IF(K46&gt;0,G46/K46,"")</f>
        <v>0.317073170731707</v>
      </c>
      <c r="M46" s="9" t="str">
        <f aca="false">IF(K46=0,"",IF(L46&lt;0.2,"Très masculine (&lt;20 % F)",IF(L46&lt;0.4,"Plutôt masculine (20-40 %)",IF(L46&lt;0.6,"Mixte (40-60 %)","À dominante féminine (≥60 %)"))))</f>
        <v>Plutôt masculine (20-40 %)</v>
      </c>
    </row>
    <row r="47" customFormat="false" ht="15" hidden="false" customHeight="false" outlineLevel="0" collapsed="false">
      <c r="A47" s="9" t="s">
        <v>555</v>
      </c>
      <c r="B47" s="9" t="s">
        <v>553</v>
      </c>
      <c r="C47" s="9" t="s">
        <v>144</v>
      </c>
      <c r="D47" s="9" t="s">
        <v>145</v>
      </c>
      <c r="E47" s="9" t="s">
        <v>146</v>
      </c>
      <c r="F47" s="9" t="s">
        <v>134</v>
      </c>
      <c r="G47" s="10" t="n">
        <v>18</v>
      </c>
      <c r="H47" s="10" t="n">
        <v>52</v>
      </c>
      <c r="I47" s="10" t="n">
        <v>8</v>
      </c>
      <c r="J47" s="10" t="n">
        <v>0</v>
      </c>
      <c r="K47" s="10" t="n">
        <f aca="false">G47+H47</f>
        <v>70</v>
      </c>
      <c r="L47" s="11" t="n">
        <f aca="false">IF(K47&gt;0,G47/K47,"")</f>
        <v>0.257142857142857</v>
      </c>
      <c r="M47" s="9" t="str">
        <f aca="false">IF(K47=0,"",IF(L47&lt;0.2,"Très masculine (&lt;20 % F)",IF(L47&lt;0.4,"Plutôt masculine (20-40 %)",IF(L47&lt;0.6,"Mixte (40-60 %)","À dominante féminine (≥60 %)"))))</f>
        <v>Plutôt masculine (20-40 %)</v>
      </c>
    </row>
    <row r="48" customFormat="false" ht="15" hidden="false" customHeight="false" outlineLevel="0" collapsed="false">
      <c r="A48" s="9" t="s">
        <v>556</v>
      </c>
      <c r="B48" s="9" t="s">
        <v>557</v>
      </c>
      <c r="C48" s="9" t="s">
        <v>149</v>
      </c>
      <c r="D48" s="9" t="s">
        <v>150</v>
      </c>
      <c r="E48" s="9" t="s">
        <v>151</v>
      </c>
      <c r="F48" s="9" t="s">
        <v>152</v>
      </c>
      <c r="G48" s="10" t="n">
        <v>424</v>
      </c>
      <c r="H48" s="10" t="n">
        <v>59</v>
      </c>
      <c r="I48" s="10" t="n">
        <v>15</v>
      </c>
      <c r="J48" s="10" t="n">
        <v>12</v>
      </c>
      <c r="K48" s="10" t="n">
        <f aca="false">G48+H48</f>
        <v>483</v>
      </c>
      <c r="L48" s="11" t="n">
        <f aca="false">IF(K48&gt;0,G48/K48,"")</f>
        <v>0.877846790890269</v>
      </c>
      <c r="M48" s="9" t="str">
        <f aca="false">IF(K48=0,"",IF(L48&lt;0.2,"Très masculine (&lt;20 % F)",IF(L48&lt;0.4,"Plutôt masculine (20-40 %)",IF(L48&lt;0.6,"Mixte (40-60 %)","À dominante féminine (≥60 %)"))))</f>
        <v>À dominante féminine (≥60 %)</v>
      </c>
    </row>
    <row r="49" customFormat="false" ht="15" hidden="false" customHeight="false" outlineLevel="0" collapsed="false">
      <c r="A49" s="9" t="s">
        <v>558</v>
      </c>
      <c r="B49" s="9" t="s">
        <v>557</v>
      </c>
      <c r="C49" s="9" t="s">
        <v>149</v>
      </c>
      <c r="D49" s="9" t="s">
        <v>150</v>
      </c>
      <c r="E49" s="9" t="s">
        <v>151</v>
      </c>
      <c r="F49" s="9" t="s">
        <v>152</v>
      </c>
      <c r="G49" s="10" t="n">
        <v>308</v>
      </c>
      <c r="H49" s="10" t="n">
        <v>41</v>
      </c>
      <c r="I49" s="10" t="n">
        <v>10</v>
      </c>
      <c r="J49" s="10" t="n">
        <v>4</v>
      </c>
      <c r="K49" s="10" t="n">
        <f aca="false">G49+H49</f>
        <v>349</v>
      </c>
      <c r="L49" s="11" t="n">
        <f aca="false">IF(K49&gt;0,G49/K49,"")</f>
        <v>0.882521489971347</v>
      </c>
      <c r="M49" s="9" t="str">
        <f aca="false">IF(K49=0,"",IF(L49&lt;0.2,"Très masculine (&lt;20 % F)",IF(L49&lt;0.4,"Plutôt masculine (20-40 %)",IF(L49&lt;0.6,"Mixte (40-60 %)","À dominante féminine (≥60 %)"))))</f>
        <v>À dominante féminine (≥60 %)</v>
      </c>
    </row>
    <row r="50" customFormat="false" ht="15" hidden="false" customHeight="false" outlineLevel="0" collapsed="false">
      <c r="A50" s="9" t="s">
        <v>559</v>
      </c>
      <c r="B50" s="9" t="s">
        <v>557</v>
      </c>
      <c r="C50" s="9" t="s">
        <v>149</v>
      </c>
      <c r="D50" s="9" t="s">
        <v>150</v>
      </c>
      <c r="E50" s="9" t="s">
        <v>151</v>
      </c>
      <c r="F50" s="9" t="s">
        <v>152</v>
      </c>
      <c r="G50" s="10" t="n">
        <v>82</v>
      </c>
      <c r="H50" s="10" t="n">
        <v>177</v>
      </c>
      <c r="I50" s="10" t="n">
        <v>10</v>
      </c>
      <c r="J50" s="10" t="n">
        <v>3</v>
      </c>
      <c r="K50" s="10" t="n">
        <f aca="false">G50+H50</f>
        <v>259</v>
      </c>
      <c r="L50" s="11" t="n">
        <f aca="false">IF(K50&gt;0,G50/K50,"")</f>
        <v>0.316602316602317</v>
      </c>
      <c r="M50" s="9" t="str">
        <f aca="false">IF(K50=0,"",IF(L50&lt;0.2,"Très masculine (&lt;20 % F)",IF(L50&lt;0.4,"Plutôt masculine (20-40 %)",IF(L50&lt;0.6,"Mixte (40-60 %)","À dominante féminine (≥60 %)"))))</f>
        <v>Plutôt masculine (20-40 %)</v>
      </c>
    </row>
    <row r="51" customFormat="false" ht="15" hidden="false" customHeight="false" outlineLevel="0" collapsed="false">
      <c r="A51" s="9" t="s">
        <v>560</v>
      </c>
      <c r="B51" s="9" t="s">
        <v>557</v>
      </c>
      <c r="C51" s="9" t="s">
        <v>149</v>
      </c>
      <c r="D51" s="9" t="s">
        <v>150</v>
      </c>
      <c r="E51" s="9" t="s">
        <v>151</v>
      </c>
      <c r="F51" s="9" t="s">
        <v>152</v>
      </c>
      <c r="G51" s="10" t="n">
        <v>55</v>
      </c>
      <c r="H51" s="10" t="n">
        <v>72</v>
      </c>
      <c r="I51" s="10" t="n">
        <v>9</v>
      </c>
      <c r="J51" s="10" t="n">
        <v>3</v>
      </c>
      <c r="K51" s="10" t="n">
        <f aca="false">G51+H51</f>
        <v>127</v>
      </c>
      <c r="L51" s="11" t="n">
        <f aca="false">IF(K51&gt;0,G51/K51,"")</f>
        <v>0.433070866141732</v>
      </c>
      <c r="M51" s="9" t="str">
        <f aca="false">IF(K51=0,"",IF(L51&lt;0.2,"Très masculine (&lt;20 % F)",IF(L51&lt;0.4,"Plutôt masculine (20-40 %)",IF(L51&lt;0.6,"Mixte (40-60 %)","À dominante féminine (≥60 %)"))))</f>
        <v>Mixte (40-60 %)</v>
      </c>
    </row>
    <row r="52" customFormat="false" ht="15" hidden="false" customHeight="false" outlineLevel="0" collapsed="false">
      <c r="A52" s="9" t="s">
        <v>561</v>
      </c>
      <c r="B52" s="9" t="s">
        <v>557</v>
      </c>
      <c r="C52" s="9" t="s">
        <v>149</v>
      </c>
      <c r="D52" s="9" t="s">
        <v>150</v>
      </c>
      <c r="E52" s="9" t="s">
        <v>151</v>
      </c>
      <c r="F52" s="9" t="s">
        <v>152</v>
      </c>
      <c r="G52" s="10" t="n">
        <v>61</v>
      </c>
      <c r="H52" s="10" t="n">
        <v>2</v>
      </c>
      <c r="I52" s="10" t="n">
        <v>33</v>
      </c>
      <c r="J52" s="10" t="n">
        <v>11</v>
      </c>
      <c r="K52" s="10" t="n">
        <f aca="false">G52+H52</f>
        <v>63</v>
      </c>
      <c r="L52" s="11" t="n">
        <f aca="false">IF(K52&gt;0,G52/K52,"")</f>
        <v>0.968253968253968</v>
      </c>
      <c r="M52" s="9" t="str">
        <f aca="false">IF(K52=0,"",IF(L52&lt;0.2,"Très masculine (&lt;20 % F)",IF(L52&lt;0.4,"Plutôt masculine (20-40 %)",IF(L52&lt;0.6,"Mixte (40-60 %)","À dominante féminine (≥60 %)"))))</f>
        <v>À dominante féminine (≥60 %)</v>
      </c>
    </row>
    <row r="53" customFormat="false" ht="15" hidden="false" customHeight="false" outlineLevel="0" collapsed="false">
      <c r="A53" s="9" t="s">
        <v>562</v>
      </c>
      <c r="B53" s="9" t="s">
        <v>557</v>
      </c>
      <c r="C53" s="9" t="s">
        <v>149</v>
      </c>
      <c r="D53" s="9" t="s">
        <v>150</v>
      </c>
      <c r="E53" s="9" t="s">
        <v>151</v>
      </c>
      <c r="F53" s="9" t="s">
        <v>152</v>
      </c>
      <c r="G53" s="10" t="n">
        <v>73</v>
      </c>
      <c r="H53" s="10" t="n">
        <v>91</v>
      </c>
      <c r="I53" s="10" t="n">
        <v>17</v>
      </c>
      <c r="J53" s="10" t="n">
        <v>2</v>
      </c>
      <c r="K53" s="10" t="n">
        <f aca="false">G53+H53</f>
        <v>164</v>
      </c>
      <c r="L53" s="11" t="n">
        <f aca="false">IF(K53&gt;0,G53/K53,"")</f>
        <v>0.445121951219512</v>
      </c>
      <c r="M53" s="9" t="str">
        <f aca="false">IF(K53=0,"",IF(L53&lt;0.2,"Très masculine (&lt;20 % F)",IF(L53&lt;0.4,"Plutôt masculine (20-40 %)",IF(L53&lt;0.6,"Mixte (40-60 %)","À dominante féminine (≥60 %)"))))</f>
        <v>Mixte (40-60 %)</v>
      </c>
    </row>
    <row r="54" customFormat="false" ht="15" hidden="false" customHeight="false" outlineLevel="0" collapsed="false">
      <c r="A54" s="9" t="s">
        <v>563</v>
      </c>
      <c r="B54" s="9" t="s">
        <v>557</v>
      </c>
      <c r="C54" s="9" t="s">
        <v>149</v>
      </c>
      <c r="D54" s="9" t="s">
        <v>150</v>
      </c>
      <c r="E54" s="9" t="s">
        <v>151</v>
      </c>
      <c r="F54" s="9" t="s">
        <v>152</v>
      </c>
      <c r="G54" s="10" t="n">
        <v>50</v>
      </c>
      <c r="H54" s="10" t="n">
        <v>78</v>
      </c>
      <c r="I54" s="10" t="n">
        <v>15</v>
      </c>
      <c r="J54" s="10" t="n">
        <v>1</v>
      </c>
      <c r="K54" s="10" t="n">
        <f aca="false">G54+H54</f>
        <v>128</v>
      </c>
      <c r="L54" s="11" t="n">
        <f aca="false">IF(K54&gt;0,G54/K54,"")</f>
        <v>0.390625</v>
      </c>
      <c r="M54" s="9" t="str">
        <f aca="false">IF(K54=0,"",IF(L54&lt;0.2,"Très masculine (&lt;20 % F)",IF(L54&lt;0.4,"Plutôt masculine (20-40 %)",IF(L54&lt;0.6,"Mixte (40-60 %)","À dominante féminine (≥60 %)"))))</f>
        <v>Plutôt masculine (20-40 %)</v>
      </c>
    </row>
    <row r="55" customFormat="false" ht="15" hidden="false" customHeight="false" outlineLevel="0" collapsed="false">
      <c r="A55" s="9" t="s">
        <v>564</v>
      </c>
      <c r="B55" s="9" t="s">
        <v>557</v>
      </c>
      <c r="C55" s="9" t="s">
        <v>149</v>
      </c>
      <c r="D55" s="9" t="s">
        <v>150</v>
      </c>
      <c r="E55" s="9" t="s">
        <v>151</v>
      </c>
      <c r="F55" s="9" t="s">
        <v>152</v>
      </c>
      <c r="G55" s="10" t="n">
        <v>33</v>
      </c>
      <c r="H55" s="10" t="n">
        <v>70</v>
      </c>
      <c r="I55" s="10" t="n">
        <v>16</v>
      </c>
      <c r="J55" s="10" t="n">
        <v>0</v>
      </c>
      <c r="K55" s="10" t="n">
        <f aca="false">G55+H55</f>
        <v>103</v>
      </c>
      <c r="L55" s="11" t="n">
        <f aca="false">IF(K55&gt;0,G55/K55,"")</f>
        <v>0.320388349514563</v>
      </c>
      <c r="M55" s="9" t="str">
        <f aca="false">IF(K55=0,"",IF(L55&lt;0.2,"Très masculine (&lt;20 % F)",IF(L55&lt;0.4,"Plutôt masculine (20-40 %)",IF(L55&lt;0.6,"Mixte (40-60 %)","À dominante féminine (≥60 %)"))))</f>
        <v>Plutôt masculine (20-40 %)</v>
      </c>
    </row>
    <row r="56" customFormat="false" ht="15" hidden="false" customHeight="false" outlineLevel="0" collapsed="false">
      <c r="A56" s="9" t="s">
        <v>565</v>
      </c>
      <c r="B56" s="9" t="s">
        <v>566</v>
      </c>
      <c r="C56" s="9" t="s">
        <v>153</v>
      </c>
      <c r="D56" s="9" t="s">
        <v>154</v>
      </c>
      <c r="E56" s="9" t="s">
        <v>155</v>
      </c>
      <c r="F56" s="9" t="s">
        <v>156</v>
      </c>
      <c r="G56" s="10" t="n">
        <v>13</v>
      </c>
      <c r="H56" s="10" t="n">
        <v>56</v>
      </c>
      <c r="I56" s="10" t="n">
        <v>9</v>
      </c>
      <c r="J56" s="10" t="n">
        <v>0</v>
      </c>
      <c r="K56" s="10" t="n">
        <f aca="false">G56+H56</f>
        <v>69</v>
      </c>
      <c r="L56" s="11" t="n">
        <f aca="false">IF(K56&gt;0,G56/K56,"")</f>
        <v>0.188405797101449</v>
      </c>
      <c r="M56" s="9" t="str">
        <f aca="false">IF(K56=0,"",IF(L56&lt;0.2,"Très masculine (&lt;20 % F)",IF(L56&lt;0.4,"Plutôt masculine (20-40 %)",IF(L56&lt;0.6,"Mixte (40-60 %)","À dominante féminine (≥60 %)"))))</f>
        <v>Très masculine (&lt;20 % F)</v>
      </c>
    </row>
    <row r="57" customFormat="false" ht="15" hidden="false" customHeight="false" outlineLevel="0" collapsed="false">
      <c r="A57" s="9" t="s">
        <v>567</v>
      </c>
      <c r="B57" s="9" t="s">
        <v>566</v>
      </c>
      <c r="C57" s="9" t="s">
        <v>153</v>
      </c>
      <c r="D57" s="9" t="s">
        <v>154</v>
      </c>
      <c r="E57" s="9" t="s">
        <v>155</v>
      </c>
      <c r="F57" s="9" t="s">
        <v>156</v>
      </c>
      <c r="G57" s="10" t="n">
        <v>82</v>
      </c>
      <c r="H57" s="10" t="n">
        <v>77</v>
      </c>
      <c r="I57" s="10" t="n">
        <v>20</v>
      </c>
      <c r="J57" s="10" t="n">
        <v>0</v>
      </c>
      <c r="K57" s="10" t="n">
        <f aca="false">G57+H57</f>
        <v>159</v>
      </c>
      <c r="L57" s="11" t="n">
        <f aca="false">IF(K57&gt;0,G57/K57,"")</f>
        <v>0.515723270440252</v>
      </c>
      <c r="M57" s="9" t="str">
        <f aca="false">IF(K57=0,"",IF(L57&lt;0.2,"Très masculine (&lt;20 % F)",IF(L57&lt;0.4,"Plutôt masculine (20-40 %)",IF(L57&lt;0.6,"Mixte (40-60 %)","À dominante féminine (≥60 %)"))))</f>
        <v>Mixte (40-60 %)</v>
      </c>
    </row>
    <row r="58" customFormat="false" ht="15" hidden="false" customHeight="false" outlineLevel="0" collapsed="false">
      <c r="A58" s="9" t="s">
        <v>568</v>
      </c>
      <c r="B58" s="9" t="s">
        <v>566</v>
      </c>
      <c r="C58" s="9" t="s">
        <v>153</v>
      </c>
      <c r="D58" s="9" t="s">
        <v>154</v>
      </c>
      <c r="E58" s="9" t="s">
        <v>155</v>
      </c>
      <c r="F58" s="9" t="s">
        <v>156</v>
      </c>
      <c r="G58" s="10" t="n">
        <v>30</v>
      </c>
      <c r="H58" s="10" t="n">
        <v>36</v>
      </c>
      <c r="I58" s="10" t="n">
        <v>25</v>
      </c>
      <c r="J58" s="10" t="n">
        <v>0</v>
      </c>
      <c r="K58" s="10" t="n">
        <f aca="false">G58+H58</f>
        <v>66</v>
      </c>
      <c r="L58" s="11" t="n">
        <f aca="false">IF(K58&gt;0,G58/K58,"")</f>
        <v>0.454545454545455</v>
      </c>
      <c r="M58" s="9" t="str">
        <f aca="false">IF(K58=0,"",IF(L58&lt;0.2,"Très masculine (&lt;20 % F)",IF(L58&lt;0.4,"Plutôt masculine (20-40 %)",IF(L58&lt;0.6,"Mixte (40-60 %)","À dominante féminine (≥60 %)"))))</f>
        <v>Mixte (40-60 %)</v>
      </c>
    </row>
    <row r="59" customFormat="false" ht="15" hidden="false" customHeight="false" outlineLevel="0" collapsed="false">
      <c r="A59" s="9" t="s">
        <v>569</v>
      </c>
      <c r="B59" s="9" t="s">
        <v>566</v>
      </c>
      <c r="C59" s="9" t="s">
        <v>153</v>
      </c>
      <c r="D59" s="9" t="s">
        <v>154</v>
      </c>
      <c r="E59" s="9" t="s">
        <v>155</v>
      </c>
      <c r="F59" s="9" t="s">
        <v>156</v>
      </c>
      <c r="G59" s="10" t="n">
        <v>80</v>
      </c>
      <c r="H59" s="10" t="n">
        <v>128</v>
      </c>
      <c r="I59" s="10" t="n">
        <v>9</v>
      </c>
      <c r="J59" s="10" t="n">
        <v>1</v>
      </c>
      <c r="K59" s="10" t="n">
        <f aca="false">G59+H59</f>
        <v>208</v>
      </c>
      <c r="L59" s="11" t="n">
        <f aca="false">IF(K59&gt;0,G59/K59,"")</f>
        <v>0.384615384615385</v>
      </c>
      <c r="M59" s="9" t="str">
        <f aca="false">IF(K59=0,"",IF(L59&lt;0.2,"Très masculine (&lt;20 % F)",IF(L59&lt;0.4,"Plutôt masculine (20-40 %)",IF(L59&lt;0.6,"Mixte (40-60 %)","À dominante féminine (≥60 %)"))))</f>
        <v>Plutôt masculine (20-40 %)</v>
      </c>
    </row>
    <row r="60" customFormat="false" ht="15" hidden="false" customHeight="false" outlineLevel="0" collapsed="false">
      <c r="A60" s="9" t="s">
        <v>570</v>
      </c>
      <c r="B60" s="9" t="s">
        <v>566</v>
      </c>
      <c r="C60" s="9" t="s">
        <v>153</v>
      </c>
      <c r="D60" s="9" t="s">
        <v>154</v>
      </c>
      <c r="E60" s="9" t="s">
        <v>155</v>
      </c>
      <c r="F60" s="9" t="s">
        <v>156</v>
      </c>
      <c r="G60" s="10" t="n">
        <v>476</v>
      </c>
      <c r="H60" s="10" t="n">
        <v>453</v>
      </c>
      <c r="I60" s="10" t="n">
        <v>35</v>
      </c>
      <c r="J60" s="10" t="n">
        <v>7</v>
      </c>
      <c r="K60" s="10" t="n">
        <f aca="false">G60+H60</f>
        <v>929</v>
      </c>
      <c r="L60" s="11" t="n">
        <f aca="false">IF(K60&gt;0,G60/K60,"")</f>
        <v>0.51237890204521</v>
      </c>
      <c r="M60" s="9" t="str">
        <f aca="false">IF(K60=0,"",IF(L60&lt;0.2,"Très masculine (&lt;20 % F)",IF(L60&lt;0.4,"Plutôt masculine (20-40 %)",IF(L60&lt;0.6,"Mixte (40-60 %)","À dominante féminine (≥60 %)"))))</f>
        <v>Mixte (40-60 %)</v>
      </c>
    </row>
    <row r="61" customFormat="false" ht="15" hidden="false" customHeight="false" outlineLevel="0" collapsed="false">
      <c r="A61" s="9" t="s">
        <v>571</v>
      </c>
      <c r="B61" s="9" t="s">
        <v>566</v>
      </c>
      <c r="C61" s="9" t="s">
        <v>153</v>
      </c>
      <c r="D61" s="9" t="s">
        <v>154</v>
      </c>
      <c r="E61" s="9" t="s">
        <v>155</v>
      </c>
      <c r="F61" s="9" t="s">
        <v>156</v>
      </c>
      <c r="G61" s="10" t="n">
        <v>32</v>
      </c>
      <c r="H61" s="10" t="n">
        <v>87</v>
      </c>
      <c r="I61" s="10" t="n">
        <v>13</v>
      </c>
      <c r="J61" s="10" t="n">
        <v>2</v>
      </c>
      <c r="K61" s="10" t="n">
        <f aca="false">G61+H61</f>
        <v>119</v>
      </c>
      <c r="L61" s="11" t="n">
        <f aca="false">IF(K61&gt;0,G61/K61,"")</f>
        <v>0.26890756302521</v>
      </c>
      <c r="M61" s="9" t="str">
        <f aca="false">IF(K61=0,"",IF(L61&lt;0.2,"Très masculine (&lt;20 % F)",IF(L61&lt;0.4,"Plutôt masculine (20-40 %)",IF(L61&lt;0.6,"Mixte (40-60 %)","À dominante féminine (≥60 %)"))))</f>
        <v>Plutôt masculine (20-40 %)</v>
      </c>
    </row>
    <row r="62" customFormat="false" ht="15" hidden="false" customHeight="false" outlineLevel="0" collapsed="false">
      <c r="A62" s="9" t="s">
        <v>572</v>
      </c>
      <c r="B62" s="9" t="s">
        <v>566</v>
      </c>
      <c r="C62" s="9" t="s">
        <v>153</v>
      </c>
      <c r="D62" s="9" t="s">
        <v>154</v>
      </c>
      <c r="E62" s="9" t="s">
        <v>155</v>
      </c>
      <c r="F62" s="9" t="s">
        <v>156</v>
      </c>
      <c r="G62" s="10" t="n">
        <v>134</v>
      </c>
      <c r="H62" s="10" t="n">
        <v>184</v>
      </c>
      <c r="I62" s="10" t="n">
        <v>31</v>
      </c>
      <c r="J62" s="10" t="n">
        <v>3</v>
      </c>
      <c r="K62" s="10" t="n">
        <f aca="false">G62+H62</f>
        <v>318</v>
      </c>
      <c r="L62" s="11" t="n">
        <f aca="false">IF(K62&gt;0,G62/K62,"")</f>
        <v>0.421383647798742</v>
      </c>
      <c r="M62" s="9" t="str">
        <f aca="false">IF(K62=0,"",IF(L62&lt;0.2,"Très masculine (&lt;20 % F)",IF(L62&lt;0.4,"Plutôt masculine (20-40 %)",IF(L62&lt;0.6,"Mixte (40-60 %)","À dominante féminine (≥60 %)"))))</f>
        <v>Mixte (40-60 %)</v>
      </c>
    </row>
    <row r="63" customFormat="false" ht="15" hidden="false" customHeight="false" outlineLevel="0" collapsed="false">
      <c r="A63" s="9" t="s">
        <v>573</v>
      </c>
      <c r="B63" s="9" t="s">
        <v>566</v>
      </c>
      <c r="C63" s="9" t="s">
        <v>153</v>
      </c>
      <c r="D63" s="9" t="s">
        <v>154</v>
      </c>
      <c r="E63" s="9" t="s">
        <v>155</v>
      </c>
      <c r="F63" s="9" t="s">
        <v>156</v>
      </c>
      <c r="G63" s="10" t="n">
        <v>3</v>
      </c>
      <c r="H63" s="10" t="n">
        <v>83</v>
      </c>
      <c r="I63" s="10" t="n">
        <v>15</v>
      </c>
      <c r="J63" s="10" t="n">
        <v>0</v>
      </c>
      <c r="K63" s="10" t="n">
        <f aca="false">G63+H63</f>
        <v>86</v>
      </c>
      <c r="L63" s="11" t="n">
        <f aca="false">IF(K63&gt;0,G63/K63,"")</f>
        <v>0.0348837209302326</v>
      </c>
      <c r="M63" s="9" t="str">
        <f aca="false">IF(K63=0,"",IF(L63&lt;0.2,"Très masculine (&lt;20 % F)",IF(L63&lt;0.4,"Plutôt masculine (20-40 %)",IF(L63&lt;0.6,"Mixte (40-60 %)","À dominante féminine (≥60 %)"))))</f>
        <v>Très masculine (&lt;20 % F)</v>
      </c>
    </row>
    <row r="64" customFormat="false" ht="15" hidden="false" customHeight="false" outlineLevel="0" collapsed="false">
      <c r="A64" s="9" t="s">
        <v>574</v>
      </c>
      <c r="B64" s="9" t="s">
        <v>566</v>
      </c>
      <c r="C64" s="9" t="s">
        <v>153</v>
      </c>
      <c r="D64" s="9" t="s">
        <v>154</v>
      </c>
      <c r="E64" s="9" t="s">
        <v>155</v>
      </c>
      <c r="F64" s="9" t="s">
        <v>156</v>
      </c>
      <c r="G64" s="10" t="n">
        <v>113</v>
      </c>
      <c r="H64" s="10" t="n">
        <v>460</v>
      </c>
      <c r="I64" s="10" t="n">
        <v>30</v>
      </c>
      <c r="J64" s="10" t="n">
        <v>0</v>
      </c>
      <c r="K64" s="10" t="n">
        <f aca="false">G64+H64</f>
        <v>573</v>
      </c>
      <c r="L64" s="11" t="n">
        <f aca="false">IF(K64&gt;0,G64/K64,"")</f>
        <v>0.197207678883072</v>
      </c>
      <c r="M64" s="9" t="str">
        <f aca="false">IF(K64=0,"",IF(L64&lt;0.2,"Très masculine (&lt;20 % F)",IF(L64&lt;0.4,"Plutôt masculine (20-40 %)",IF(L64&lt;0.6,"Mixte (40-60 %)","À dominante féminine (≥60 %)"))))</f>
        <v>Très masculine (&lt;20 % F)</v>
      </c>
    </row>
    <row r="65" customFormat="false" ht="15" hidden="false" customHeight="false" outlineLevel="0" collapsed="false">
      <c r="A65" s="9" t="s">
        <v>575</v>
      </c>
      <c r="B65" s="9" t="s">
        <v>566</v>
      </c>
      <c r="C65" s="9" t="s">
        <v>153</v>
      </c>
      <c r="D65" s="9" t="s">
        <v>154</v>
      </c>
      <c r="E65" s="9" t="s">
        <v>155</v>
      </c>
      <c r="F65" s="9" t="s">
        <v>156</v>
      </c>
      <c r="G65" s="10" t="n">
        <v>35</v>
      </c>
      <c r="H65" s="10" t="n">
        <v>80</v>
      </c>
      <c r="I65" s="10" t="n">
        <v>25</v>
      </c>
      <c r="J65" s="10" t="n">
        <v>0</v>
      </c>
      <c r="K65" s="10" t="n">
        <f aca="false">G65+H65</f>
        <v>115</v>
      </c>
      <c r="L65" s="11" t="n">
        <f aca="false">IF(K65&gt;0,G65/K65,"")</f>
        <v>0.304347826086957</v>
      </c>
      <c r="M65" s="9" t="str">
        <f aca="false">IF(K65=0,"",IF(L65&lt;0.2,"Très masculine (&lt;20 % F)",IF(L65&lt;0.4,"Plutôt masculine (20-40 %)",IF(L65&lt;0.6,"Mixte (40-60 %)","À dominante féminine (≥60 %)"))))</f>
        <v>Plutôt masculine (20-40 %)</v>
      </c>
    </row>
    <row r="66" customFormat="false" ht="15" hidden="false" customHeight="false" outlineLevel="0" collapsed="false">
      <c r="A66" s="9" t="s">
        <v>576</v>
      </c>
      <c r="B66" s="9" t="s">
        <v>566</v>
      </c>
      <c r="C66" s="9" t="s">
        <v>153</v>
      </c>
      <c r="D66" s="9" t="s">
        <v>154</v>
      </c>
      <c r="E66" s="9" t="s">
        <v>155</v>
      </c>
      <c r="F66" s="9" t="s">
        <v>156</v>
      </c>
      <c r="G66" s="10" t="n">
        <v>33</v>
      </c>
      <c r="H66" s="10" t="n">
        <v>58</v>
      </c>
      <c r="I66" s="10" t="n">
        <v>6</v>
      </c>
      <c r="J66" s="10" t="n">
        <v>2</v>
      </c>
      <c r="K66" s="10" t="n">
        <f aca="false">G66+H66</f>
        <v>91</v>
      </c>
      <c r="L66" s="11" t="n">
        <f aca="false">IF(K66&gt;0,G66/K66,"")</f>
        <v>0.362637362637363</v>
      </c>
      <c r="M66" s="9" t="str">
        <f aca="false">IF(K66=0,"",IF(L66&lt;0.2,"Très masculine (&lt;20 % F)",IF(L66&lt;0.4,"Plutôt masculine (20-40 %)",IF(L66&lt;0.6,"Mixte (40-60 %)","À dominante féminine (≥60 %)"))))</f>
        <v>Plutôt masculine (20-40 %)</v>
      </c>
    </row>
    <row r="67" customFormat="false" ht="15" hidden="false" customHeight="false" outlineLevel="0" collapsed="false">
      <c r="A67" s="9" t="s">
        <v>577</v>
      </c>
      <c r="B67" s="9" t="s">
        <v>578</v>
      </c>
      <c r="C67" s="9" t="s">
        <v>158</v>
      </c>
      <c r="D67" s="9" t="s">
        <v>159</v>
      </c>
      <c r="E67" s="9" t="s">
        <v>133</v>
      </c>
      <c r="F67" s="9" t="s">
        <v>134</v>
      </c>
      <c r="G67" s="10" t="n">
        <v>3</v>
      </c>
      <c r="H67" s="10" t="n">
        <v>55</v>
      </c>
      <c r="I67" s="10" t="n">
        <v>62</v>
      </c>
      <c r="J67" s="10" t="n">
        <v>0</v>
      </c>
      <c r="K67" s="10" t="n">
        <f aca="false">G67+H67</f>
        <v>58</v>
      </c>
      <c r="L67" s="11" t="n">
        <f aca="false">IF(K67&gt;0,G67/K67,"")</f>
        <v>0.0517241379310345</v>
      </c>
      <c r="M67" s="9" t="str">
        <f aca="false">IF(K67=0,"",IF(L67&lt;0.2,"Très masculine (&lt;20 % F)",IF(L67&lt;0.4,"Plutôt masculine (20-40 %)",IF(L67&lt;0.6,"Mixte (40-60 %)","À dominante féminine (≥60 %)"))))</f>
        <v>Très masculine (&lt;20 % F)</v>
      </c>
    </row>
    <row r="68" customFormat="false" ht="15" hidden="false" customHeight="false" outlineLevel="0" collapsed="false">
      <c r="A68" s="9" t="s">
        <v>579</v>
      </c>
      <c r="B68" s="9" t="s">
        <v>580</v>
      </c>
      <c r="C68" s="9" t="s">
        <v>160</v>
      </c>
      <c r="D68" s="9" t="s">
        <v>161</v>
      </c>
      <c r="E68" s="9" t="s">
        <v>133</v>
      </c>
      <c r="F68" s="9" t="s">
        <v>134</v>
      </c>
      <c r="G68" s="10" t="n">
        <v>97</v>
      </c>
      <c r="H68" s="10" t="n">
        <v>442</v>
      </c>
      <c r="I68" s="10" t="n">
        <v>55</v>
      </c>
      <c r="J68" s="10" t="n">
        <v>0</v>
      </c>
      <c r="K68" s="10" t="n">
        <f aca="false">G68+H68</f>
        <v>539</v>
      </c>
      <c r="L68" s="11" t="n">
        <f aca="false">IF(K68&gt;0,G68/K68,"")</f>
        <v>0.179962894248609</v>
      </c>
      <c r="M68" s="9" t="str">
        <f aca="false">IF(K68=0,"",IF(L68&lt;0.2,"Très masculine (&lt;20 % F)",IF(L68&lt;0.4,"Plutôt masculine (20-40 %)",IF(L68&lt;0.6,"Mixte (40-60 %)","À dominante féminine (≥60 %)"))))</f>
        <v>Très masculine (&lt;20 % F)</v>
      </c>
    </row>
    <row r="69" customFormat="false" ht="15" hidden="false" customHeight="false" outlineLevel="0" collapsed="false">
      <c r="A69" s="9" t="s">
        <v>581</v>
      </c>
      <c r="B69" s="9" t="s">
        <v>580</v>
      </c>
      <c r="C69" s="9" t="s">
        <v>160</v>
      </c>
      <c r="D69" s="9" t="s">
        <v>161</v>
      </c>
      <c r="E69" s="9" t="s">
        <v>133</v>
      </c>
      <c r="F69" s="9" t="s">
        <v>134</v>
      </c>
      <c r="G69" s="10" t="n">
        <v>3</v>
      </c>
      <c r="H69" s="10" t="n">
        <v>33</v>
      </c>
      <c r="I69" s="10" t="n">
        <v>7</v>
      </c>
      <c r="J69" s="10" t="n">
        <v>0</v>
      </c>
      <c r="K69" s="10" t="n">
        <f aca="false">G69+H69</f>
        <v>36</v>
      </c>
      <c r="L69" s="11" t="n">
        <f aca="false">IF(K69&gt;0,G69/K69,"")</f>
        <v>0.0833333333333333</v>
      </c>
      <c r="M69" s="9" t="str">
        <f aca="false">IF(K69=0,"",IF(L69&lt;0.2,"Très masculine (&lt;20 % F)",IF(L69&lt;0.4,"Plutôt masculine (20-40 %)",IF(L69&lt;0.6,"Mixte (40-60 %)","À dominante féminine (≥60 %)"))))</f>
        <v>Très masculine (&lt;20 % F)</v>
      </c>
    </row>
    <row r="70" customFormat="false" ht="15" hidden="false" customHeight="false" outlineLevel="0" collapsed="false">
      <c r="A70" s="9" t="s">
        <v>582</v>
      </c>
      <c r="B70" s="9" t="s">
        <v>580</v>
      </c>
      <c r="C70" s="9" t="s">
        <v>160</v>
      </c>
      <c r="D70" s="9" t="s">
        <v>161</v>
      </c>
      <c r="E70" s="9" t="s">
        <v>133</v>
      </c>
      <c r="F70" s="9" t="s">
        <v>134</v>
      </c>
      <c r="G70" s="10" t="n">
        <v>0</v>
      </c>
      <c r="H70" s="10" t="n">
        <v>20</v>
      </c>
      <c r="I70" s="10" t="n">
        <v>20</v>
      </c>
      <c r="J70" s="10" t="n">
        <v>0</v>
      </c>
      <c r="K70" s="10" t="n">
        <f aca="false">G70+H70</f>
        <v>20</v>
      </c>
      <c r="L70" s="11" t="n">
        <f aca="false">IF(K70&gt;0,G70/K70,"")</f>
        <v>0</v>
      </c>
      <c r="M70" s="9" t="str">
        <f aca="false">IF(K70=0,"",IF(L70&lt;0.2,"Très masculine (&lt;20 % F)",IF(L70&lt;0.4,"Plutôt masculine (20-40 %)",IF(L70&lt;0.6,"Mixte (40-60 %)","À dominante féminine (≥60 %)"))))</f>
        <v>Très masculine (&lt;20 % F)</v>
      </c>
    </row>
    <row r="71" customFormat="false" ht="15" hidden="false" customHeight="false" outlineLevel="0" collapsed="false">
      <c r="A71" s="9" t="s">
        <v>583</v>
      </c>
      <c r="B71" s="9" t="s">
        <v>584</v>
      </c>
      <c r="C71" s="9" t="s">
        <v>162</v>
      </c>
      <c r="D71" s="9" t="s">
        <v>163</v>
      </c>
      <c r="E71" s="9" t="s">
        <v>155</v>
      </c>
      <c r="F71" s="9" t="s">
        <v>156</v>
      </c>
      <c r="G71" s="10" t="n">
        <v>14</v>
      </c>
      <c r="H71" s="10" t="n">
        <v>135</v>
      </c>
      <c r="I71" s="10" t="n">
        <v>149</v>
      </c>
      <c r="J71" s="10" t="n">
        <v>2</v>
      </c>
      <c r="K71" s="10" t="n">
        <f aca="false">G71+H71</f>
        <v>149</v>
      </c>
      <c r="L71" s="11" t="n">
        <f aca="false">IF(K71&gt;0,G71/K71,"")</f>
        <v>0.0939597315436242</v>
      </c>
      <c r="M71" s="9" t="str">
        <f aca="false">IF(K71=0,"",IF(L71&lt;0.2,"Très masculine (&lt;20 % F)",IF(L71&lt;0.4,"Plutôt masculine (20-40 %)",IF(L71&lt;0.6,"Mixte (40-60 %)","À dominante féminine (≥60 %)"))))</f>
        <v>Très masculine (&lt;20 % F)</v>
      </c>
    </row>
    <row r="72" customFormat="false" ht="15" hidden="false" customHeight="false" outlineLevel="0" collapsed="false">
      <c r="A72" s="9" t="s">
        <v>585</v>
      </c>
      <c r="B72" s="9" t="s">
        <v>584</v>
      </c>
      <c r="C72" s="9" t="s">
        <v>162</v>
      </c>
      <c r="D72" s="9" t="s">
        <v>163</v>
      </c>
      <c r="E72" s="9" t="s">
        <v>155</v>
      </c>
      <c r="F72" s="9" t="s">
        <v>156</v>
      </c>
      <c r="G72" s="10" t="n">
        <v>6</v>
      </c>
      <c r="H72" s="10" t="n">
        <v>0</v>
      </c>
      <c r="I72" s="10" t="n">
        <v>40</v>
      </c>
      <c r="J72" s="10" t="n">
        <v>1</v>
      </c>
      <c r="K72" s="10" t="n">
        <f aca="false">G72+H72</f>
        <v>6</v>
      </c>
      <c r="L72" s="11" t="n">
        <f aca="false">IF(K72&gt;0,G72/K72,"")</f>
        <v>1</v>
      </c>
      <c r="M72" s="9" t="str">
        <f aca="false">IF(K72=0,"",IF(L72&lt;0.2,"Très masculine (&lt;20 % F)",IF(L72&lt;0.4,"Plutôt masculine (20-40 %)",IF(L72&lt;0.6,"Mixte (40-60 %)","À dominante féminine (≥60 %)"))))</f>
        <v>À dominante féminine (≥60 %)</v>
      </c>
    </row>
    <row r="73" customFormat="false" ht="15" hidden="false" customHeight="false" outlineLevel="0" collapsed="false">
      <c r="A73" s="9" t="s">
        <v>586</v>
      </c>
      <c r="B73" s="9" t="s">
        <v>584</v>
      </c>
      <c r="C73" s="9" t="s">
        <v>162</v>
      </c>
      <c r="D73" s="9" t="s">
        <v>163</v>
      </c>
      <c r="E73" s="9" t="s">
        <v>155</v>
      </c>
      <c r="F73" s="9" t="s">
        <v>156</v>
      </c>
      <c r="G73" s="10" t="n">
        <v>34</v>
      </c>
      <c r="H73" s="10" t="n">
        <v>61</v>
      </c>
      <c r="I73" s="10" t="n">
        <v>15</v>
      </c>
      <c r="J73" s="10" t="n">
        <v>0</v>
      </c>
      <c r="K73" s="10" t="n">
        <f aca="false">G73+H73</f>
        <v>95</v>
      </c>
      <c r="L73" s="11" t="n">
        <f aca="false">IF(K73&gt;0,G73/K73,"")</f>
        <v>0.357894736842105</v>
      </c>
      <c r="M73" s="9" t="str">
        <f aca="false">IF(K73=0,"",IF(L73&lt;0.2,"Très masculine (&lt;20 % F)",IF(L73&lt;0.4,"Plutôt masculine (20-40 %)",IF(L73&lt;0.6,"Mixte (40-60 %)","À dominante féminine (≥60 %)"))))</f>
        <v>Plutôt masculine (20-40 %)</v>
      </c>
    </row>
    <row r="74" customFormat="false" ht="15" hidden="false" customHeight="false" outlineLevel="0" collapsed="false">
      <c r="A74" s="9" t="s">
        <v>587</v>
      </c>
      <c r="B74" s="9" t="s">
        <v>588</v>
      </c>
      <c r="C74" s="9" t="s">
        <v>166</v>
      </c>
      <c r="D74" s="9" t="s">
        <v>167</v>
      </c>
      <c r="E74" s="9" t="s">
        <v>151</v>
      </c>
      <c r="F74" s="9" t="s">
        <v>152</v>
      </c>
      <c r="G74" s="10" t="n">
        <v>25</v>
      </c>
      <c r="H74" s="10" t="n">
        <v>55</v>
      </c>
      <c r="I74" s="10" t="n">
        <v>1</v>
      </c>
      <c r="J74" s="10" t="n">
        <v>1</v>
      </c>
      <c r="K74" s="10" t="n">
        <f aca="false">G74+H74</f>
        <v>80</v>
      </c>
      <c r="L74" s="11" t="n">
        <f aca="false">IF(K74&gt;0,G74/K74,"")</f>
        <v>0.3125</v>
      </c>
      <c r="M74" s="9" t="str">
        <f aca="false">IF(K74=0,"",IF(L74&lt;0.2,"Très masculine (&lt;20 % F)",IF(L74&lt;0.4,"Plutôt masculine (20-40 %)",IF(L74&lt;0.6,"Mixte (40-60 %)","À dominante féminine (≥60 %)"))))</f>
        <v>Plutôt masculine (20-40 %)</v>
      </c>
    </row>
    <row r="75" customFormat="false" ht="15" hidden="false" customHeight="false" outlineLevel="0" collapsed="false">
      <c r="A75" s="9" t="s">
        <v>589</v>
      </c>
      <c r="B75" s="9" t="s">
        <v>588</v>
      </c>
      <c r="C75" s="9" t="s">
        <v>166</v>
      </c>
      <c r="D75" s="9" t="s">
        <v>167</v>
      </c>
      <c r="E75" s="9" t="s">
        <v>151</v>
      </c>
      <c r="F75" s="9" t="s">
        <v>152</v>
      </c>
      <c r="G75" s="10" t="n">
        <v>46</v>
      </c>
      <c r="H75" s="10" t="n">
        <v>137</v>
      </c>
      <c r="I75" s="10" t="n">
        <v>6</v>
      </c>
      <c r="J75" s="10" t="n">
        <v>3</v>
      </c>
      <c r="K75" s="10" t="n">
        <f aca="false">G75+H75</f>
        <v>183</v>
      </c>
      <c r="L75" s="11" t="n">
        <f aca="false">IF(K75&gt;0,G75/K75,"")</f>
        <v>0.251366120218579</v>
      </c>
      <c r="M75" s="9" t="str">
        <f aca="false">IF(K75=0,"",IF(L75&lt;0.2,"Très masculine (&lt;20 % F)",IF(L75&lt;0.4,"Plutôt masculine (20-40 %)",IF(L75&lt;0.6,"Mixte (40-60 %)","À dominante féminine (≥60 %)"))))</f>
        <v>Plutôt masculine (20-40 %)</v>
      </c>
    </row>
    <row r="76" customFormat="false" ht="15" hidden="false" customHeight="false" outlineLevel="0" collapsed="false">
      <c r="A76" s="9" t="s">
        <v>590</v>
      </c>
      <c r="B76" s="9" t="s">
        <v>591</v>
      </c>
      <c r="C76" s="9" t="s">
        <v>168</v>
      </c>
      <c r="D76" s="9" t="s">
        <v>169</v>
      </c>
      <c r="E76" s="9" t="s">
        <v>120</v>
      </c>
      <c r="F76" s="9" t="s">
        <v>170</v>
      </c>
      <c r="G76" s="10" t="n">
        <v>3</v>
      </c>
      <c r="H76" s="10" t="n">
        <v>57</v>
      </c>
      <c r="I76" s="10" t="n">
        <v>60</v>
      </c>
      <c r="J76" s="10" t="n">
        <v>0</v>
      </c>
      <c r="K76" s="10" t="n">
        <f aca="false">G76+H76</f>
        <v>60</v>
      </c>
      <c r="L76" s="11" t="n">
        <f aca="false">IF(K76&gt;0,G76/K76,"")</f>
        <v>0.05</v>
      </c>
      <c r="M76" s="9" t="str">
        <f aca="false">IF(K76=0,"",IF(L76&lt;0.2,"Très masculine (&lt;20 % F)",IF(L76&lt;0.4,"Plutôt masculine (20-40 %)",IF(L76&lt;0.6,"Mixte (40-60 %)","À dominante féminine (≥60 %)"))))</f>
        <v>Très masculine (&lt;20 % F)</v>
      </c>
    </row>
    <row r="77" customFormat="false" ht="15" hidden="false" customHeight="false" outlineLevel="0" collapsed="false">
      <c r="A77" s="9" t="s">
        <v>592</v>
      </c>
      <c r="B77" s="9" t="s">
        <v>591</v>
      </c>
      <c r="C77" s="9" t="s">
        <v>168</v>
      </c>
      <c r="D77" s="9" t="s">
        <v>169</v>
      </c>
      <c r="E77" s="9" t="s">
        <v>120</v>
      </c>
      <c r="F77" s="9" t="s">
        <v>170</v>
      </c>
      <c r="G77" s="10" t="n">
        <v>1243</v>
      </c>
      <c r="H77" s="10" t="n">
        <v>1776</v>
      </c>
      <c r="I77" s="10" t="n">
        <v>250</v>
      </c>
      <c r="J77" s="10" t="n">
        <v>22</v>
      </c>
      <c r="K77" s="10" t="n">
        <f aca="false">G77+H77</f>
        <v>3019</v>
      </c>
      <c r="L77" s="11" t="n">
        <f aca="false">IF(K77&gt;0,G77/K77,"")</f>
        <v>0.411725736999006</v>
      </c>
      <c r="M77" s="9" t="str">
        <f aca="false">IF(K77=0,"",IF(L77&lt;0.2,"Très masculine (&lt;20 % F)",IF(L77&lt;0.4,"Plutôt masculine (20-40 %)",IF(L77&lt;0.6,"Mixte (40-60 %)","À dominante féminine (≥60 %)"))))</f>
        <v>Mixte (40-60 %)</v>
      </c>
    </row>
    <row r="78" customFormat="false" ht="15" hidden="false" customHeight="false" outlineLevel="0" collapsed="false">
      <c r="A78" s="9" t="s">
        <v>593</v>
      </c>
      <c r="B78" s="9" t="s">
        <v>594</v>
      </c>
      <c r="C78" s="9" t="s">
        <v>174</v>
      </c>
      <c r="D78" s="9" t="s">
        <v>175</v>
      </c>
      <c r="E78" s="9" t="s">
        <v>100</v>
      </c>
      <c r="F78" s="9" t="s">
        <v>102</v>
      </c>
      <c r="G78" s="10" t="n">
        <v>6</v>
      </c>
      <c r="H78" s="10" t="n">
        <v>97</v>
      </c>
      <c r="I78" s="10" t="n">
        <v>3</v>
      </c>
      <c r="J78" s="10" t="n">
        <v>0</v>
      </c>
      <c r="K78" s="10" t="n">
        <f aca="false">G78+H78</f>
        <v>103</v>
      </c>
      <c r="L78" s="11" t="n">
        <f aca="false">IF(K78&gt;0,G78/K78,"")</f>
        <v>0.058252427184466</v>
      </c>
      <c r="M78" s="9" t="str">
        <f aca="false">IF(K78=0,"",IF(L78&lt;0.2,"Très masculine (&lt;20 % F)",IF(L78&lt;0.4,"Plutôt masculine (20-40 %)",IF(L78&lt;0.6,"Mixte (40-60 %)","À dominante féminine (≥60 %)"))))</f>
        <v>Très masculine (&lt;20 % F)</v>
      </c>
    </row>
    <row r="79" customFormat="false" ht="15" hidden="false" customHeight="false" outlineLevel="0" collapsed="false">
      <c r="A79" s="9" t="s">
        <v>595</v>
      </c>
      <c r="B79" s="9" t="s">
        <v>594</v>
      </c>
      <c r="C79" s="9" t="s">
        <v>174</v>
      </c>
      <c r="D79" s="9" t="s">
        <v>175</v>
      </c>
      <c r="E79" s="9" t="s">
        <v>100</v>
      </c>
      <c r="F79" s="9" t="s">
        <v>102</v>
      </c>
      <c r="G79" s="10" t="n">
        <v>4</v>
      </c>
      <c r="H79" s="10" t="n">
        <v>106</v>
      </c>
      <c r="I79" s="10" t="n">
        <v>10</v>
      </c>
      <c r="J79" s="10" t="n">
        <v>0</v>
      </c>
      <c r="K79" s="10" t="n">
        <f aca="false">G79+H79</f>
        <v>110</v>
      </c>
      <c r="L79" s="11" t="n">
        <f aca="false">IF(K79&gt;0,G79/K79,"")</f>
        <v>0.0363636363636364</v>
      </c>
      <c r="M79" s="9" t="str">
        <f aca="false">IF(K79=0,"",IF(L79&lt;0.2,"Très masculine (&lt;20 % F)",IF(L79&lt;0.4,"Plutôt masculine (20-40 %)",IF(L79&lt;0.6,"Mixte (40-60 %)","À dominante féminine (≥60 %)"))))</f>
        <v>Très masculine (&lt;20 % F)</v>
      </c>
    </row>
    <row r="80" customFormat="false" ht="15" hidden="false" customHeight="false" outlineLevel="0" collapsed="false">
      <c r="A80" s="9" t="s">
        <v>596</v>
      </c>
      <c r="B80" s="9" t="s">
        <v>594</v>
      </c>
      <c r="C80" s="9" t="s">
        <v>174</v>
      </c>
      <c r="D80" s="9" t="s">
        <v>175</v>
      </c>
      <c r="E80" s="9" t="s">
        <v>100</v>
      </c>
      <c r="F80" s="9" t="s">
        <v>102</v>
      </c>
      <c r="G80" s="10" t="n">
        <v>33</v>
      </c>
      <c r="H80" s="10" t="n">
        <v>73</v>
      </c>
      <c r="I80" s="10" t="n">
        <v>8</v>
      </c>
      <c r="J80" s="10" t="n">
        <v>2</v>
      </c>
      <c r="K80" s="10" t="n">
        <f aca="false">G80+H80</f>
        <v>106</v>
      </c>
      <c r="L80" s="11" t="n">
        <f aca="false">IF(K80&gt;0,G80/K80,"")</f>
        <v>0.311320754716981</v>
      </c>
      <c r="M80" s="9" t="str">
        <f aca="false">IF(K80=0,"",IF(L80&lt;0.2,"Très masculine (&lt;20 % F)",IF(L80&lt;0.4,"Plutôt masculine (20-40 %)",IF(L80&lt;0.6,"Mixte (40-60 %)","À dominante féminine (≥60 %)"))))</f>
        <v>Plutôt masculine (20-40 %)</v>
      </c>
    </row>
    <row r="81" customFormat="false" ht="15" hidden="false" customHeight="false" outlineLevel="0" collapsed="false">
      <c r="A81" s="9" t="s">
        <v>597</v>
      </c>
      <c r="B81" s="9" t="s">
        <v>598</v>
      </c>
      <c r="C81" s="9" t="s">
        <v>178</v>
      </c>
      <c r="D81" s="9" t="s">
        <v>179</v>
      </c>
      <c r="E81" s="9" t="s">
        <v>146</v>
      </c>
      <c r="F81" s="9" t="s">
        <v>116</v>
      </c>
      <c r="G81" s="10" t="n">
        <v>103</v>
      </c>
      <c r="H81" s="10" t="n">
        <v>4</v>
      </c>
      <c r="I81" s="10" t="n">
        <v>3</v>
      </c>
      <c r="J81" s="10" t="n">
        <v>3</v>
      </c>
      <c r="K81" s="10" t="n">
        <f aca="false">G81+H81</f>
        <v>107</v>
      </c>
      <c r="L81" s="11" t="n">
        <f aca="false">IF(K81&gt;0,G81/K81,"")</f>
        <v>0.962616822429907</v>
      </c>
      <c r="M81" s="9" t="str">
        <f aca="false">IF(K81=0,"",IF(L81&lt;0.2,"Très masculine (&lt;20 % F)",IF(L81&lt;0.4,"Plutôt masculine (20-40 %)",IF(L81&lt;0.6,"Mixte (40-60 %)","À dominante féminine (≥60 %)"))))</f>
        <v>À dominante féminine (≥60 %)</v>
      </c>
    </row>
    <row r="82" customFormat="false" ht="15" hidden="false" customHeight="false" outlineLevel="0" collapsed="false">
      <c r="A82" s="9" t="s">
        <v>599</v>
      </c>
      <c r="B82" s="9" t="s">
        <v>598</v>
      </c>
      <c r="C82" s="9" t="s">
        <v>178</v>
      </c>
      <c r="D82" s="9" t="s">
        <v>179</v>
      </c>
      <c r="E82" s="9" t="s">
        <v>146</v>
      </c>
      <c r="F82" s="9" t="s">
        <v>116</v>
      </c>
      <c r="G82" s="10" t="n">
        <v>59</v>
      </c>
      <c r="H82" s="10" t="n">
        <v>127</v>
      </c>
      <c r="I82" s="10" t="n">
        <v>7</v>
      </c>
      <c r="J82" s="10" t="n">
        <v>2</v>
      </c>
      <c r="K82" s="10" t="n">
        <f aca="false">G82+H82</f>
        <v>186</v>
      </c>
      <c r="L82" s="11" t="n">
        <f aca="false">IF(K82&gt;0,G82/K82,"")</f>
        <v>0.317204301075269</v>
      </c>
      <c r="M82" s="9" t="str">
        <f aca="false">IF(K82=0,"",IF(L82&lt;0.2,"Très masculine (&lt;20 % F)",IF(L82&lt;0.4,"Plutôt masculine (20-40 %)",IF(L82&lt;0.6,"Mixte (40-60 %)","À dominante féminine (≥60 %)"))))</f>
        <v>Plutôt masculine (20-40 %)</v>
      </c>
    </row>
    <row r="83" customFormat="false" ht="15" hidden="false" customHeight="false" outlineLevel="0" collapsed="false">
      <c r="A83" s="9" t="s">
        <v>600</v>
      </c>
      <c r="B83" s="9" t="s">
        <v>598</v>
      </c>
      <c r="C83" s="9" t="s">
        <v>178</v>
      </c>
      <c r="D83" s="9" t="s">
        <v>179</v>
      </c>
      <c r="E83" s="9" t="s">
        <v>146</v>
      </c>
      <c r="F83" s="9" t="s">
        <v>116</v>
      </c>
      <c r="G83" s="10" t="n">
        <v>119</v>
      </c>
      <c r="H83" s="10" t="n">
        <v>154</v>
      </c>
      <c r="I83" s="10" t="n">
        <v>21</v>
      </c>
      <c r="J83" s="10" t="n">
        <v>0</v>
      </c>
      <c r="K83" s="10" t="n">
        <f aca="false">G83+H83</f>
        <v>273</v>
      </c>
      <c r="L83" s="11" t="n">
        <f aca="false">IF(K83&gt;0,G83/K83,"")</f>
        <v>0.435897435897436</v>
      </c>
      <c r="M83" s="9" t="str">
        <f aca="false">IF(K83=0,"",IF(L83&lt;0.2,"Très masculine (&lt;20 % F)",IF(L83&lt;0.4,"Plutôt masculine (20-40 %)",IF(L83&lt;0.6,"Mixte (40-60 %)","À dominante féminine (≥60 %)"))))</f>
        <v>Mixte (40-60 %)</v>
      </c>
    </row>
    <row r="84" customFormat="false" ht="15" hidden="false" customHeight="false" outlineLevel="0" collapsed="false">
      <c r="A84" s="9" t="s">
        <v>601</v>
      </c>
      <c r="B84" s="9" t="s">
        <v>598</v>
      </c>
      <c r="C84" s="9" t="s">
        <v>178</v>
      </c>
      <c r="D84" s="9" t="s">
        <v>179</v>
      </c>
      <c r="E84" s="9" t="s">
        <v>146</v>
      </c>
      <c r="F84" s="9" t="s">
        <v>116</v>
      </c>
      <c r="G84" s="10" t="n">
        <v>39</v>
      </c>
      <c r="H84" s="10" t="n">
        <v>44</v>
      </c>
      <c r="I84" s="10" t="n">
        <v>8</v>
      </c>
      <c r="J84" s="10" t="n">
        <v>0</v>
      </c>
      <c r="K84" s="10" t="n">
        <f aca="false">G84+H84</f>
        <v>83</v>
      </c>
      <c r="L84" s="11" t="n">
        <f aca="false">IF(K84&gt;0,G84/K84,"")</f>
        <v>0.469879518072289</v>
      </c>
      <c r="M84" s="9" t="str">
        <f aca="false">IF(K84=0,"",IF(L84&lt;0.2,"Très masculine (&lt;20 % F)",IF(L84&lt;0.4,"Plutôt masculine (20-40 %)",IF(L84&lt;0.6,"Mixte (40-60 %)","À dominante féminine (≥60 %)"))))</f>
        <v>Mixte (40-60 %)</v>
      </c>
    </row>
    <row r="85" customFormat="false" ht="15" hidden="false" customHeight="false" outlineLevel="0" collapsed="false">
      <c r="A85" s="9" t="s">
        <v>602</v>
      </c>
      <c r="B85" s="9" t="s">
        <v>598</v>
      </c>
      <c r="C85" s="9" t="s">
        <v>178</v>
      </c>
      <c r="D85" s="9" t="s">
        <v>179</v>
      </c>
      <c r="E85" s="9" t="s">
        <v>146</v>
      </c>
      <c r="F85" s="9" t="s">
        <v>116</v>
      </c>
      <c r="G85" s="10" t="n">
        <v>336</v>
      </c>
      <c r="H85" s="10" t="n">
        <v>61</v>
      </c>
      <c r="I85" s="10" t="n">
        <v>30</v>
      </c>
      <c r="J85" s="10" t="n">
        <v>4</v>
      </c>
      <c r="K85" s="10" t="n">
        <f aca="false">G85+H85</f>
        <v>397</v>
      </c>
      <c r="L85" s="11" t="n">
        <f aca="false">IF(K85&gt;0,G85/K85,"")</f>
        <v>0.846347607052897</v>
      </c>
      <c r="M85" s="9" t="str">
        <f aca="false">IF(K85=0,"",IF(L85&lt;0.2,"Très masculine (&lt;20 % F)",IF(L85&lt;0.4,"Plutôt masculine (20-40 %)",IF(L85&lt;0.6,"Mixte (40-60 %)","À dominante féminine (≥60 %)"))))</f>
        <v>À dominante féminine (≥60 %)</v>
      </c>
    </row>
    <row r="86" customFormat="false" ht="15" hidden="false" customHeight="false" outlineLevel="0" collapsed="false">
      <c r="A86" s="9" t="s">
        <v>603</v>
      </c>
      <c r="B86" s="9" t="s">
        <v>598</v>
      </c>
      <c r="C86" s="9" t="s">
        <v>178</v>
      </c>
      <c r="D86" s="9" t="s">
        <v>179</v>
      </c>
      <c r="E86" s="9" t="s">
        <v>146</v>
      </c>
      <c r="F86" s="9" t="s">
        <v>116</v>
      </c>
      <c r="G86" s="10" t="n">
        <v>36</v>
      </c>
      <c r="H86" s="10" t="n">
        <v>134</v>
      </c>
      <c r="I86" s="10" t="n">
        <v>30</v>
      </c>
      <c r="J86" s="10" t="n">
        <v>2</v>
      </c>
      <c r="K86" s="10" t="n">
        <f aca="false">G86+H86</f>
        <v>170</v>
      </c>
      <c r="L86" s="11" t="n">
        <f aca="false">IF(K86&gt;0,G86/K86,"")</f>
        <v>0.211764705882353</v>
      </c>
      <c r="M86" s="9" t="str">
        <f aca="false">IF(K86=0,"",IF(L86&lt;0.2,"Très masculine (&lt;20 % F)",IF(L86&lt;0.4,"Plutôt masculine (20-40 %)",IF(L86&lt;0.6,"Mixte (40-60 %)","À dominante féminine (≥60 %)"))))</f>
        <v>Plutôt masculine (20-40 %)</v>
      </c>
    </row>
    <row r="87" customFormat="false" ht="15" hidden="false" customHeight="false" outlineLevel="0" collapsed="false">
      <c r="A87" s="9" t="s">
        <v>604</v>
      </c>
      <c r="B87" s="9" t="s">
        <v>605</v>
      </c>
      <c r="C87" s="9" t="s">
        <v>180</v>
      </c>
      <c r="D87" s="9" t="s">
        <v>181</v>
      </c>
      <c r="E87" s="9" t="s">
        <v>182</v>
      </c>
      <c r="F87" s="9" t="s">
        <v>125</v>
      </c>
      <c r="G87" s="10" t="n">
        <v>72</v>
      </c>
      <c r="H87" s="10" t="n">
        <v>20</v>
      </c>
      <c r="I87" s="10" t="n">
        <v>7</v>
      </c>
      <c r="J87" s="10" t="n">
        <v>0</v>
      </c>
      <c r="K87" s="10" t="n">
        <f aca="false">G87+H87</f>
        <v>92</v>
      </c>
      <c r="L87" s="11" t="n">
        <f aca="false">IF(K87&gt;0,G87/K87,"")</f>
        <v>0.782608695652174</v>
      </c>
      <c r="M87" s="9" t="str">
        <f aca="false">IF(K87=0,"",IF(L87&lt;0.2,"Très masculine (&lt;20 % F)",IF(L87&lt;0.4,"Plutôt masculine (20-40 %)",IF(L87&lt;0.6,"Mixte (40-60 %)","À dominante féminine (≥60 %)"))))</f>
        <v>À dominante féminine (≥60 %)</v>
      </c>
    </row>
    <row r="88" customFormat="false" ht="15" hidden="false" customHeight="false" outlineLevel="0" collapsed="false">
      <c r="A88" s="9" t="s">
        <v>606</v>
      </c>
      <c r="B88" s="9" t="s">
        <v>607</v>
      </c>
      <c r="C88" s="9" t="s">
        <v>183</v>
      </c>
      <c r="D88" s="9" t="s">
        <v>184</v>
      </c>
      <c r="E88" s="9" t="s">
        <v>106</v>
      </c>
      <c r="F88" s="9" t="s">
        <v>108</v>
      </c>
      <c r="G88" s="10" t="n">
        <v>17</v>
      </c>
      <c r="H88" s="10" t="n">
        <v>23</v>
      </c>
      <c r="I88" s="10" t="n">
        <v>8</v>
      </c>
      <c r="J88" s="10" t="n">
        <v>3</v>
      </c>
      <c r="K88" s="10" t="n">
        <f aca="false">G88+H88</f>
        <v>40</v>
      </c>
      <c r="L88" s="11" t="n">
        <f aca="false">IF(K88&gt;0,G88/K88,"")</f>
        <v>0.425</v>
      </c>
      <c r="M88" s="9" t="str">
        <f aca="false">IF(K88=0,"",IF(L88&lt;0.2,"Très masculine (&lt;20 % F)",IF(L88&lt;0.4,"Plutôt masculine (20-40 %)",IF(L88&lt;0.6,"Mixte (40-60 %)","À dominante féminine (≥60 %)"))))</f>
        <v>Mixte (40-60 %)</v>
      </c>
    </row>
    <row r="89" customFormat="false" ht="15" hidden="false" customHeight="false" outlineLevel="0" collapsed="false">
      <c r="A89" s="9" t="s">
        <v>608</v>
      </c>
      <c r="B89" s="9" t="s">
        <v>609</v>
      </c>
      <c r="C89" s="9" t="s">
        <v>187</v>
      </c>
      <c r="D89" s="9" t="s">
        <v>188</v>
      </c>
      <c r="E89" s="9" t="s">
        <v>155</v>
      </c>
      <c r="F89" s="9" t="s">
        <v>156</v>
      </c>
      <c r="G89" s="10" t="n">
        <v>3</v>
      </c>
      <c r="H89" s="10" t="n">
        <v>3</v>
      </c>
      <c r="I89" s="10" t="n">
        <v>0</v>
      </c>
      <c r="J89" s="10" t="n">
        <v>0</v>
      </c>
      <c r="K89" s="10" t="n">
        <f aca="false">G89+H89</f>
        <v>6</v>
      </c>
      <c r="L89" s="11" t="n">
        <f aca="false">IF(K89&gt;0,G89/K89,"")</f>
        <v>0.5</v>
      </c>
      <c r="M89" s="9" t="str">
        <f aca="false">IF(K89=0,"",IF(L89&lt;0.2,"Très masculine (&lt;20 % F)",IF(L89&lt;0.4,"Plutôt masculine (20-40 %)",IF(L89&lt;0.6,"Mixte (40-60 %)","À dominante féminine (≥60 %)"))))</f>
        <v>Mixte (40-60 %)</v>
      </c>
    </row>
    <row r="90" customFormat="false" ht="15" hidden="false" customHeight="false" outlineLevel="0" collapsed="false">
      <c r="A90" s="9" t="s">
        <v>610</v>
      </c>
      <c r="B90" s="9" t="s">
        <v>609</v>
      </c>
      <c r="C90" s="9" t="s">
        <v>187</v>
      </c>
      <c r="D90" s="9" t="s">
        <v>188</v>
      </c>
      <c r="E90" s="9" t="s">
        <v>155</v>
      </c>
      <c r="F90" s="9" t="s">
        <v>156</v>
      </c>
      <c r="G90" s="10" t="n">
        <v>25</v>
      </c>
      <c r="H90" s="10" t="n">
        <v>232</v>
      </c>
      <c r="I90" s="10" t="n">
        <v>30</v>
      </c>
      <c r="J90" s="10" t="n">
        <v>0</v>
      </c>
      <c r="K90" s="10" t="n">
        <f aca="false">G90+H90</f>
        <v>257</v>
      </c>
      <c r="L90" s="11" t="n">
        <f aca="false">IF(K90&gt;0,G90/K90,"")</f>
        <v>0.0972762645914397</v>
      </c>
      <c r="M90" s="9" t="str">
        <f aca="false">IF(K90=0,"",IF(L90&lt;0.2,"Très masculine (&lt;20 % F)",IF(L90&lt;0.4,"Plutôt masculine (20-40 %)",IF(L90&lt;0.6,"Mixte (40-60 %)","À dominante féminine (≥60 %)"))))</f>
        <v>Très masculine (&lt;20 % F)</v>
      </c>
    </row>
    <row r="91" customFormat="false" ht="15" hidden="false" customHeight="false" outlineLevel="0" collapsed="false">
      <c r="A91" s="9" t="s">
        <v>611</v>
      </c>
      <c r="B91" s="9" t="s">
        <v>612</v>
      </c>
      <c r="C91" s="9" t="s">
        <v>193</v>
      </c>
      <c r="D91" s="9" t="s">
        <v>194</v>
      </c>
      <c r="E91" s="9" t="s">
        <v>140</v>
      </c>
      <c r="F91" s="9" t="s">
        <v>128</v>
      </c>
      <c r="G91" s="10" t="n">
        <v>49</v>
      </c>
      <c r="H91" s="10" t="n">
        <v>73</v>
      </c>
      <c r="I91" s="10" t="n">
        <v>15</v>
      </c>
      <c r="J91" s="10" t="n">
        <v>1</v>
      </c>
      <c r="K91" s="10" t="n">
        <f aca="false">G91+H91</f>
        <v>122</v>
      </c>
      <c r="L91" s="11" t="n">
        <f aca="false">IF(K91&gt;0,G91/K91,"")</f>
        <v>0.401639344262295</v>
      </c>
      <c r="M91" s="9" t="str">
        <f aca="false">IF(K91=0,"",IF(L91&lt;0.2,"Très masculine (&lt;20 % F)",IF(L91&lt;0.4,"Plutôt masculine (20-40 %)",IF(L91&lt;0.6,"Mixte (40-60 %)","À dominante féminine (≥60 %)"))))</f>
        <v>Mixte (40-60 %)</v>
      </c>
    </row>
    <row r="92" customFormat="false" ht="15" hidden="false" customHeight="false" outlineLevel="0" collapsed="false">
      <c r="A92" s="9" t="s">
        <v>613</v>
      </c>
      <c r="B92" s="9" t="s">
        <v>614</v>
      </c>
      <c r="C92" s="9" t="s">
        <v>198</v>
      </c>
      <c r="D92" s="9" t="s">
        <v>199</v>
      </c>
      <c r="E92" s="9" t="s">
        <v>200</v>
      </c>
      <c r="F92" s="9" t="s">
        <v>173</v>
      </c>
      <c r="G92" s="10" t="n">
        <v>35</v>
      </c>
      <c r="H92" s="10" t="n">
        <v>53</v>
      </c>
      <c r="I92" s="10" t="n">
        <v>6</v>
      </c>
      <c r="J92" s="10" t="n">
        <v>0</v>
      </c>
      <c r="K92" s="10" t="n">
        <f aca="false">G92+H92</f>
        <v>88</v>
      </c>
      <c r="L92" s="11" t="n">
        <f aca="false">IF(K92&gt;0,G92/K92,"")</f>
        <v>0.397727272727273</v>
      </c>
      <c r="M92" s="9" t="str">
        <f aca="false">IF(K92=0,"",IF(L92&lt;0.2,"Très masculine (&lt;20 % F)",IF(L92&lt;0.4,"Plutôt masculine (20-40 %)",IF(L92&lt;0.6,"Mixte (40-60 %)","À dominante féminine (≥60 %)"))))</f>
        <v>Plutôt masculine (20-40 %)</v>
      </c>
    </row>
    <row r="93" customFormat="false" ht="15" hidden="false" customHeight="false" outlineLevel="0" collapsed="false">
      <c r="A93" s="9" t="s">
        <v>615</v>
      </c>
      <c r="B93" s="9" t="s">
        <v>614</v>
      </c>
      <c r="C93" s="9" t="s">
        <v>198</v>
      </c>
      <c r="D93" s="9" t="s">
        <v>199</v>
      </c>
      <c r="E93" s="9" t="s">
        <v>200</v>
      </c>
      <c r="F93" s="9" t="s">
        <v>173</v>
      </c>
      <c r="G93" s="10" t="n">
        <v>459</v>
      </c>
      <c r="H93" s="10" t="n">
        <v>1</v>
      </c>
      <c r="I93" s="10" t="n">
        <v>15</v>
      </c>
      <c r="J93" s="10" t="n">
        <v>5</v>
      </c>
      <c r="K93" s="10" t="n">
        <f aca="false">G93+H93</f>
        <v>460</v>
      </c>
      <c r="L93" s="11" t="n">
        <f aca="false">IF(K93&gt;0,G93/K93,"")</f>
        <v>0.997826086956522</v>
      </c>
      <c r="M93" s="9" t="str">
        <f aca="false">IF(K93=0,"",IF(L93&lt;0.2,"Très masculine (&lt;20 % F)",IF(L93&lt;0.4,"Plutôt masculine (20-40 %)",IF(L93&lt;0.6,"Mixte (40-60 %)","À dominante féminine (≥60 %)"))))</f>
        <v>À dominante féminine (≥60 %)</v>
      </c>
    </row>
    <row r="94" customFormat="false" ht="15" hidden="false" customHeight="false" outlineLevel="0" collapsed="false">
      <c r="A94" s="9" t="s">
        <v>616</v>
      </c>
      <c r="B94" s="9" t="s">
        <v>614</v>
      </c>
      <c r="C94" s="9" t="s">
        <v>198</v>
      </c>
      <c r="D94" s="9" t="s">
        <v>199</v>
      </c>
      <c r="E94" s="9" t="s">
        <v>200</v>
      </c>
      <c r="F94" s="9" t="s">
        <v>173</v>
      </c>
      <c r="G94" s="10" t="n">
        <v>98</v>
      </c>
      <c r="H94" s="10" t="n">
        <v>118</v>
      </c>
      <c r="I94" s="10" t="n">
        <v>9</v>
      </c>
      <c r="J94" s="10" t="n">
        <v>0</v>
      </c>
      <c r="K94" s="10" t="n">
        <f aca="false">G94+H94</f>
        <v>216</v>
      </c>
      <c r="L94" s="11" t="n">
        <f aca="false">IF(K94&gt;0,G94/K94,"")</f>
        <v>0.453703703703704</v>
      </c>
      <c r="M94" s="9" t="str">
        <f aca="false">IF(K94=0,"",IF(L94&lt;0.2,"Très masculine (&lt;20 % F)",IF(L94&lt;0.4,"Plutôt masculine (20-40 %)",IF(L94&lt;0.6,"Mixte (40-60 %)","À dominante féminine (≥60 %)"))))</f>
        <v>Mixte (40-60 %)</v>
      </c>
    </row>
    <row r="95" customFormat="false" ht="15" hidden="false" customHeight="false" outlineLevel="0" collapsed="false">
      <c r="A95" s="9" t="s">
        <v>617</v>
      </c>
      <c r="B95" s="9" t="s">
        <v>614</v>
      </c>
      <c r="C95" s="9" t="s">
        <v>198</v>
      </c>
      <c r="D95" s="9" t="s">
        <v>199</v>
      </c>
      <c r="E95" s="9" t="s">
        <v>200</v>
      </c>
      <c r="F95" s="9" t="s">
        <v>173</v>
      </c>
      <c r="G95" s="10" t="n">
        <v>212</v>
      </c>
      <c r="H95" s="10" t="n">
        <v>614</v>
      </c>
      <c r="I95" s="10" t="n">
        <v>50</v>
      </c>
      <c r="J95" s="10" t="n">
        <v>0</v>
      </c>
      <c r="K95" s="10" t="n">
        <f aca="false">G95+H95</f>
        <v>826</v>
      </c>
      <c r="L95" s="11" t="n">
        <f aca="false">IF(K95&gt;0,G95/K95,"")</f>
        <v>0.256658595641647</v>
      </c>
      <c r="M95" s="9" t="str">
        <f aca="false">IF(K95=0,"",IF(L95&lt;0.2,"Très masculine (&lt;20 % F)",IF(L95&lt;0.4,"Plutôt masculine (20-40 %)",IF(L95&lt;0.6,"Mixte (40-60 %)","À dominante féminine (≥60 %)"))))</f>
        <v>Plutôt masculine (20-40 %)</v>
      </c>
    </row>
    <row r="96" customFormat="false" ht="15" hidden="false" customHeight="false" outlineLevel="0" collapsed="false">
      <c r="A96" s="9" t="s">
        <v>618</v>
      </c>
      <c r="B96" s="9" t="s">
        <v>614</v>
      </c>
      <c r="C96" s="9" t="s">
        <v>198</v>
      </c>
      <c r="D96" s="9" t="s">
        <v>199</v>
      </c>
      <c r="E96" s="9" t="s">
        <v>200</v>
      </c>
      <c r="F96" s="9" t="s">
        <v>173</v>
      </c>
      <c r="G96" s="10" t="n">
        <v>985</v>
      </c>
      <c r="H96" s="10" t="n">
        <v>818</v>
      </c>
      <c r="I96" s="10" t="n">
        <v>83</v>
      </c>
      <c r="J96" s="10" t="n">
        <v>0</v>
      </c>
      <c r="K96" s="10" t="n">
        <f aca="false">G96+H96</f>
        <v>1803</v>
      </c>
      <c r="L96" s="11" t="n">
        <f aca="false">IF(K96&gt;0,G96/K96,"")</f>
        <v>0.546311702717693</v>
      </c>
      <c r="M96" s="9" t="str">
        <f aca="false">IF(K96=0,"",IF(L96&lt;0.2,"Très masculine (&lt;20 % F)",IF(L96&lt;0.4,"Plutôt masculine (20-40 %)",IF(L96&lt;0.6,"Mixte (40-60 %)","À dominante féminine (≥60 %)"))))</f>
        <v>Mixte (40-60 %)</v>
      </c>
    </row>
    <row r="97" customFormat="false" ht="15" hidden="false" customHeight="false" outlineLevel="0" collapsed="false">
      <c r="A97" s="9" t="s">
        <v>619</v>
      </c>
      <c r="B97" s="9" t="s">
        <v>614</v>
      </c>
      <c r="C97" s="9" t="s">
        <v>198</v>
      </c>
      <c r="D97" s="9" t="s">
        <v>199</v>
      </c>
      <c r="E97" s="9" t="s">
        <v>200</v>
      </c>
      <c r="F97" s="9" t="s">
        <v>173</v>
      </c>
      <c r="G97" s="10" t="n">
        <v>45</v>
      </c>
      <c r="H97" s="10" t="n">
        <v>63</v>
      </c>
      <c r="I97" s="10" t="n">
        <v>8</v>
      </c>
      <c r="J97" s="10" t="n">
        <v>2</v>
      </c>
      <c r="K97" s="10" t="n">
        <f aca="false">G97+H97</f>
        <v>108</v>
      </c>
      <c r="L97" s="11" t="n">
        <f aca="false">IF(K97&gt;0,G97/K97,"")</f>
        <v>0.416666666666667</v>
      </c>
      <c r="M97" s="9" t="str">
        <f aca="false">IF(K97=0,"",IF(L97&lt;0.2,"Très masculine (&lt;20 % F)",IF(L97&lt;0.4,"Plutôt masculine (20-40 %)",IF(L97&lt;0.6,"Mixte (40-60 %)","À dominante féminine (≥60 %)"))))</f>
        <v>Mixte (40-60 %)</v>
      </c>
    </row>
    <row r="98" customFormat="false" ht="15" hidden="false" customHeight="false" outlineLevel="0" collapsed="false">
      <c r="A98" s="9" t="s">
        <v>620</v>
      </c>
      <c r="B98" s="9" t="s">
        <v>621</v>
      </c>
      <c r="C98" s="9" t="s">
        <v>198</v>
      </c>
      <c r="D98" s="9" t="s">
        <v>199</v>
      </c>
      <c r="E98" s="9" t="s">
        <v>200</v>
      </c>
      <c r="F98" s="9" t="s">
        <v>173</v>
      </c>
      <c r="G98" s="10" t="n">
        <v>111</v>
      </c>
      <c r="H98" s="10" t="n">
        <v>180</v>
      </c>
      <c r="I98" s="10" t="n">
        <v>13</v>
      </c>
      <c r="J98" s="10" t="n">
        <v>0</v>
      </c>
      <c r="K98" s="10" t="n">
        <f aca="false">G98+H98</f>
        <v>291</v>
      </c>
      <c r="L98" s="11" t="n">
        <f aca="false">IF(K98&gt;0,G98/K98,"")</f>
        <v>0.381443298969072</v>
      </c>
      <c r="M98" s="9" t="str">
        <f aca="false">IF(K98=0,"",IF(L98&lt;0.2,"Très masculine (&lt;20 % F)",IF(L98&lt;0.4,"Plutôt masculine (20-40 %)",IF(L98&lt;0.6,"Mixte (40-60 %)","À dominante féminine (≥60 %)"))))</f>
        <v>Plutôt masculine (20-40 %)</v>
      </c>
    </row>
    <row r="99" customFormat="false" ht="15" hidden="false" customHeight="false" outlineLevel="0" collapsed="false">
      <c r="A99" s="9" t="s">
        <v>622</v>
      </c>
      <c r="B99" s="9" t="s">
        <v>614</v>
      </c>
      <c r="C99" s="9" t="s">
        <v>198</v>
      </c>
      <c r="D99" s="9" t="s">
        <v>199</v>
      </c>
      <c r="E99" s="9" t="s">
        <v>200</v>
      </c>
      <c r="F99" s="9" t="s">
        <v>173</v>
      </c>
      <c r="G99" s="10" t="n">
        <v>227</v>
      </c>
      <c r="H99" s="10" t="n">
        <v>168</v>
      </c>
      <c r="I99" s="10" t="n">
        <v>40</v>
      </c>
      <c r="J99" s="10" t="n">
        <v>2</v>
      </c>
      <c r="K99" s="10" t="n">
        <f aca="false">G99+H99</f>
        <v>395</v>
      </c>
      <c r="L99" s="11" t="n">
        <f aca="false">IF(K99&gt;0,G99/K99,"")</f>
        <v>0.574683544303797</v>
      </c>
      <c r="M99" s="9" t="str">
        <f aca="false">IF(K99=0,"",IF(L99&lt;0.2,"Très masculine (&lt;20 % F)",IF(L99&lt;0.4,"Plutôt masculine (20-40 %)",IF(L99&lt;0.6,"Mixte (40-60 %)","À dominante féminine (≥60 %)"))))</f>
        <v>Mixte (40-60 %)</v>
      </c>
    </row>
    <row r="100" customFormat="false" ht="15" hidden="false" customHeight="false" outlineLevel="0" collapsed="false">
      <c r="A100" s="9" t="s">
        <v>623</v>
      </c>
      <c r="B100" s="9" t="s">
        <v>614</v>
      </c>
      <c r="C100" s="9" t="s">
        <v>198</v>
      </c>
      <c r="D100" s="9" t="s">
        <v>199</v>
      </c>
      <c r="E100" s="9" t="s">
        <v>200</v>
      </c>
      <c r="F100" s="9" t="s">
        <v>173</v>
      </c>
      <c r="G100" s="10" t="n">
        <v>291</v>
      </c>
      <c r="H100" s="10" t="n">
        <v>33</v>
      </c>
      <c r="I100" s="10" t="n">
        <v>10</v>
      </c>
      <c r="J100" s="10" t="n">
        <v>3</v>
      </c>
      <c r="K100" s="10" t="n">
        <f aca="false">G100+H100</f>
        <v>324</v>
      </c>
      <c r="L100" s="11" t="n">
        <f aca="false">IF(K100&gt;0,G100/K100,"")</f>
        <v>0.898148148148148</v>
      </c>
      <c r="M100" s="9" t="str">
        <f aca="false">IF(K100=0,"",IF(L100&lt;0.2,"Très masculine (&lt;20 % F)",IF(L100&lt;0.4,"Plutôt masculine (20-40 %)",IF(L100&lt;0.6,"Mixte (40-60 %)","À dominante féminine (≥60 %)"))))</f>
        <v>À dominante féminine (≥60 %)</v>
      </c>
    </row>
    <row r="101" customFormat="false" ht="15" hidden="false" customHeight="false" outlineLevel="0" collapsed="false">
      <c r="A101" s="9" t="s">
        <v>624</v>
      </c>
      <c r="B101" s="9" t="s">
        <v>614</v>
      </c>
      <c r="C101" s="9" t="s">
        <v>198</v>
      </c>
      <c r="D101" s="9" t="s">
        <v>199</v>
      </c>
      <c r="E101" s="9" t="s">
        <v>200</v>
      </c>
      <c r="F101" s="9" t="s">
        <v>173</v>
      </c>
      <c r="G101" s="10" t="n">
        <v>376</v>
      </c>
      <c r="H101" s="10" t="n">
        <v>84</v>
      </c>
      <c r="I101" s="10" t="n">
        <v>15</v>
      </c>
      <c r="J101" s="10" t="n">
        <v>10</v>
      </c>
      <c r="K101" s="10" t="n">
        <f aca="false">G101+H101</f>
        <v>460</v>
      </c>
      <c r="L101" s="11" t="n">
        <f aca="false">IF(K101&gt;0,G101/K101,"")</f>
        <v>0.817391304347826</v>
      </c>
      <c r="M101" s="9" t="str">
        <f aca="false">IF(K101=0,"",IF(L101&lt;0.2,"Très masculine (&lt;20 % F)",IF(L101&lt;0.4,"Plutôt masculine (20-40 %)",IF(L101&lt;0.6,"Mixte (40-60 %)","À dominante féminine (≥60 %)"))))</f>
        <v>À dominante féminine (≥60 %)</v>
      </c>
    </row>
    <row r="102" customFormat="false" ht="15" hidden="false" customHeight="false" outlineLevel="0" collapsed="false">
      <c r="A102" s="9" t="s">
        <v>625</v>
      </c>
      <c r="B102" s="9" t="s">
        <v>614</v>
      </c>
      <c r="C102" s="9" t="s">
        <v>198</v>
      </c>
      <c r="D102" s="9" t="s">
        <v>199</v>
      </c>
      <c r="E102" s="9" t="s">
        <v>200</v>
      </c>
      <c r="F102" s="9" t="s">
        <v>173</v>
      </c>
      <c r="G102" s="10" t="n">
        <v>12</v>
      </c>
      <c r="H102" s="10" t="n">
        <v>42</v>
      </c>
      <c r="I102" s="10" t="n">
        <v>7</v>
      </c>
      <c r="J102" s="10" t="n">
        <v>0</v>
      </c>
      <c r="K102" s="10" t="n">
        <f aca="false">G102+H102</f>
        <v>54</v>
      </c>
      <c r="L102" s="11" t="n">
        <f aca="false">IF(K102&gt;0,G102/K102,"")</f>
        <v>0.222222222222222</v>
      </c>
      <c r="M102" s="9" t="str">
        <f aca="false">IF(K102=0,"",IF(L102&lt;0.2,"Très masculine (&lt;20 % F)",IF(L102&lt;0.4,"Plutôt masculine (20-40 %)",IF(L102&lt;0.6,"Mixte (40-60 %)","À dominante féminine (≥60 %)"))))</f>
        <v>Plutôt masculine (20-40 %)</v>
      </c>
    </row>
    <row r="103" customFormat="false" ht="15" hidden="false" customHeight="false" outlineLevel="0" collapsed="false">
      <c r="A103" s="9" t="s">
        <v>626</v>
      </c>
      <c r="B103" s="9" t="s">
        <v>627</v>
      </c>
      <c r="C103" s="9" t="s">
        <v>198</v>
      </c>
      <c r="D103" s="9" t="s">
        <v>199</v>
      </c>
      <c r="E103" s="9" t="s">
        <v>200</v>
      </c>
      <c r="F103" s="9" t="s">
        <v>173</v>
      </c>
      <c r="G103" s="10" t="n">
        <v>11</v>
      </c>
      <c r="H103" s="10" t="n">
        <v>58</v>
      </c>
      <c r="I103" s="10" t="n">
        <v>20</v>
      </c>
      <c r="J103" s="10" t="n">
        <v>0</v>
      </c>
      <c r="K103" s="10" t="n">
        <f aca="false">G103+H103</f>
        <v>69</v>
      </c>
      <c r="L103" s="11" t="n">
        <f aca="false">IF(K103&gt;0,G103/K103,"")</f>
        <v>0.159420289855072</v>
      </c>
      <c r="M103" s="9" t="str">
        <f aca="false">IF(K103=0,"",IF(L103&lt;0.2,"Très masculine (&lt;20 % F)",IF(L103&lt;0.4,"Plutôt masculine (20-40 %)",IF(L103&lt;0.6,"Mixte (40-60 %)","À dominante féminine (≥60 %)"))))</f>
        <v>Très masculine (&lt;20 % F)</v>
      </c>
    </row>
    <row r="104" customFormat="false" ht="15" hidden="false" customHeight="false" outlineLevel="0" collapsed="false">
      <c r="A104" s="9" t="s">
        <v>628</v>
      </c>
      <c r="B104" s="9" t="s">
        <v>614</v>
      </c>
      <c r="C104" s="9" t="s">
        <v>198</v>
      </c>
      <c r="D104" s="9" t="s">
        <v>199</v>
      </c>
      <c r="E104" s="9" t="s">
        <v>200</v>
      </c>
      <c r="F104" s="9" t="s">
        <v>173</v>
      </c>
      <c r="G104" s="10" t="n">
        <v>386</v>
      </c>
      <c r="H104" s="10" t="n">
        <v>32</v>
      </c>
      <c r="I104" s="10" t="n">
        <v>11</v>
      </c>
      <c r="J104" s="10" t="n">
        <v>5</v>
      </c>
      <c r="K104" s="10" t="n">
        <f aca="false">G104+H104</f>
        <v>418</v>
      </c>
      <c r="L104" s="11" t="n">
        <f aca="false">IF(K104&gt;0,G104/K104,"")</f>
        <v>0.923444976076555</v>
      </c>
      <c r="M104" s="9" t="str">
        <f aca="false">IF(K104=0,"",IF(L104&lt;0.2,"Très masculine (&lt;20 % F)",IF(L104&lt;0.4,"Plutôt masculine (20-40 %)",IF(L104&lt;0.6,"Mixte (40-60 %)","À dominante féminine (≥60 %)"))))</f>
        <v>À dominante féminine (≥60 %)</v>
      </c>
    </row>
    <row r="105" customFormat="false" ht="15" hidden="false" customHeight="false" outlineLevel="0" collapsed="false">
      <c r="A105" s="9" t="s">
        <v>629</v>
      </c>
      <c r="B105" s="9" t="s">
        <v>614</v>
      </c>
      <c r="C105" s="9" t="s">
        <v>198</v>
      </c>
      <c r="D105" s="9" t="s">
        <v>199</v>
      </c>
      <c r="E105" s="9" t="s">
        <v>200</v>
      </c>
      <c r="F105" s="9" t="s">
        <v>173</v>
      </c>
      <c r="G105" s="10" t="n">
        <v>204</v>
      </c>
      <c r="H105" s="10" t="n">
        <v>19</v>
      </c>
      <c r="I105" s="10" t="n">
        <v>15</v>
      </c>
      <c r="J105" s="10" t="n">
        <v>1</v>
      </c>
      <c r="K105" s="10" t="n">
        <f aca="false">G105+H105</f>
        <v>223</v>
      </c>
      <c r="L105" s="11" t="n">
        <f aca="false">IF(K105&gt;0,G105/K105,"")</f>
        <v>0.914798206278027</v>
      </c>
      <c r="M105" s="9" t="str">
        <f aca="false">IF(K105=0,"",IF(L105&lt;0.2,"Très masculine (&lt;20 % F)",IF(L105&lt;0.4,"Plutôt masculine (20-40 %)",IF(L105&lt;0.6,"Mixte (40-60 %)","À dominante féminine (≥60 %)"))))</f>
        <v>À dominante féminine (≥60 %)</v>
      </c>
    </row>
    <row r="106" customFormat="false" ht="15" hidden="false" customHeight="false" outlineLevel="0" collapsed="false">
      <c r="A106" s="9" t="s">
        <v>630</v>
      </c>
      <c r="B106" s="9" t="s">
        <v>614</v>
      </c>
      <c r="C106" s="9" t="s">
        <v>198</v>
      </c>
      <c r="D106" s="9" t="s">
        <v>199</v>
      </c>
      <c r="E106" s="9" t="s">
        <v>200</v>
      </c>
      <c r="F106" s="9" t="s">
        <v>173</v>
      </c>
      <c r="G106" s="10" t="n">
        <v>1</v>
      </c>
      <c r="H106" s="10" t="n">
        <v>29</v>
      </c>
      <c r="I106" s="10" t="n">
        <v>10</v>
      </c>
      <c r="J106" s="10" t="n">
        <v>0</v>
      </c>
      <c r="K106" s="10" t="n">
        <f aca="false">G106+H106</f>
        <v>30</v>
      </c>
      <c r="L106" s="11" t="n">
        <f aca="false">IF(K106&gt;0,G106/K106,"")</f>
        <v>0.0333333333333333</v>
      </c>
      <c r="M106" s="9" t="str">
        <f aca="false">IF(K106=0,"",IF(L106&lt;0.2,"Très masculine (&lt;20 % F)",IF(L106&lt;0.4,"Plutôt masculine (20-40 %)",IF(L106&lt;0.6,"Mixte (40-60 %)","À dominante féminine (≥60 %)"))))</f>
        <v>Très masculine (&lt;20 % F)</v>
      </c>
    </row>
    <row r="107" customFormat="false" ht="15" hidden="false" customHeight="false" outlineLevel="0" collapsed="false">
      <c r="A107" s="9" t="s">
        <v>631</v>
      </c>
      <c r="B107" s="9" t="s">
        <v>614</v>
      </c>
      <c r="C107" s="9" t="s">
        <v>198</v>
      </c>
      <c r="D107" s="9" t="s">
        <v>199</v>
      </c>
      <c r="E107" s="9" t="s">
        <v>200</v>
      </c>
      <c r="F107" s="9" t="s">
        <v>173</v>
      </c>
      <c r="G107" s="10" t="n">
        <v>486</v>
      </c>
      <c r="H107" s="10" t="n">
        <v>382</v>
      </c>
      <c r="I107" s="10" t="n">
        <v>12</v>
      </c>
      <c r="J107" s="10" t="n">
        <v>14</v>
      </c>
      <c r="K107" s="10" t="n">
        <f aca="false">G107+H107</f>
        <v>868</v>
      </c>
      <c r="L107" s="11" t="n">
        <f aca="false">IF(K107&gt;0,G107/K107,"")</f>
        <v>0.559907834101383</v>
      </c>
      <c r="M107" s="9" t="str">
        <f aca="false">IF(K107=0,"",IF(L107&lt;0.2,"Très masculine (&lt;20 % F)",IF(L107&lt;0.4,"Plutôt masculine (20-40 %)",IF(L107&lt;0.6,"Mixte (40-60 %)","À dominante féminine (≥60 %)"))))</f>
        <v>Mixte (40-60 %)</v>
      </c>
    </row>
    <row r="108" customFormat="false" ht="15" hidden="false" customHeight="false" outlineLevel="0" collapsed="false">
      <c r="A108" s="9" t="s">
        <v>632</v>
      </c>
      <c r="B108" s="9" t="s">
        <v>614</v>
      </c>
      <c r="C108" s="9" t="s">
        <v>198</v>
      </c>
      <c r="D108" s="9" t="s">
        <v>199</v>
      </c>
      <c r="E108" s="9" t="s">
        <v>200</v>
      </c>
      <c r="F108" s="9" t="s">
        <v>173</v>
      </c>
      <c r="G108" s="10" t="n">
        <v>38</v>
      </c>
      <c r="H108" s="10" t="n">
        <v>126</v>
      </c>
      <c r="I108" s="10" t="n">
        <v>30</v>
      </c>
      <c r="J108" s="10" t="n">
        <v>0</v>
      </c>
      <c r="K108" s="10" t="n">
        <f aca="false">G108+H108</f>
        <v>164</v>
      </c>
      <c r="L108" s="11" t="n">
        <f aca="false">IF(K108&gt;0,G108/K108,"")</f>
        <v>0.231707317073171</v>
      </c>
      <c r="M108" s="9" t="str">
        <f aca="false">IF(K108=0,"",IF(L108&lt;0.2,"Très masculine (&lt;20 % F)",IF(L108&lt;0.4,"Plutôt masculine (20-40 %)",IF(L108&lt;0.6,"Mixte (40-60 %)","À dominante féminine (≥60 %)"))))</f>
        <v>Plutôt masculine (20-40 %)</v>
      </c>
    </row>
    <row r="109" customFormat="false" ht="15" hidden="false" customHeight="false" outlineLevel="0" collapsed="false">
      <c r="A109" s="9" t="s">
        <v>633</v>
      </c>
      <c r="B109" s="9" t="s">
        <v>614</v>
      </c>
      <c r="C109" s="9" t="s">
        <v>198</v>
      </c>
      <c r="D109" s="9" t="s">
        <v>199</v>
      </c>
      <c r="E109" s="9" t="s">
        <v>200</v>
      </c>
      <c r="F109" s="9" t="s">
        <v>173</v>
      </c>
      <c r="G109" s="10" t="n">
        <v>11</v>
      </c>
      <c r="H109" s="10" t="n">
        <v>92</v>
      </c>
      <c r="I109" s="10" t="n">
        <v>10</v>
      </c>
      <c r="J109" s="10" t="n">
        <v>0</v>
      </c>
      <c r="K109" s="10" t="n">
        <f aca="false">G109+H109</f>
        <v>103</v>
      </c>
      <c r="L109" s="11" t="n">
        <f aca="false">IF(K109&gt;0,G109/K109,"")</f>
        <v>0.106796116504854</v>
      </c>
      <c r="M109" s="9" t="str">
        <f aca="false">IF(K109=0,"",IF(L109&lt;0.2,"Très masculine (&lt;20 % F)",IF(L109&lt;0.4,"Plutôt masculine (20-40 %)",IF(L109&lt;0.6,"Mixte (40-60 %)","À dominante féminine (≥60 %)"))))</f>
        <v>Très masculine (&lt;20 % F)</v>
      </c>
    </row>
    <row r="110" customFormat="false" ht="15" hidden="false" customHeight="false" outlineLevel="0" collapsed="false">
      <c r="A110" s="9" t="s">
        <v>634</v>
      </c>
      <c r="B110" s="9" t="s">
        <v>614</v>
      </c>
      <c r="C110" s="9" t="s">
        <v>198</v>
      </c>
      <c r="D110" s="9" t="s">
        <v>199</v>
      </c>
      <c r="E110" s="9" t="s">
        <v>200</v>
      </c>
      <c r="F110" s="9" t="s">
        <v>173</v>
      </c>
      <c r="G110" s="10" t="n">
        <v>114</v>
      </c>
      <c r="H110" s="10" t="n">
        <v>216</v>
      </c>
      <c r="I110" s="10" t="n">
        <v>23</v>
      </c>
      <c r="J110" s="10" t="n">
        <v>1</v>
      </c>
      <c r="K110" s="10" t="n">
        <f aca="false">G110+H110</f>
        <v>330</v>
      </c>
      <c r="L110" s="11" t="n">
        <f aca="false">IF(K110&gt;0,G110/K110,"")</f>
        <v>0.345454545454545</v>
      </c>
      <c r="M110" s="9" t="str">
        <f aca="false">IF(K110=0,"",IF(L110&lt;0.2,"Très masculine (&lt;20 % F)",IF(L110&lt;0.4,"Plutôt masculine (20-40 %)",IF(L110&lt;0.6,"Mixte (40-60 %)","À dominante féminine (≥60 %)"))))</f>
        <v>Plutôt masculine (20-40 %)</v>
      </c>
    </row>
    <row r="111" customFormat="false" ht="15" hidden="false" customHeight="false" outlineLevel="0" collapsed="false">
      <c r="A111" s="9" t="s">
        <v>635</v>
      </c>
      <c r="B111" s="9" t="s">
        <v>621</v>
      </c>
      <c r="C111" s="9" t="s">
        <v>198</v>
      </c>
      <c r="D111" s="9" t="s">
        <v>199</v>
      </c>
      <c r="E111" s="9" t="s">
        <v>200</v>
      </c>
      <c r="F111" s="9" t="s">
        <v>173</v>
      </c>
      <c r="G111" s="10" t="n">
        <v>7</v>
      </c>
      <c r="H111" s="10" t="n">
        <v>19</v>
      </c>
      <c r="I111" s="10" t="n">
        <v>6</v>
      </c>
      <c r="J111" s="10" t="n">
        <v>0</v>
      </c>
      <c r="K111" s="10" t="n">
        <f aca="false">G111+H111</f>
        <v>26</v>
      </c>
      <c r="L111" s="11" t="n">
        <f aca="false">IF(K111&gt;0,G111/K111,"")</f>
        <v>0.269230769230769</v>
      </c>
      <c r="M111" s="9" t="str">
        <f aca="false">IF(K111=0,"",IF(L111&lt;0.2,"Très masculine (&lt;20 % F)",IF(L111&lt;0.4,"Plutôt masculine (20-40 %)",IF(L111&lt;0.6,"Mixte (40-60 %)","À dominante féminine (≥60 %)"))))</f>
        <v>Plutôt masculine (20-40 %)</v>
      </c>
    </row>
    <row r="112" customFormat="false" ht="15" hidden="false" customHeight="false" outlineLevel="0" collapsed="false">
      <c r="A112" s="9" t="s">
        <v>636</v>
      </c>
      <c r="B112" s="9" t="s">
        <v>614</v>
      </c>
      <c r="C112" s="9" t="s">
        <v>198</v>
      </c>
      <c r="D112" s="9" t="s">
        <v>199</v>
      </c>
      <c r="E112" s="9" t="s">
        <v>200</v>
      </c>
      <c r="F112" s="9" t="s">
        <v>173</v>
      </c>
      <c r="G112" s="10" t="n">
        <v>233</v>
      </c>
      <c r="H112" s="10" t="n">
        <v>350</v>
      </c>
      <c r="I112" s="10" t="n">
        <v>20</v>
      </c>
      <c r="J112" s="10" t="n">
        <v>1</v>
      </c>
      <c r="K112" s="10" t="n">
        <f aca="false">G112+H112</f>
        <v>583</v>
      </c>
      <c r="L112" s="11" t="n">
        <f aca="false">IF(K112&gt;0,G112/K112,"")</f>
        <v>0.399656946826758</v>
      </c>
      <c r="M112" s="9" t="str">
        <f aca="false">IF(K112=0,"",IF(L112&lt;0.2,"Très masculine (&lt;20 % F)",IF(L112&lt;0.4,"Plutôt masculine (20-40 %)",IF(L112&lt;0.6,"Mixte (40-60 %)","À dominante féminine (≥60 %)"))))</f>
        <v>Plutôt masculine (20-40 %)</v>
      </c>
    </row>
    <row r="113" customFormat="false" ht="15" hidden="false" customHeight="false" outlineLevel="0" collapsed="false">
      <c r="A113" s="9" t="s">
        <v>637</v>
      </c>
      <c r="B113" s="9" t="s">
        <v>614</v>
      </c>
      <c r="C113" s="9" t="s">
        <v>198</v>
      </c>
      <c r="D113" s="9" t="s">
        <v>199</v>
      </c>
      <c r="E113" s="9" t="s">
        <v>200</v>
      </c>
      <c r="F113" s="9" t="s">
        <v>173</v>
      </c>
      <c r="G113" s="10" t="n">
        <v>18</v>
      </c>
      <c r="H113" s="10" t="n">
        <v>74</v>
      </c>
      <c r="I113" s="10" t="n">
        <v>12</v>
      </c>
      <c r="J113" s="10" t="n">
        <v>1</v>
      </c>
      <c r="K113" s="10" t="n">
        <f aca="false">G113+H113</f>
        <v>92</v>
      </c>
      <c r="L113" s="11" t="n">
        <f aca="false">IF(K113&gt;0,G113/K113,"")</f>
        <v>0.195652173913044</v>
      </c>
      <c r="M113" s="9" t="str">
        <f aca="false">IF(K113=0,"",IF(L113&lt;0.2,"Très masculine (&lt;20 % F)",IF(L113&lt;0.4,"Plutôt masculine (20-40 %)",IF(L113&lt;0.6,"Mixte (40-60 %)","À dominante féminine (≥60 %)"))))</f>
        <v>Très masculine (&lt;20 % F)</v>
      </c>
    </row>
    <row r="114" customFormat="false" ht="15" hidden="false" customHeight="false" outlineLevel="0" collapsed="false">
      <c r="A114" s="9" t="s">
        <v>638</v>
      </c>
      <c r="B114" s="9" t="s">
        <v>614</v>
      </c>
      <c r="C114" s="9" t="s">
        <v>198</v>
      </c>
      <c r="D114" s="9" t="s">
        <v>199</v>
      </c>
      <c r="E114" s="9" t="s">
        <v>200</v>
      </c>
      <c r="F114" s="9" t="s">
        <v>173</v>
      </c>
      <c r="G114" s="10" t="n">
        <v>220</v>
      </c>
      <c r="H114" s="10" t="n">
        <v>418</v>
      </c>
      <c r="I114" s="10" t="n">
        <v>14</v>
      </c>
      <c r="J114" s="10" t="n">
        <v>8</v>
      </c>
      <c r="K114" s="10" t="n">
        <f aca="false">G114+H114</f>
        <v>638</v>
      </c>
      <c r="L114" s="11" t="n">
        <f aca="false">IF(K114&gt;0,G114/K114,"")</f>
        <v>0.344827586206897</v>
      </c>
      <c r="M114" s="9" t="str">
        <f aca="false">IF(K114=0,"",IF(L114&lt;0.2,"Très masculine (&lt;20 % F)",IF(L114&lt;0.4,"Plutôt masculine (20-40 %)",IF(L114&lt;0.6,"Mixte (40-60 %)","À dominante féminine (≥60 %)"))))</f>
        <v>Plutôt masculine (20-40 %)</v>
      </c>
    </row>
    <row r="115" customFormat="false" ht="15" hidden="false" customHeight="false" outlineLevel="0" collapsed="false">
      <c r="A115" s="9" t="s">
        <v>639</v>
      </c>
      <c r="B115" s="9" t="s">
        <v>614</v>
      </c>
      <c r="C115" s="9" t="s">
        <v>198</v>
      </c>
      <c r="D115" s="9" t="s">
        <v>199</v>
      </c>
      <c r="E115" s="9" t="s">
        <v>200</v>
      </c>
      <c r="F115" s="9" t="s">
        <v>173</v>
      </c>
      <c r="G115" s="10" t="n">
        <v>40</v>
      </c>
      <c r="H115" s="10" t="n">
        <v>110</v>
      </c>
      <c r="I115" s="10" t="n">
        <v>15</v>
      </c>
      <c r="J115" s="10" t="n">
        <v>0</v>
      </c>
      <c r="K115" s="10" t="n">
        <f aca="false">G115+H115</f>
        <v>150</v>
      </c>
      <c r="L115" s="11" t="n">
        <f aca="false">IF(K115&gt;0,G115/K115,"")</f>
        <v>0.266666666666667</v>
      </c>
      <c r="M115" s="9" t="str">
        <f aca="false">IF(K115=0,"",IF(L115&lt;0.2,"Très masculine (&lt;20 % F)",IF(L115&lt;0.4,"Plutôt masculine (20-40 %)",IF(L115&lt;0.6,"Mixte (40-60 %)","À dominante féminine (≥60 %)"))))</f>
        <v>Plutôt masculine (20-40 %)</v>
      </c>
    </row>
    <row r="116" customFormat="false" ht="15" hidden="false" customHeight="false" outlineLevel="0" collapsed="false">
      <c r="A116" s="9" t="s">
        <v>640</v>
      </c>
      <c r="B116" s="9" t="s">
        <v>614</v>
      </c>
      <c r="C116" s="9" t="s">
        <v>198</v>
      </c>
      <c r="D116" s="9" t="s">
        <v>199</v>
      </c>
      <c r="E116" s="9" t="s">
        <v>200</v>
      </c>
      <c r="F116" s="9" t="s">
        <v>173</v>
      </c>
      <c r="G116" s="10" t="n">
        <v>25</v>
      </c>
      <c r="H116" s="10" t="n">
        <v>46</v>
      </c>
      <c r="I116" s="10" t="n">
        <v>10</v>
      </c>
      <c r="J116" s="10" t="n">
        <v>0</v>
      </c>
      <c r="K116" s="10" t="n">
        <f aca="false">G116+H116</f>
        <v>71</v>
      </c>
      <c r="L116" s="11" t="n">
        <f aca="false">IF(K116&gt;0,G116/K116,"")</f>
        <v>0.352112676056338</v>
      </c>
      <c r="M116" s="9" t="str">
        <f aca="false">IF(K116=0,"",IF(L116&lt;0.2,"Très masculine (&lt;20 % F)",IF(L116&lt;0.4,"Plutôt masculine (20-40 %)",IF(L116&lt;0.6,"Mixte (40-60 %)","À dominante féminine (≥60 %)"))))</f>
        <v>Plutôt masculine (20-40 %)</v>
      </c>
    </row>
    <row r="117" customFormat="false" ht="15" hidden="false" customHeight="false" outlineLevel="0" collapsed="false">
      <c r="A117" s="9" t="s">
        <v>641</v>
      </c>
      <c r="B117" s="9" t="s">
        <v>614</v>
      </c>
      <c r="C117" s="9" t="s">
        <v>198</v>
      </c>
      <c r="D117" s="9" t="s">
        <v>199</v>
      </c>
      <c r="E117" s="9" t="s">
        <v>200</v>
      </c>
      <c r="F117" s="9" t="s">
        <v>173</v>
      </c>
      <c r="G117" s="10" t="n">
        <v>74</v>
      </c>
      <c r="H117" s="10" t="n">
        <v>31</v>
      </c>
      <c r="I117" s="10" t="n">
        <v>15</v>
      </c>
      <c r="J117" s="10" t="n">
        <v>0</v>
      </c>
      <c r="K117" s="10" t="n">
        <f aca="false">G117+H117</f>
        <v>105</v>
      </c>
      <c r="L117" s="11" t="n">
        <f aca="false">IF(K117&gt;0,G117/K117,"")</f>
        <v>0.704761904761905</v>
      </c>
      <c r="M117" s="9" t="str">
        <f aca="false">IF(K117=0,"",IF(L117&lt;0.2,"Très masculine (&lt;20 % F)",IF(L117&lt;0.4,"Plutôt masculine (20-40 %)",IF(L117&lt;0.6,"Mixte (40-60 %)","À dominante féminine (≥60 %)"))))</f>
        <v>À dominante féminine (≥60 %)</v>
      </c>
    </row>
    <row r="118" customFormat="false" ht="15" hidden="false" customHeight="false" outlineLevel="0" collapsed="false">
      <c r="A118" s="9" t="s">
        <v>642</v>
      </c>
      <c r="B118" s="9" t="s">
        <v>643</v>
      </c>
      <c r="C118" s="9" t="s">
        <v>201</v>
      </c>
      <c r="D118" s="9" t="s">
        <v>202</v>
      </c>
      <c r="E118" s="9" t="s">
        <v>155</v>
      </c>
      <c r="F118" s="9" t="s">
        <v>156</v>
      </c>
      <c r="G118" s="10" t="n">
        <v>5</v>
      </c>
      <c r="H118" s="10" t="n">
        <v>19</v>
      </c>
      <c r="I118" s="10" t="n">
        <v>5</v>
      </c>
      <c r="J118" s="10" t="n">
        <v>0</v>
      </c>
      <c r="K118" s="10" t="n">
        <f aca="false">G118+H118</f>
        <v>24</v>
      </c>
      <c r="L118" s="11" t="n">
        <f aca="false">IF(K118&gt;0,G118/K118,"")</f>
        <v>0.208333333333333</v>
      </c>
      <c r="M118" s="9" t="str">
        <f aca="false">IF(K118=0,"",IF(L118&lt;0.2,"Très masculine (&lt;20 % F)",IF(L118&lt;0.4,"Plutôt masculine (20-40 %)",IF(L118&lt;0.6,"Mixte (40-60 %)","À dominante féminine (≥60 %)"))))</f>
        <v>Plutôt masculine (20-40 %)</v>
      </c>
    </row>
    <row r="119" customFormat="false" ht="15" hidden="false" customHeight="false" outlineLevel="0" collapsed="false">
      <c r="A119" s="9" t="s">
        <v>644</v>
      </c>
      <c r="B119" s="9" t="s">
        <v>643</v>
      </c>
      <c r="C119" s="9" t="s">
        <v>201</v>
      </c>
      <c r="D119" s="9" t="s">
        <v>202</v>
      </c>
      <c r="E119" s="9" t="s">
        <v>155</v>
      </c>
      <c r="F119" s="9" t="s">
        <v>156</v>
      </c>
      <c r="G119" s="10" t="n">
        <v>7</v>
      </c>
      <c r="H119" s="10" t="n">
        <v>40</v>
      </c>
      <c r="I119" s="10" t="n">
        <v>4</v>
      </c>
      <c r="J119" s="10" t="n">
        <v>0</v>
      </c>
      <c r="K119" s="10" t="n">
        <f aca="false">G119+H119</f>
        <v>47</v>
      </c>
      <c r="L119" s="11" t="n">
        <f aca="false">IF(K119&gt;0,G119/K119,"")</f>
        <v>0.148936170212766</v>
      </c>
      <c r="M119" s="9" t="str">
        <f aca="false">IF(K119=0,"",IF(L119&lt;0.2,"Très masculine (&lt;20 % F)",IF(L119&lt;0.4,"Plutôt masculine (20-40 %)",IF(L119&lt;0.6,"Mixte (40-60 %)","À dominante féminine (≥60 %)"))))</f>
        <v>Très masculine (&lt;20 % F)</v>
      </c>
    </row>
    <row r="120" customFormat="false" ht="15" hidden="false" customHeight="false" outlineLevel="0" collapsed="false">
      <c r="A120" s="9" t="s">
        <v>645</v>
      </c>
      <c r="B120" s="9" t="s">
        <v>643</v>
      </c>
      <c r="C120" s="9" t="s">
        <v>201</v>
      </c>
      <c r="D120" s="9" t="s">
        <v>202</v>
      </c>
      <c r="E120" s="9" t="s">
        <v>155</v>
      </c>
      <c r="F120" s="9" t="s">
        <v>156</v>
      </c>
      <c r="G120" s="10" t="n">
        <v>43</v>
      </c>
      <c r="H120" s="10" t="n">
        <v>124</v>
      </c>
      <c r="I120" s="10" t="n">
        <v>7</v>
      </c>
      <c r="J120" s="10" t="n">
        <v>3</v>
      </c>
      <c r="K120" s="10" t="n">
        <f aca="false">G120+H120</f>
        <v>167</v>
      </c>
      <c r="L120" s="11" t="n">
        <f aca="false">IF(K120&gt;0,G120/K120,"")</f>
        <v>0.25748502994012</v>
      </c>
      <c r="M120" s="9" t="str">
        <f aca="false">IF(K120=0,"",IF(L120&lt;0.2,"Très masculine (&lt;20 % F)",IF(L120&lt;0.4,"Plutôt masculine (20-40 %)",IF(L120&lt;0.6,"Mixte (40-60 %)","À dominante féminine (≥60 %)"))))</f>
        <v>Plutôt masculine (20-40 %)</v>
      </c>
    </row>
    <row r="121" customFormat="false" ht="15" hidden="false" customHeight="false" outlineLevel="0" collapsed="false">
      <c r="A121" s="9" t="s">
        <v>646</v>
      </c>
      <c r="B121" s="9" t="s">
        <v>647</v>
      </c>
      <c r="C121" s="9" t="s">
        <v>205</v>
      </c>
      <c r="D121" s="9" t="s">
        <v>206</v>
      </c>
      <c r="E121" s="9" t="s">
        <v>100</v>
      </c>
      <c r="F121" s="9" t="s">
        <v>102</v>
      </c>
      <c r="G121" s="10" t="n">
        <v>5</v>
      </c>
      <c r="H121" s="10" t="n">
        <v>25</v>
      </c>
      <c r="I121" s="10" t="n">
        <v>30</v>
      </c>
      <c r="J121" s="10" t="n">
        <v>0</v>
      </c>
      <c r="K121" s="10" t="n">
        <f aca="false">G121+H121</f>
        <v>30</v>
      </c>
      <c r="L121" s="11" t="n">
        <f aca="false">IF(K121&gt;0,G121/K121,"")</f>
        <v>0.166666666666667</v>
      </c>
      <c r="M121" s="9" t="str">
        <f aca="false">IF(K121=0,"",IF(L121&lt;0.2,"Très masculine (&lt;20 % F)",IF(L121&lt;0.4,"Plutôt masculine (20-40 %)",IF(L121&lt;0.6,"Mixte (40-60 %)","À dominante féminine (≥60 %)"))))</f>
        <v>Très masculine (&lt;20 % F)</v>
      </c>
    </row>
    <row r="122" customFormat="false" ht="15" hidden="false" customHeight="false" outlineLevel="0" collapsed="false">
      <c r="A122" s="9" t="s">
        <v>648</v>
      </c>
      <c r="B122" s="9" t="s">
        <v>647</v>
      </c>
      <c r="C122" s="9" t="s">
        <v>205</v>
      </c>
      <c r="D122" s="9" t="s">
        <v>206</v>
      </c>
      <c r="E122" s="9" t="s">
        <v>100</v>
      </c>
      <c r="F122" s="9" t="s">
        <v>102</v>
      </c>
      <c r="G122" s="10" t="n">
        <v>25</v>
      </c>
      <c r="H122" s="10" t="n">
        <v>65</v>
      </c>
      <c r="I122" s="10" t="n">
        <v>15</v>
      </c>
      <c r="J122" s="10" t="n">
        <v>0</v>
      </c>
      <c r="K122" s="10" t="n">
        <f aca="false">G122+H122</f>
        <v>90</v>
      </c>
      <c r="L122" s="11" t="n">
        <f aca="false">IF(K122&gt;0,G122/K122,"")</f>
        <v>0.277777777777778</v>
      </c>
      <c r="M122" s="9" t="str">
        <f aca="false">IF(K122=0,"",IF(L122&lt;0.2,"Très masculine (&lt;20 % F)",IF(L122&lt;0.4,"Plutôt masculine (20-40 %)",IF(L122&lt;0.6,"Mixte (40-60 %)","À dominante féminine (≥60 %)"))))</f>
        <v>Plutôt masculine (20-40 %)</v>
      </c>
    </row>
    <row r="123" customFormat="false" ht="15" hidden="false" customHeight="false" outlineLevel="0" collapsed="false">
      <c r="A123" s="9" t="s">
        <v>649</v>
      </c>
      <c r="B123" s="9" t="s">
        <v>650</v>
      </c>
      <c r="C123" s="9" t="s">
        <v>207</v>
      </c>
      <c r="D123" s="9" t="s">
        <v>208</v>
      </c>
      <c r="E123" s="9" t="s">
        <v>133</v>
      </c>
      <c r="F123" s="9" t="s">
        <v>134</v>
      </c>
      <c r="G123" s="10" t="n">
        <v>340</v>
      </c>
      <c r="H123" s="10" t="n">
        <v>48</v>
      </c>
      <c r="I123" s="10" t="n">
        <v>4</v>
      </c>
      <c r="J123" s="10" t="n">
        <v>4</v>
      </c>
      <c r="K123" s="10" t="n">
        <f aca="false">G123+H123</f>
        <v>388</v>
      </c>
      <c r="L123" s="11" t="n">
        <f aca="false">IF(K123&gt;0,G123/K123,"")</f>
        <v>0.876288659793814</v>
      </c>
      <c r="M123" s="9" t="str">
        <f aca="false">IF(K123=0,"",IF(L123&lt;0.2,"Très masculine (&lt;20 % F)",IF(L123&lt;0.4,"Plutôt masculine (20-40 %)",IF(L123&lt;0.6,"Mixte (40-60 %)","À dominante féminine (≥60 %)"))))</f>
        <v>À dominante féminine (≥60 %)</v>
      </c>
    </row>
    <row r="124" customFormat="false" ht="15" hidden="false" customHeight="false" outlineLevel="0" collapsed="false">
      <c r="A124" s="9" t="s">
        <v>651</v>
      </c>
      <c r="B124" s="9" t="s">
        <v>650</v>
      </c>
      <c r="C124" s="9" t="s">
        <v>207</v>
      </c>
      <c r="D124" s="9" t="s">
        <v>208</v>
      </c>
      <c r="E124" s="9" t="s">
        <v>133</v>
      </c>
      <c r="F124" s="9" t="s">
        <v>134</v>
      </c>
      <c r="G124" s="10" t="n">
        <v>4</v>
      </c>
      <c r="H124" s="10" t="n">
        <v>35</v>
      </c>
      <c r="I124" s="10" t="n">
        <v>4</v>
      </c>
      <c r="J124" s="10" t="n">
        <v>0</v>
      </c>
      <c r="K124" s="10" t="n">
        <f aca="false">G124+H124</f>
        <v>39</v>
      </c>
      <c r="L124" s="11" t="n">
        <f aca="false">IF(K124&gt;0,G124/K124,"")</f>
        <v>0.102564102564103</v>
      </c>
      <c r="M124" s="9" t="str">
        <f aca="false">IF(K124=0,"",IF(L124&lt;0.2,"Très masculine (&lt;20 % F)",IF(L124&lt;0.4,"Plutôt masculine (20-40 %)",IF(L124&lt;0.6,"Mixte (40-60 %)","À dominante féminine (≥60 %)"))))</f>
        <v>Très masculine (&lt;20 % F)</v>
      </c>
    </row>
    <row r="125" customFormat="false" ht="15" hidden="false" customHeight="false" outlineLevel="0" collapsed="false">
      <c r="A125" s="9" t="s">
        <v>652</v>
      </c>
      <c r="B125" s="9" t="s">
        <v>650</v>
      </c>
      <c r="C125" s="9" t="s">
        <v>207</v>
      </c>
      <c r="D125" s="9" t="s">
        <v>208</v>
      </c>
      <c r="E125" s="9" t="s">
        <v>133</v>
      </c>
      <c r="F125" s="9" t="s">
        <v>134</v>
      </c>
      <c r="G125" s="10" t="n">
        <v>3</v>
      </c>
      <c r="H125" s="10" t="n">
        <v>23</v>
      </c>
      <c r="I125" s="10" t="n">
        <v>0</v>
      </c>
      <c r="J125" s="10" t="n">
        <v>0</v>
      </c>
      <c r="K125" s="10" t="n">
        <f aca="false">G125+H125</f>
        <v>26</v>
      </c>
      <c r="L125" s="11" t="n">
        <f aca="false">IF(K125&gt;0,G125/K125,"")</f>
        <v>0.115384615384615</v>
      </c>
      <c r="M125" s="9" t="str">
        <f aca="false">IF(K125=0,"",IF(L125&lt;0.2,"Très masculine (&lt;20 % F)",IF(L125&lt;0.4,"Plutôt masculine (20-40 %)",IF(L125&lt;0.6,"Mixte (40-60 %)","À dominante féminine (≥60 %)"))))</f>
        <v>Très masculine (&lt;20 % F)</v>
      </c>
    </row>
    <row r="126" customFormat="false" ht="15" hidden="false" customHeight="false" outlineLevel="0" collapsed="false">
      <c r="A126" s="9" t="s">
        <v>653</v>
      </c>
      <c r="B126" s="9" t="s">
        <v>654</v>
      </c>
      <c r="C126" s="9" t="s">
        <v>210</v>
      </c>
      <c r="D126" s="9" t="s">
        <v>211</v>
      </c>
      <c r="E126" s="9" t="s">
        <v>106</v>
      </c>
      <c r="F126" s="9" t="s">
        <v>108</v>
      </c>
      <c r="G126" s="10" t="n">
        <v>82</v>
      </c>
      <c r="H126" s="10" t="n">
        <v>223</v>
      </c>
      <c r="I126" s="10" t="n">
        <v>8</v>
      </c>
      <c r="J126" s="10" t="n">
        <v>10</v>
      </c>
      <c r="K126" s="10" t="n">
        <f aca="false">G126+H126</f>
        <v>305</v>
      </c>
      <c r="L126" s="11" t="n">
        <f aca="false">IF(K126&gt;0,G126/K126,"")</f>
        <v>0.268852459016393</v>
      </c>
      <c r="M126" s="9" t="str">
        <f aca="false">IF(K126=0,"",IF(L126&lt;0.2,"Très masculine (&lt;20 % F)",IF(L126&lt;0.4,"Plutôt masculine (20-40 %)",IF(L126&lt;0.6,"Mixte (40-60 %)","À dominante féminine (≥60 %)"))))</f>
        <v>Plutôt masculine (20-40 %)</v>
      </c>
    </row>
    <row r="127" customFormat="false" ht="15" hidden="false" customHeight="false" outlineLevel="0" collapsed="false">
      <c r="A127" s="9" t="s">
        <v>655</v>
      </c>
      <c r="B127" s="9" t="s">
        <v>656</v>
      </c>
      <c r="C127" s="9" t="s">
        <v>219</v>
      </c>
      <c r="D127" s="9" t="s">
        <v>220</v>
      </c>
      <c r="E127" s="9" t="s">
        <v>106</v>
      </c>
      <c r="F127" s="9" t="s">
        <v>108</v>
      </c>
      <c r="G127" s="10" t="n">
        <v>75</v>
      </c>
      <c r="H127" s="10" t="n">
        <v>188</v>
      </c>
      <c r="I127" s="10" t="n">
        <v>141</v>
      </c>
      <c r="J127" s="10" t="n">
        <v>3</v>
      </c>
      <c r="K127" s="10" t="n">
        <f aca="false">G127+H127</f>
        <v>263</v>
      </c>
      <c r="L127" s="11" t="n">
        <f aca="false">IF(K127&gt;0,G127/K127,"")</f>
        <v>0.285171102661597</v>
      </c>
      <c r="M127" s="9" t="str">
        <f aca="false">IF(K127=0,"",IF(L127&lt;0.2,"Très masculine (&lt;20 % F)",IF(L127&lt;0.4,"Plutôt masculine (20-40 %)",IF(L127&lt;0.6,"Mixte (40-60 %)","À dominante féminine (≥60 %)"))))</f>
        <v>Plutôt masculine (20-40 %)</v>
      </c>
    </row>
    <row r="128" customFormat="false" ht="15" hidden="false" customHeight="false" outlineLevel="0" collapsed="false">
      <c r="A128" s="9" t="s">
        <v>657</v>
      </c>
      <c r="B128" s="9" t="s">
        <v>658</v>
      </c>
      <c r="C128" s="9" t="s">
        <v>227</v>
      </c>
      <c r="D128" s="9" t="s">
        <v>228</v>
      </c>
      <c r="E128" s="9" t="s">
        <v>229</v>
      </c>
      <c r="F128" s="9" t="s">
        <v>152</v>
      </c>
      <c r="G128" s="10" t="n">
        <v>3779</v>
      </c>
      <c r="H128" s="10" t="n">
        <v>2055</v>
      </c>
      <c r="I128" s="10" t="n">
        <v>203</v>
      </c>
      <c r="J128" s="10" t="n">
        <v>46</v>
      </c>
      <c r="K128" s="10" t="n">
        <f aca="false">G128+H128</f>
        <v>5834</v>
      </c>
      <c r="L128" s="11" t="n">
        <f aca="false">IF(K128&gt;0,G128/K128,"")</f>
        <v>0.647754542338019</v>
      </c>
      <c r="M128" s="9" t="str">
        <f aca="false">IF(K128=0,"",IF(L128&lt;0.2,"Très masculine (&lt;20 % F)",IF(L128&lt;0.4,"Plutôt masculine (20-40 %)",IF(L128&lt;0.6,"Mixte (40-60 %)","À dominante féminine (≥60 %)"))))</f>
        <v>À dominante féminine (≥60 %)</v>
      </c>
    </row>
    <row r="129" customFormat="false" ht="15" hidden="false" customHeight="false" outlineLevel="0" collapsed="false">
      <c r="A129" s="9" t="s">
        <v>659</v>
      </c>
      <c r="B129" s="9" t="s">
        <v>660</v>
      </c>
      <c r="C129" s="9" t="s">
        <v>234</v>
      </c>
      <c r="D129" s="9" t="s">
        <v>235</v>
      </c>
      <c r="E129" s="9" t="s">
        <v>106</v>
      </c>
      <c r="F129" s="9" t="s">
        <v>173</v>
      </c>
      <c r="G129" s="10" t="n">
        <v>34</v>
      </c>
      <c r="H129" s="10" t="n">
        <v>468</v>
      </c>
      <c r="I129" s="10" t="n">
        <v>40</v>
      </c>
      <c r="J129" s="10" t="n">
        <v>0</v>
      </c>
      <c r="K129" s="10" t="n">
        <f aca="false">G129+H129</f>
        <v>502</v>
      </c>
      <c r="L129" s="11" t="n">
        <f aca="false">IF(K129&gt;0,G129/K129,"")</f>
        <v>0.0677290836653386</v>
      </c>
      <c r="M129" s="9" t="str">
        <f aca="false">IF(K129=0,"",IF(L129&lt;0.2,"Très masculine (&lt;20 % F)",IF(L129&lt;0.4,"Plutôt masculine (20-40 %)",IF(L129&lt;0.6,"Mixte (40-60 %)","À dominante féminine (≥60 %)"))))</f>
        <v>Très masculine (&lt;20 % F)</v>
      </c>
    </row>
    <row r="130" customFormat="false" ht="15" hidden="false" customHeight="false" outlineLevel="0" collapsed="false">
      <c r="A130" s="9" t="s">
        <v>661</v>
      </c>
      <c r="B130" s="9" t="s">
        <v>660</v>
      </c>
      <c r="C130" s="9" t="s">
        <v>234</v>
      </c>
      <c r="D130" s="9" t="s">
        <v>235</v>
      </c>
      <c r="E130" s="9" t="s">
        <v>106</v>
      </c>
      <c r="F130" s="9" t="s">
        <v>173</v>
      </c>
      <c r="G130" s="10" t="n">
        <v>134</v>
      </c>
      <c r="H130" s="10" t="n">
        <v>24</v>
      </c>
      <c r="I130" s="10" t="n">
        <v>6</v>
      </c>
      <c r="J130" s="10" t="n">
        <v>3</v>
      </c>
      <c r="K130" s="10" t="n">
        <f aca="false">G130+H130</f>
        <v>158</v>
      </c>
      <c r="L130" s="11" t="n">
        <f aca="false">IF(K130&gt;0,G130/K130,"")</f>
        <v>0.848101265822785</v>
      </c>
      <c r="M130" s="9" t="str">
        <f aca="false">IF(K130=0,"",IF(L130&lt;0.2,"Très masculine (&lt;20 % F)",IF(L130&lt;0.4,"Plutôt masculine (20-40 %)",IF(L130&lt;0.6,"Mixte (40-60 %)","À dominante féminine (≥60 %)"))))</f>
        <v>À dominante féminine (≥60 %)</v>
      </c>
    </row>
    <row r="131" customFormat="false" ht="15" hidden="false" customHeight="false" outlineLevel="0" collapsed="false">
      <c r="A131" s="9" t="s">
        <v>662</v>
      </c>
      <c r="B131" s="9" t="s">
        <v>660</v>
      </c>
      <c r="C131" s="9" t="s">
        <v>234</v>
      </c>
      <c r="D131" s="9" t="s">
        <v>235</v>
      </c>
      <c r="E131" s="9" t="s">
        <v>106</v>
      </c>
      <c r="F131" s="9" t="s">
        <v>173</v>
      </c>
      <c r="G131" s="10" t="n">
        <v>65</v>
      </c>
      <c r="H131" s="10" t="n">
        <v>6</v>
      </c>
      <c r="I131" s="10" t="n">
        <v>12</v>
      </c>
      <c r="J131" s="10" t="n">
        <v>3</v>
      </c>
      <c r="K131" s="10" t="n">
        <f aca="false">G131+H131</f>
        <v>71</v>
      </c>
      <c r="L131" s="11" t="n">
        <f aca="false">IF(K131&gt;0,G131/K131,"")</f>
        <v>0.915492957746479</v>
      </c>
      <c r="M131" s="9" t="str">
        <f aca="false">IF(K131=0,"",IF(L131&lt;0.2,"Très masculine (&lt;20 % F)",IF(L131&lt;0.4,"Plutôt masculine (20-40 %)",IF(L131&lt;0.6,"Mixte (40-60 %)","À dominante féminine (≥60 %)"))))</f>
        <v>À dominante féminine (≥60 %)</v>
      </c>
    </row>
    <row r="132" customFormat="false" ht="15" hidden="false" customHeight="false" outlineLevel="0" collapsed="false">
      <c r="A132" s="9" t="s">
        <v>663</v>
      </c>
      <c r="B132" s="9" t="s">
        <v>660</v>
      </c>
      <c r="C132" s="9" t="s">
        <v>234</v>
      </c>
      <c r="D132" s="9" t="s">
        <v>235</v>
      </c>
      <c r="E132" s="9" t="s">
        <v>106</v>
      </c>
      <c r="F132" s="9" t="s">
        <v>173</v>
      </c>
      <c r="G132" s="10" t="n">
        <v>100</v>
      </c>
      <c r="H132" s="10" t="n">
        <v>147</v>
      </c>
      <c r="I132" s="10" t="n">
        <v>1</v>
      </c>
      <c r="J132" s="10" t="n">
        <v>5</v>
      </c>
      <c r="K132" s="10" t="n">
        <f aca="false">G132+H132</f>
        <v>247</v>
      </c>
      <c r="L132" s="11" t="n">
        <f aca="false">IF(K132&gt;0,G132/K132,"")</f>
        <v>0.404858299595142</v>
      </c>
      <c r="M132" s="9" t="str">
        <f aca="false">IF(K132=0,"",IF(L132&lt;0.2,"Très masculine (&lt;20 % F)",IF(L132&lt;0.4,"Plutôt masculine (20-40 %)",IF(L132&lt;0.6,"Mixte (40-60 %)","À dominante féminine (≥60 %)"))))</f>
        <v>Mixte (40-60 %)</v>
      </c>
    </row>
    <row r="133" customFormat="false" ht="15" hidden="false" customHeight="false" outlineLevel="0" collapsed="false">
      <c r="A133" s="9" t="s">
        <v>664</v>
      </c>
      <c r="B133" s="9" t="s">
        <v>665</v>
      </c>
      <c r="C133" s="9" t="s">
        <v>236</v>
      </c>
      <c r="D133" s="9" t="s">
        <v>237</v>
      </c>
      <c r="E133" s="9" t="s">
        <v>237</v>
      </c>
      <c r="F133" s="9" t="s">
        <v>116</v>
      </c>
      <c r="G133" s="10" t="n">
        <v>327</v>
      </c>
      <c r="H133" s="10" t="n">
        <v>69</v>
      </c>
      <c r="I133" s="10" t="n">
        <v>32</v>
      </c>
      <c r="J133" s="10" t="n">
        <v>8</v>
      </c>
      <c r="K133" s="10" t="n">
        <f aca="false">G133+H133</f>
        <v>396</v>
      </c>
      <c r="L133" s="11" t="n">
        <f aca="false">IF(K133&gt;0,G133/K133,"")</f>
        <v>0.825757575757576</v>
      </c>
      <c r="M133" s="9" t="str">
        <f aca="false">IF(K133=0,"",IF(L133&lt;0.2,"Très masculine (&lt;20 % F)",IF(L133&lt;0.4,"Plutôt masculine (20-40 %)",IF(L133&lt;0.6,"Mixte (40-60 %)","À dominante féminine (≥60 %)"))))</f>
        <v>À dominante féminine (≥60 %)</v>
      </c>
    </row>
    <row r="134" customFormat="false" ht="15" hidden="false" customHeight="false" outlineLevel="0" collapsed="false">
      <c r="A134" s="9" t="s">
        <v>666</v>
      </c>
      <c r="B134" s="9" t="s">
        <v>665</v>
      </c>
      <c r="C134" s="9" t="s">
        <v>236</v>
      </c>
      <c r="D134" s="9" t="s">
        <v>237</v>
      </c>
      <c r="E134" s="9" t="s">
        <v>237</v>
      </c>
      <c r="F134" s="9" t="s">
        <v>116</v>
      </c>
      <c r="G134" s="10" t="n">
        <v>46</v>
      </c>
      <c r="H134" s="10" t="n">
        <v>64</v>
      </c>
      <c r="I134" s="10" t="n">
        <v>3</v>
      </c>
      <c r="J134" s="10" t="n">
        <v>0</v>
      </c>
      <c r="K134" s="10" t="n">
        <f aca="false">G134+H134</f>
        <v>110</v>
      </c>
      <c r="L134" s="11" t="n">
        <f aca="false">IF(K134&gt;0,G134/K134,"")</f>
        <v>0.418181818181818</v>
      </c>
      <c r="M134" s="9" t="str">
        <f aca="false">IF(K134=0,"",IF(L134&lt;0.2,"Très masculine (&lt;20 % F)",IF(L134&lt;0.4,"Plutôt masculine (20-40 %)",IF(L134&lt;0.6,"Mixte (40-60 %)","À dominante féminine (≥60 %)"))))</f>
        <v>Mixte (40-60 %)</v>
      </c>
    </row>
    <row r="135" customFormat="false" ht="15" hidden="false" customHeight="false" outlineLevel="0" collapsed="false">
      <c r="A135" s="9" t="s">
        <v>667</v>
      </c>
      <c r="B135" s="9" t="s">
        <v>665</v>
      </c>
      <c r="C135" s="9" t="s">
        <v>236</v>
      </c>
      <c r="D135" s="9" t="s">
        <v>237</v>
      </c>
      <c r="E135" s="9" t="s">
        <v>237</v>
      </c>
      <c r="F135" s="9" t="s">
        <v>116</v>
      </c>
      <c r="G135" s="10" t="n">
        <v>0</v>
      </c>
      <c r="H135" s="10" t="n">
        <v>23</v>
      </c>
      <c r="I135" s="10" t="n">
        <v>23</v>
      </c>
      <c r="J135" s="10" t="n">
        <v>0</v>
      </c>
      <c r="K135" s="10" t="n">
        <f aca="false">G135+H135</f>
        <v>23</v>
      </c>
      <c r="L135" s="11" t="n">
        <f aca="false">IF(K135&gt;0,G135/K135,"")</f>
        <v>0</v>
      </c>
      <c r="M135" s="9" t="str">
        <f aca="false">IF(K135=0,"",IF(L135&lt;0.2,"Très masculine (&lt;20 % F)",IF(L135&lt;0.4,"Plutôt masculine (20-40 %)",IF(L135&lt;0.6,"Mixte (40-60 %)","À dominante féminine (≥60 %)"))))</f>
        <v>Très masculine (&lt;20 % F)</v>
      </c>
    </row>
    <row r="136" customFormat="false" ht="15" hidden="false" customHeight="false" outlineLevel="0" collapsed="false">
      <c r="A136" s="9" t="s">
        <v>668</v>
      </c>
      <c r="B136" s="9" t="s">
        <v>665</v>
      </c>
      <c r="C136" s="9" t="s">
        <v>236</v>
      </c>
      <c r="D136" s="9" t="s">
        <v>237</v>
      </c>
      <c r="E136" s="9" t="s">
        <v>237</v>
      </c>
      <c r="F136" s="9" t="s">
        <v>116</v>
      </c>
      <c r="G136" s="10" t="n">
        <v>86</v>
      </c>
      <c r="H136" s="10" t="n">
        <v>180</v>
      </c>
      <c r="I136" s="10" t="n">
        <v>15</v>
      </c>
      <c r="J136" s="10" t="n">
        <v>3</v>
      </c>
      <c r="K136" s="10" t="n">
        <f aca="false">G136+H136</f>
        <v>266</v>
      </c>
      <c r="L136" s="11" t="n">
        <f aca="false">IF(K136&gt;0,G136/K136,"")</f>
        <v>0.323308270676692</v>
      </c>
      <c r="M136" s="9" t="str">
        <f aca="false">IF(K136=0,"",IF(L136&lt;0.2,"Très masculine (&lt;20 % F)",IF(L136&lt;0.4,"Plutôt masculine (20-40 %)",IF(L136&lt;0.6,"Mixte (40-60 %)","À dominante féminine (≥60 %)"))))</f>
        <v>Plutôt masculine (20-40 %)</v>
      </c>
    </row>
    <row r="137" customFormat="false" ht="15" hidden="false" customHeight="false" outlineLevel="0" collapsed="false">
      <c r="A137" s="9" t="s">
        <v>669</v>
      </c>
      <c r="B137" s="9" t="s">
        <v>665</v>
      </c>
      <c r="C137" s="9" t="s">
        <v>236</v>
      </c>
      <c r="D137" s="9" t="s">
        <v>237</v>
      </c>
      <c r="E137" s="9" t="s">
        <v>237</v>
      </c>
      <c r="F137" s="9" t="s">
        <v>116</v>
      </c>
      <c r="G137" s="10" t="n">
        <v>83</v>
      </c>
      <c r="H137" s="10" t="n">
        <v>5</v>
      </c>
      <c r="I137" s="10" t="n">
        <v>15</v>
      </c>
      <c r="J137" s="10" t="n">
        <v>0</v>
      </c>
      <c r="K137" s="10" t="n">
        <f aca="false">G137+H137</f>
        <v>88</v>
      </c>
      <c r="L137" s="11" t="n">
        <f aca="false">IF(K137&gt;0,G137/K137,"")</f>
        <v>0.943181818181818</v>
      </c>
      <c r="M137" s="9" t="str">
        <f aca="false">IF(K137=0,"",IF(L137&lt;0.2,"Très masculine (&lt;20 % F)",IF(L137&lt;0.4,"Plutôt masculine (20-40 %)",IF(L137&lt;0.6,"Mixte (40-60 %)","À dominante féminine (≥60 %)"))))</f>
        <v>À dominante féminine (≥60 %)</v>
      </c>
    </row>
    <row r="138" customFormat="false" ht="15" hidden="false" customHeight="false" outlineLevel="0" collapsed="false">
      <c r="A138" s="9" t="s">
        <v>670</v>
      </c>
      <c r="B138" s="9" t="s">
        <v>665</v>
      </c>
      <c r="C138" s="9" t="s">
        <v>236</v>
      </c>
      <c r="D138" s="9" t="s">
        <v>237</v>
      </c>
      <c r="E138" s="9" t="s">
        <v>237</v>
      </c>
      <c r="F138" s="9" t="s">
        <v>116</v>
      </c>
      <c r="G138" s="10" t="n">
        <v>598</v>
      </c>
      <c r="H138" s="10" t="n">
        <v>1087</v>
      </c>
      <c r="I138" s="10" t="n">
        <v>46</v>
      </c>
      <c r="J138" s="10" t="n">
        <v>5</v>
      </c>
      <c r="K138" s="10" t="n">
        <f aca="false">G138+H138</f>
        <v>1685</v>
      </c>
      <c r="L138" s="11" t="n">
        <f aca="false">IF(K138&gt;0,G138/K138,"")</f>
        <v>0.354896142433234</v>
      </c>
      <c r="M138" s="9" t="str">
        <f aca="false">IF(K138=0,"",IF(L138&lt;0.2,"Très masculine (&lt;20 % F)",IF(L138&lt;0.4,"Plutôt masculine (20-40 %)",IF(L138&lt;0.6,"Mixte (40-60 %)","À dominante féminine (≥60 %)"))))</f>
        <v>Plutôt masculine (20-40 %)</v>
      </c>
    </row>
    <row r="139" customFormat="false" ht="15" hidden="false" customHeight="false" outlineLevel="0" collapsed="false">
      <c r="A139" s="9" t="s">
        <v>671</v>
      </c>
      <c r="B139" s="9" t="s">
        <v>672</v>
      </c>
      <c r="C139" s="9" t="s">
        <v>238</v>
      </c>
      <c r="D139" s="9" t="s">
        <v>146</v>
      </c>
      <c r="E139" s="9" t="s">
        <v>146</v>
      </c>
      <c r="F139" s="9" t="s">
        <v>116</v>
      </c>
      <c r="G139" s="10" t="n">
        <v>167</v>
      </c>
      <c r="H139" s="10" t="n">
        <v>463</v>
      </c>
      <c r="I139" s="10" t="n">
        <v>11</v>
      </c>
      <c r="J139" s="10" t="n">
        <v>18</v>
      </c>
      <c r="K139" s="10" t="n">
        <f aca="false">G139+H139</f>
        <v>630</v>
      </c>
      <c r="L139" s="11" t="n">
        <f aca="false">IF(K139&gt;0,G139/K139,"")</f>
        <v>0.265079365079365</v>
      </c>
      <c r="M139" s="9" t="str">
        <f aca="false">IF(K139=0,"",IF(L139&lt;0.2,"Très masculine (&lt;20 % F)",IF(L139&lt;0.4,"Plutôt masculine (20-40 %)",IF(L139&lt;0.6,"Mixte (40-60 %)","À dominante féminine (≥60 %)"))))</f>
        <v>Plutôt masculine (20-40 %)</v>
      </c>
    </row>
    <row r="140" customFormat="false" ht="15" hidden="false" customHeight="false" outlineLevel="0" collapsed="false">
      <c r="A140" s="9" t="s">
        <v>673</v>
      </c>
      <c r="B140" s="9" t="s">
        <v>672</v>
      </c>
      <c r="C140" s="9" t="s">
        <v>238</v>
      </c>
      <c r="D140" s="9" t="s">
        <v>146</v>
      </c>
      <c r="E140" s="9" t="s">
        <v>146</v>
      </c>
      <c r="F140" s="9" t="s">
        <v>116</v>
      </c>
      <c r="G140" s="10" t="n">
        <v>88</v>
      </c>
      <c r="H140" s="10" t="n">
        <v>156</v>
      </c>
      <c r="I140" s="10" t="n">
        <v>10</v>
      </c>
      <c r="J140" s="10" t="n">
        <v>2</v>
      </c>
      <c r="K140" s="10" t="n">
        <f aca="false">G140+H140</f>
        <v>244</v>
      </c>
      <c r="L140" s="11" t="n">
        <f aca="false">IF(K140&gt;0,G140/K140,"")</f>
        <v>0.360655737704918</v>
      </c>
      <c r="M140" s="9" t="str">
        <f aca="false">IF(K140=0,"",IF(L140&lt;0.2,"Très masculine (&lt;20 % F)",IF(L140&lt;0.4,"Plutôt masculine (20-40 %)",IF(L140&lt;0.6,"Mixte (40-60 %)","À dominante féminine (≥60 %)"))))</f>
        <v>Plutôt masculine (20-40 %)</v>
      </c>
    </row>
    <row r="141" customFormat="false" ht="15" hidden="false" customHeight="false" outlineLevel="0" collapsed="false">
      <c r="A141" s="9" t="s">
        <v>674</v>
      </c>
      <c r="B141" s="9" t="s">
        <v>672</v>
      </c>
      <c r="C141" s="9" t="s">
        <v>238</v>
      </c>
      <c r="D141" s="9" t="s">
        <v>146</v>
      </c>
      <c r="E141" s="9" t="s">
        <v>146</v>
      </c>
      <c r="F141" s="9" t="s">
        <v>116</v>
      </c>
      <c r="G141" s="10" t="n">
        <v>93</v>
      </c>
      <c r="H141" s="10" t="n">
        <v>120</v>
      </c>
      <c r="I141" s="10" t="n">
        <v>11</v>
      </c>
      <c r="J141" s="10" t="n">
        <v>3</v>
      </c>
      <c r="K141" s="10" t="n">
        <f aca="false">G141+H141</f>
        <v>213</v>
      </c>
      <c r="L141" s="11" t="n">
        <f aca="false">IF(K141&gt;0,G141/K141,"")</f>
        <v>0.436619718309859</v>
      </c>
      <c r="M141" s="9" t="str">
        <f aca="false">IF(K141=0,"",IF(L141&lt;0.2,"Très masculine (&lt;20 % F)",IF(L141&lt;0.4,"Plutôt masculine (20-40 %)",IF(L141&lt;0.6,"Mixte (40-60 %)","À dominante féminine (≥60 %)"))))</f>
        <v>Mixte (40-60 %)</v>
      </c>
    </row>
    <row r="142" customFormat="false" ht="15" hidden="false" customHeight="false" outlineLevel="0" collapsed="false">
      <c r="A142" s="9" t="s">
        <v>675</v>
      </c>
      <c r="B142" s="9" t="s">
        <v>672</v>
      </c>
      <c r="C142" s="9" t="s">
        <v>238</v>
      </c>
      <c r="D142" s="9" t="s">
        <v>146</v>
      </c>
      <c r="E142" s="9" t="s">
        <v>146</v>
      </c>
      <c r="F142" s="9" t="s">
        <v>116</v>
      </c>
      <c r="G142" s="10" t="n">
        <v>122</v>
      </c>
      <c r="H142" s="10" t="n">
        <v>150</v>
      </c>
      <c r="I142" s="10" t="n">
        <v>25</v>
      </c>
      <c r="J142" s="10" t="n">
        <v>0</v>
      </c>
      <c r="K142" s="10" t="n">
        <f aca="false">G142+H142</f>
        <v>272</v>
      </c>
      <c r="L142" s="11" t="n">
        <f aca="false">IF(K142&gt;0,G142/K142,"")</f>
        <v>0.448529411764706</v>
      </c>
      <c r="M142" s="9" t="str">
        <f aca="false">IF(K142=0,"",IF(L142&lt;0.2,"Très masculine (&lt;20 % F)",IF(L142&lt;0.4,"Plutôt masculine (20-40 %)",IF(L142&lt;0.6,"Mixte (40-60 %)","À dominante féminine (≥60 %)"))))</f>
        <v>Mixte (40-60 %)</v>
      </c>
    </row>
    <row r="143" customFormat="false" ht="15" hidden="false" customHeight="false" outlineLevel="0" collapsed="false">
      <c r="A143" s="9" t="s">
        <v>676</v>
      </c>
      <c r="B143" s="9" t="s">
        <v>672</v>
      </c>
      <c r="C143" s="9" t="s">
        <v>238</v>
      </c>
      <c r="D143" s="9" t="s">
        <v>146</v>
      </c>
      <c r="E143" s="9" t="s">
        <v>146</v>
      </c>
      <c r="F143" s="9" t="s">
        <v>116</v>
      </c>
      <c r="G143" s="10" t="n">
        <v>68</v>
      </c>
      <c r="H143" s="10" t="n">
        <v>188</v>
      </c>
      <c r="I143" s="10" t="n">
        <v>21</v>
      </c>
      <c r="J143" s="10" t="n">
        <v>1</v>
      </c>
      <c r="K143" s="10" t="n">
        <f aca="false">G143+H143</f>
        <v>256</v>
      </c>
      <c r="L143" s="11" t="n">
        <f aca="false">IF(K143&gt;0,G143/K143,"")</f>
        <v>0.265625</v>
      </c>
      <c r="M143" s="9" t="str">
        <f aca="false">IF(K143=0,"",IF(L143&lt;0.2,"Très masculine (&lt;20 % F)",IF(L143&lt;0.4,"Plutôt masculine (20-40 %)",IF(L143&lt;0.6,"Mixte (40-60 %)","À dominante féminine (≥60 %)"))))</f>
        <v>Plutôt masculine (20-40 %)</v>
      </c>
    </row>
    <row r="144" customFormat="false" ht="15" hidden="false" customHeight="false" outlineLevel="0" collapsed="false">
      <c r="A144" s="9" t="s">
        <v>677</v>
      </c>
      <c r="B144" s="9" t="s">
        <v>672</v>
      </c>
      <c r="C144" s="9" t="s">
        <v>238</v>
      </c>
      <c r="D144" s="9" t="s">
        <v>146</v>
      </c>
      <c r="E144" s="9" t="s">
        <v>146</v>
      </c>
      <c r="F144" s="9" t="s">
        <v>116</v>
      </c>
      <c r="G144" s="10" t="n">
        <v>26</v>
      </c>
      <c r="H144" s="10" t="n">
        <v>114</v>
      </c>
      <c r="I144" s="10" t="n">
        <v>12</v>
      </c>
      <c r="J144" s="10" t="n">
        <v>1</v>
      </c>
      <c r="K144" s="10" t="n">
        <f aca="false">G144+H144</f>
        <v>140</v>
      </c>
      <c r="L144" s="11" t="n">
        <f aca="false">IF(K144&gt;0,G144/K144,"")</f>
        <v>0.185714285714286</v>
      </c>
      <c r="M144" s="9" t="str">
        <f aca="false">IF(K144=0,"",IF(L144&lt;0.2,"Très masculine (&lt;20 % F)",IF(L144&lt;0.4,"Plutôt masculine (20-40 %)",IF(L144&lt;0.6,"Mixte (40-60 %)","À dominante féminine (≥60 %)"))))</f>
        <v>Très masculine (&lt;20 % F)</v>
      </c>
    </row>
    <row r="145" customFormat="false" ht="15" hidden="false" customHeight="false" outlineLevel="0" collapsed="false">
      <c r="A145" s="9" t="s">
        <v>678</v>
      </c>
      <c r="B145" s="9" t="s">
        <v>672</v>
      </c>
      <c r="C145" s="9" t="s">
        <v>238</v>
      </c>
      <c r="D145" s="9" t="s">
        <v>146</v>
      </c>
      <c r="E145" s="9" t="s">
        <v>146</v>
      </c>
      <c r="F145" s="9" t="s">
        <v>116</v>
      </c>
      <c r="G145" s="10" t="n">
        <v>24</v>
      </c>
      <c r="H145" s="10" t="n">
        <v>236</v>
      </c>
      <c r="I145" s="10" t="n">
        <v>36</v>
      </c>
      <c r="J145" s="10" t="n">
        <v>0</v>
      </c>
      <c r="K145" s="10" t="n">
        <f aca="false">G145+H145</f>
        <v>260</v>
      </c>
      <c r="L145" s="11" t="n">
        <f aca="false">IF(K145&gt;0,G145/K145,"")</f>
        <v>0.0923076923076923</v>
      </c>
      <c r="M145" s="9" t="str">
        <f aca="false">IF(K145=0,"",IF(L145&lt;0.2,"Très masculine (&lt;20 % F)",IF(L145&lt;0.4,"Plutôt masculine (20-40 %)",IF(L145&lt;0.6,"Mixte (40-60 %)","À dominante féminine (≥60 %)"))))</f>
        <v>Très masculine (&lt;20 % F)</v>
      </c>
    </row>
    <row r="146" customFormat="false" ht="15" hidden="false" customHeight="false" outlineLevel="0" collapsed="false">
      <c r="A146" s="9" t="s">
        <v>679</v>
      </c>
      <c r="B146" s="9" t="s">
        <v>672</v>
      </c>
      <c r="C146" s="9" t="s">
        <v>238</v>
      </c>
      <c r="D146" s="9" t="s">
        <v>146</v>
      </c>
      <c r="E146" s="9" t="s">
        <v>146</v>
      </c>
      <c r="F146" s="9" t="s">
        <v>116</v>
      </c>
      <c r="G146" s="10" t="n">
        <v>127</v>
      </c>
      <c r="H146" s="10" t="n">
        <v>12</v>
      </c>
      <c r="I146" s="10" t="n">
        <v>5</v>
      </c>
      <c r="J146" s="10" t="n">
        <v>3</v>
      </c>
      <c r="K146" s="10" t="n">
        <f aca="false">G146+H146</f>
        <v>139</v>
      </c>
      <c r="L146" s="11" t="n">
        <f aca="false">IF(K146&gt;0,G146/K146,"")</f>
        <v>0.913669064748201</v>
      </c>
      <c r="M146" s="9" t="str">
        <f aca="false">IF(K146=0,"",IF(L146&lt;0.2,"Très masculine (&lt;20 % F)",IF(L146&lt;0.4,"Plutôt masculine (20-40 %)",IF(L146&lt;0.6,"Mixte (40-60 %)","À dominante féminine (≥60 %)"))))</f>
        <v>À dominante féminine (≥60 %)</v>
      </c>
    </row>
    <row r="147" customFormat="false" ht="15" hidden="false" customHeight="false" outlineLevel="0" collapsed="false">
      <c r="A147" s="9" t="s">
        <v>680</v>
      </c>
      <c r="B147" s="9" t="s">
        <v>672</v>
      </c>
      <c r="C147" s="9" t="s">
        <v>238</v>
      </c>
      <c r="D147" s="9" t="s">
        <v>146</v>
      </c>
      <c r="E147" s="9" t="s">
        <v>146</v>
      </c>
      <c r="F147" s="9" t="s">
        <v>116</v>
      </c>
      <c r="G147" s="10" t="n">
        <v>110</v>
      </c>
      <c r="H147" s="10" t="n">
        <v>101</v>
      </c>
      <c r="I147" s="10" t="n">
        <v>7</v>
      </c>
      <c r="J147" s="10" t="n">
        <v>0</v>
      </c>
      <c r="K147" s="10" t="n">
        <f aca="false">G147+H147</f>
        <v>211</v>
      </c>
      <c r="L147" s="11" t="n">
        <f aca="false">IF(K147&gt;0,G147/K147,"")</f>
        <v>0.52132701421801</v>
      </c>
      <c r="M147" s="9" t="str">
        <f aca="false">IF(K147=0,"",IF(L147&lt;0.2,"Très masculine (&lt;20 % F)",IF(L147&lt;0.4,"Plutôt masculine (20-40 %)",IF(L147&lt;0.6,"Mixte (40-60 %)","À dominante féminine (≥60 %)"))))</f>
        <v>Mixte (40-60 %)</v>
      </c>
    </row>
    <row r="148" customFormat="false" ht="15" hidden="false" customHeight="false" outlineLevel="0" collapsed="false">
      <c r="A148" s="9" t="s">
        <v>681</v>
      </c>
      <c r="B148" s="9" t="s">
        <v>672</v>
      </c>
      <c r="C148" s="9" t="s">
        <v>238</v>
      </c>
      <c r="D148" s="9" t="s">
        <v>146</v>
      </c>
      <c r="E148" s="9" t="s">
        <v>146</v>
      </c>
      <c r="F148" s="9" t="s">
        <v>116</v>
      </c>
      <c r="G148" s="10" t="n">
        <v>48</v>
      </c>
      <c r="H148" s="10" t="n">
        <v>134</v>
      </c>
      <c r="I148" s="10" t="n">
        <v>25</v>
      </c>
      <c r="J148" s="10" t="n">
        <v>0</v>
      </c>
      <c r="K148" s="10" t="n">
        <f aca="false">G148+H148</f>
        <v>182</v>
      </c>
      <c r="L148" s="11" t="n">
        <f aca="false">IF(K148&gt;0,G148/K148,"")</f>
        <v>0.263736263736264</v>
      </c>
      <c r="M148" s="9" t="str">
        <f aca="false">IF(K148=0,"",IF(L148&lt;0.2,"Très masculine (&lt;20 % F)",IF(L148&lt;0.4,"Plutôt masculine (20-40 %)",IF(L148&lt;0.6,"Mixte (40-60 %)","À dominante féminine (≥60 %)"))))</f>
        <v>Plutôt masculine (20-40 %)</v>
      </c>
    </row>
    <row r="149" customFormat="false" ht="15" hidden="false" customHeight="false" outlineLevel="0" collapsed="false">
      <c r="A149" s="9" t="s">
        <v>682</v>
      </c>
      <c r="B149" s="9" t="s">
        <v>672</v>
      </c>
      <c r="C149" s="9" t="s">
        <v>238</v>
      </c>
      <c r="D149" s="9" t="s">
        <v>146</v>
      </c>
      <c r="E149" s="9" t="s">
        <v>146</v>
      </c>
      <c r="F149" s="9" t="s">
        <v>116</v>
      </c>
      <c r="G149" s="10" t="n">
        <v>12</v>
      </c>
      <c r="H149" s="10" t="n">
        <v>25</v>
      </c>
      <c r="I149" s="10" t="n">
        <v>37</v>
      </c>
      <c r="J149" s="10" t="n">
        <v>0</v>
      </c>
      <c r="K149" s="10" t="n">
        <f aca="false">G149+H149</f>
        <v>37</v>
      </c>
      <c r="L149" s="11" t="n">
        <f aca="false">IF(K149&gt;0,G149/K149,"")</f>
        <v>0.324324324324324</v>
      </c>
      <c r="M149" s="9" t="str">
        <f aca="false">IF(K149=0,"",IF(L149&lt;0.2,"Très masculine (&lt;20 % F)",IF(L149&lt;0.4,"Plutôt masculine (20-40 %)",IF(L149&lt;0.6,"Mixte (40-60 %)","À dominante féminine (≥60 %)"))))</f>
        <v>Plutôt masculine (20-40 %)</v>
      </c>
    </row>
    <row r="150" customFormat="false" ht="15" hidden="false" customHeight="false" outlineLevel="0" collapsed="false">
      <c r="A150" s="9" t="s">
        <v>683</v>
      </c>
      <c r="B150" s="9" t="s">
        <v>672</v>
      </c>
      <c r="C150" s="9" t="s">
        <v>238</v>
      </c>
      <c r="D150" s="9" t="s">
        <v>146</v>
      </c>
      <c r="E150" s="9" t="s">
        <v>146</v>
      </c>
      <c r="F150" s="9" t="s">
        <v>116</v>
      </c>
      <c r="G150" s="10" t="n">
        <v>7</v>
      </c>
      <c r="H150" s="10" t="n">
        <v>43</v>
      </c>
      <c r="I150" s="10" t="n">
        <v>30</v>
      </c>
      <c r="J150" s="10" t="n">
        <v>0</v>
      </c>
      <c r="K150" s="10" t="n">
        <f aca="false">G150+H150</f>
        <v>50</v>
      </c>
      <c r="L150" s="11" t="n">
        <f aca="false">IF(K150&gt;0,G150/K150,"")</f>
        <v>0.14</v>
      </c>
      <c r="M150" s="9" t="str">
        <f aca="false">IF(K150=0,"",IF(L150&lt;0.2,"Très masculine (&lt;20 % F)",IF(L150&lt;0.4,"Plutôt masculine (20-40 %)",IF(L150&lt;0.6,"Mixte (40-60 %)","À dominante féminine (≥60 %)"))))</f>
        <v>Très masculine (&lt;20 % F)</v>
      </c>
    </row>
    <row r="151" customFormat="false" ht="15" hidden="false" customHeight="false" outlineLevel="0" collapsed="false">
      <c r="A151" s="9" t="s">
        <v>684</v>
      </c>
      <c r="B151" s="9" t="s">
        <v>685</v>
      </c>
      <c r="C151" s="9" t="s">
        <v>239</v>
      </c>
      <c r="D151" s="9" t="s">
        <v>240</v>
      </c>
      <c r="E151" s="9" t="s">
        <v>241</v>
      </c>
      <c r="F151" s="9" t="s">
        <v>152</v>
      </c>
      <c r="G151" s="10" t="n">
        <v>143</v>
      </c>
      <c r="H151" s="10" t="n">
        <v>22</v>
      </c>
      <c r="I151" s="10" t="n">
        <v>2</v>
      </c>
      <c r="J151" s="10" t="n">
        <v>0</v>
      </c>
      <c r="K151" s="10" t="n">
        <f aca="false">G151+H151</f>
        <v>165</v>
      </c>
      <c r="L151" s="11" t="n">
        <f aca="false">IF(K151&gt;0,G151/K151,"")</f>
        <v>0.866666666666667</v>
      </c>
      <c r="M151" s="9" t="str">
        <f aca="false">IF(K151=0,"",IF(L151&lt;0.2,"Très masculine (&lt;20 % F)",IF(L151&lt;0.4,"Plutôt masculine (20-40 %)",IF(L151&lt;0.6,"Mixte (40-60 %)","À dominante féminine (≥60 %)"))))</f>
        <v>À dominante féminine (≥60 %)</v>
      </c>
    </row>
    <row r="152" customFormat="false" ht="15" hidden="false" customHeight="false" outlineLevel="0" collapsed="false">
      <c r="A152" s="9" t="s">
        <v>686</v>
      </c>
      <c r="B152" s="9" t="s">
        <v>685</v>
      </c>
      <c r="C152" s="9" t="s">
        <v>239</v>
      </c>
      <c r="D152" s="9" t="s">
        <v>240</v>
      </c>
      <c r="E152" s="9" t="s">
        <v>241</v>
      </c>
      <c r="F152" s="9" t="s">
        <v>152</v>
      </c>
      <c r="G152" s="10" t="n">
        <v>178</v>
      </c>
      <c r="H152" s="10" t="n">
        <v>150</v>
      </c>
      <c r="I152" s="10" t="n">
        <v>19</v>
      </c>
      <c r="J152" s="10" t="n">
        <v>0</v>
      </c>
      <c r="K152" s="10" t="n">
        <f aca="false">G152+H152</f>
        <v>328</v>
      </c>
      <c r="L152" s="11" t="n">
        <f aca="false">IF(K152&gt;0,G152/K152,"")</f>
        <v>0.542682926829268</v>
      </c>
      <c r="M152" s="9" t="str">
        <f aca="false">IF(K152=0,"",IF(L152&lt;0.2,"Très masculine (&lt;20 % F)",IF(L152&lt;0.4,"Plutôt masculine (20-40 %)",IF(L152&lt;0.6,"Mixte (40-60 %)","À dominante féminine (≥60 %)"))))</f>
        <v>Mixte (40-60 %)</v>
      </c>
    </row>
    <row r="153" customFormat="false" ht="15" hidden="false" customHeight="false" outlineLevel="0" collapsed="false">
      <c r="A153" s="9" t="s">
        <v>687</v>
      </c>
      <c r="B153" s="9" t="s">
        <v>685</v>
      </c>
      <c r="C153" s="9" t="s">
        <v>239</v>
      </c>
      <c r="D153" s="9" t="s">
        <v>240</v>
      </c>
      <c r="E153" s="9" t="s">
        <v>241</v>
      </c>
      <c r="F153" s="9" t="s">
        <v>152</v>
      </c>
      <c r="G153" s="10" t="n">
        <v>348</v>
      </c>
      <c r="H153" s="10" t="n">
        <v>37</v>
      </c>
      <c r="I153" s="10" t="n">
        <v>30</v>
      </c>
      <c r="J153" s="10" t="n">
        <v>10</v>
      </c>
      <c r="K153" s="10" t="n">
        <f aca="false">G153+H153</f>
        <v>385</v>
      </c>
      <c r="L153" s="11" t="n">
        <f aca="false">IF(K153&gt;0,G153/K153,"")</f>
        <v>0.903896103896104</v>
      </c>
      <c r="M153" s="9" t="str">
        <f aca="false">IF(K153=0,"",IF(L153&lt;0.2,"Très masculine (&lt;20 % F)",IF(L153&lt;0.4,"Plutôt masculine (20-40 %)",IF(L153&lt;0.6,"Mixte (40-60 %)","À dominante féminine (≥60 %)"))))</f>
        <v>À dominante féminine (≥60 %)</v>
      </c>
    </row>
    <row r="154" customFormat="false" ht="15" hidden="false" customHeight="false" outlineLevel="0" collapsed="false">
      <c r="A154" s="9" t="s">
        <v>688</v>
      </c>
      <c r="B154" s="9" t="s">
        <v>685</v>
      </c>
      <c r="C154" s="9" t="s">
        <v>239</v>
      </c>
      <c r="D154" s="9" t="s">
        <v>240</v>
      </c>
      <c r="E154" s="9" t="s">
        <v>241</v>
      </c>
      <c r="F154" s="9" t="s">
        <v>152</v>
      </c>
      <c r="G154" s="10" t="n">
        <v>86</v>
      </c>
      <c r="H154" s="10" t="n">
        <v>78</v>
      </c>
      <c r="I154" s="10" t="n">
        <v>15</v>
      </c>
      <c r="J154" s="10" t="n">
        <v>0</v>
      </c>
      <c r="K154" s="10" t="n">
        <f aca="false">G154+H154</f>
        <v>164</v>
      </c>
      <c r="L154" s="11" t="n">
        <f aca="false">IF(K154&gt;0,G154/K154,"")</f>
        <v>0.524390243902439</v>
      </c>
      <c r="M154" s="9" t="str">
        <f aca="false">IF(K154=0,"",IF(L154&lt;0.2,"Très masculine (&lt;20 % F)",IF(L154&lt;0.4,"Plutôt masculine (20-40 %)",IF(L154&lt;0.6,"Mixte (40-60 %)","À dominante féminine (≥60 %)"))))</f>
        <v>Mixte (40-60 %)</v>
      </c>
    </row>
    <row r="155" customFormat="false" ht="15" hidden="false" customHeight="false" outlineLevel="0" collapsed="false">
      <c r="A155" s="9" t="s">
        <v>689</v>
      </c>
      <c r="B155" s="9" t="s">
        <v>685</v>
      </c>
      <c r="C155" s="9" t="s">
        <v>239</v>
      </c>
      <c r="D155" s="9" t="s">
        <v>240</v>
      </c>
      <c r="E155" s="9" t="s">
        <v>241</v>
      </c>
      <c r="F155" s="9" t="s">
        <v>152</v>
      </c>
      <c r="G155" s="10" t="n">
        <v>69</v>
      </c>
      <c r="H155" s="10" t="n">
        <v>102</v>
      </c>
      <c r="I155" s="10" t="n">
        <v>15</v>
      </c>
      <c r="J155" s="10" t="n">
        <v>3</v>
      </c>
      <c r="K155" s="10" t="n">
        <f aca="false">G155+H155</f>
        <v>171</v>
      </c>
      <c r="L155" s="11" t="n">
        <f aca="false">IF(K155&gt;0,G155/K155,"")</f>
        <v>0.403508771929825</v>
      </c>
      <c r="M155" s="9" t="str">
        <f aca="false">IF(K155=0,"",IF(L155&lt;0.2,"Très masculine (&lt;20 % F)",IF(L155&lt;0.4,"Plutôt masculine (20-40 %)",IF(L155&lt;0.6,"Mixte (40-60 %)","À dominante féminine (≥60 %)"))))</f>
        <v>Mixte (40-60 %)</v>
      </c>
    </row>
    <row r="156" customFormat="false" ht="15" hidden="false" customHeight="false" outlineLevel="0" collapsed="false">
      <c r="A156" s="9" t="s">
        <v>690</v>
      </c>
      <c r="B156" s="9" t="s">
        <v>685</v>
      </c>
      <c r="C156" s="9" t="s">
        <v>239</v>
      </c>
      <c r="D156" s="9" t="s">
        <v>240</v>
      </c>
      <c r="E156" s="9" t="s">
        <v>241</v>
      </c>
      <c r="F156" s="9" t="s">
        <v>152</v>
      </c>
      <c r="G156" s="10" t="n">
        <v>147</v>
      </c>
      <c r="H156" s="10" t="n">
        <v>93</v>
      </c>
      <c r="I156" s="10" t="n">
        <v>22</v>
      </c>
      <c r="J156" s="10" t="n">
        <v>0</v>
      </c>
      <c r="K156" s="10" t="n">
        <f aca="false">G156+H156</f>
        <v>240</v>
      </c>
      <c r="L156" s="11" t="n">
        <f aca="false">IF(K156&gt;0,G156/K156,"")</f>
        <v>0.6125</v>
      </c>
      <c r="M156" s="9" t="str">
        <f aca="false">IF(K156=0,"",IF(L156&lt;0.2,"Très masculine (&lt;20 % F)",IF(L156&lt;0.4,"Plutôt masculine (20-40 %)",IF(L156&lt;0.6,"Mixte (40-60 %)","À dominante féminine (≥60 %)"))))</f>
        <v>À dominante féminine (≥60 %)</v>
      </c>
    </row>
    <row r="157" customFormat="false" ht="15" hidden="false" customHeight="false" outlineLevel="0" collapsed="false">
      <c r="A157" s="9" t="s">
        <v>691</v>
      </c>
      <c r="B157" s="9" t="s">
        <v>685</v>
      </c>
      <c r="C157" s="9" t="s">
        <v>239</v>
      </c>
      <c r="D157" s="9" t="s">
        <v>240</v>
      </c>
      <c r="E157" s="9" t="s">
        <v>241</v>
      </c>
      <c r="F157" s="9" t="s">
        <v>152</v>
      </c>
      <c r="G157" s="10" t="n">
        <v>40</v>
      </c>
      <c r="H157" s="10" t="n">
        <v>101</v>
      </c>
      <c r="I157" s="10" t="n">
        <v>11</v>
      </c>
      <c r="J157" s="10" t="n">
        <v>10</v>
      </c>
      <c r="K157" s="10" t="n">
        <f aca="false">G157+H157</f>
        <v>141</v>
      </c>
      <c r="L157" s="11" t="n">
        <f aca="false">IF(K157&gt;0,G157/K157,"")</f>
        <v>0.283687943262411</v>
      </c>
      <c r="M157" s="9" t="str">
        <f aca="false">IF(K157=0,"",IF(L157&lt;0.2,"Très masculine (&lt;20 % F)",IF(L157&lt;0.4,"Plutôt masculine (20-40 %)",IF(L157&lt;0.6,"Mixte (40-60 %)","À dominante féminine (≥60 %)"))))</f>
        <v>Plutôt masculine (20-40 %)</v>
      </c>
    </row>
    <row r="158" customFormat="false" ht="15" hidden="false" customHeight="false" outlineLevel="0" collapsed="false">
      <c r="A158" s="9" t="s">
        <v>692</v>
      </c>
      <c r="B158" s="9" t="s">
        <v>693</v>
      </c>
      <c r="C158" s="9" t="s">
        <v>242</v>
      </c>
      <c r="D158" s="9" t="s">
        <v>243</v>
      </c>
      <c r="E158" s="9" t="s">
        <v>115</v>
      </c>
      <c r="F158" s="9" t="s">
        <v>116</v>
      </c>
      <c r="G158" s="10" t="n">
        <v>315</v>
      </c>
      <c r="H158" s="10" t="n">
        <v>125</v>
      </c>
      <c r="I158" s="10" t="n">
        <v>45</v>
      </c>
      <c r="J158" s="10" t="n">
        <v>2</v>
      </c>
      <c r="K158" s="10" t="n">
        <f aca="false">G158+H158</f>
        <v>440</v>
      </c>
      <c r="L158" s="11" t="n">
        <f aca="false">IF(K158&gt;0,G158/K158,"")</f>
        <v>0.715909090909091</v>
      </c>
      <c r="M158" s="9" t="str">
        <f aca="false">IF(K158=0,"",IF(L158&lt;0.2,"Très masculine (&lt;20 % F)",IF(L158&lt;0.4,"Plutôt masculine (20-40 %)",IF(L158&lt;0.6,"Mixte (40-60 %)","À dominante féminine (≥60 %)"))))</f>
        <v>À dominante féminine (≥60 %)</v>
      </c>
    </row>
    <row r="159" customFormat="false" ht="15" hidden="false" customHeight="false" outlineLevel="0" collapsed="false">
      <c r="A159" s="9" t="s">
        <v>694</v>
      </c>
      <c r="B159" s="9" t="s">
        <v>693</v>
      </c>
      <c r="C159" s="9" t="s">
        <v>242</v>
      </c>
      <c r="D159" s="9" t="s">
        <v>243</v>
      </c>
      <c r="E159" s="9" t="s">
        <v>115</v>
      </c>
      <c r="F159" s="9" t="s">
        <v>116</v>
      </c>
      <c r="G159" s="10" t="n">
        <v>52</v>
      </c>
      <c r="H159" s="10" t="n">
        <v>209</v>
      </c>
      <c r="I159" s="10" t="n">
        <v>50</v>
      </c>
      <c r="J159" s="10" t="n">
        <v>3</v>
      </c>
      <c r="K159" s="10" t="n">
        <f aca="false">G159+H159</f>
        <v>261</v>
      </c>
      <c r="L159" s="11" t="n">
        <f aca="false">IF(K159&gt;0,G159/K159,"")</f>
        <v>0.199233716475096</v>
      </c>
      <c r="M159" s="9" t="str">
        <f aca="false">IF(K159=0,"",IF(L159&lt;0.2,"Très masculine (&lt;20 % F)",IF(L159&lt;0.4,"Plutôt masculine (20-40 %)",IF(L159&lt;0.6,"Mixte (40-60 %)","À dominante féminine (≥60 %)"))))</f>
        <v>Très masculine (&lt;20 % F)</v>
      </c>
    </row>
    <row r="160" customFormat="false" ht="15" hidden="false" customHeight="false" outlineLevel="0" collapsed="false">
      <c r="A160" s="9" t="s">
        <v>695</v>
      </c>
      <c r="B160" s="9" t="s">
        <v>693</v>
      </c>
      <c r="C160" s="9" t="s">
        <v>242</v>
      </c>
      <c r="D160" s="9" t="s">
        <v>243</v>
      </c>
      <c r="E160" s="9" t="s">
        <v>115</v>
      </c>
      <c r="F160" s="9" t="s">
        <v>116</v>
      </c>
      <c r="G160" s="10" t="n">
        <v>160</v>
      </c>
      <c r="H160" s="10" t="n">
        <v>47</v>
      </c>
      <c r="I160" s="10" t="n">
        <v>5</v>
      </c>
      <c r="J160" s="10" t="n">
        <v>3</v>
      </c>
      <c r="K160" s="10" t="n">
        <f aca="false">G160+H160</f>
        <v>207</v>
      </c>
      <c r="L160" s="11" t="n">
        <f aca="false">IF(K160&gt;0,G160/K160,"")</f>
        <v>0.772946859903382</v>
      </c>
      <c r="M160" s="9" t="str">
        <f aca="false">IF(K160=0,"",IF(L160&lt;0.2,"Très masculine (&lt;20 % F)",IF(L160&lt;0.4,"Plutôt masculine (20-40 %)",IF(L160&lt;0.6,"Mixte (40-60 %)","À dominante féminine (≥60 %)"))))</f>
        <v>À dominante féminine (≥60 %)</v>
      </c>
    </row>
    <row r="161" customFormat="false" ht="15" hidden="false" customHeight="false" outlineLevel="0" collapsed="false">
      <c r="A161" s="9" t="s">
        <v>696</v>
      </c>
      <c r="B161" s="9" t="s">
        <v>693</v>
      </c>
      <c r="C161" s="9" t="s">
        <v>242</v>
      </c>
      <c r="D161" s="9" t="s">
        <v>243</v>
      </c>
      <c r="E161" s="9" t="s">
        <v>115</v>
      </c>
      <c r="F161" s="9" t="s">
        <v>116</v>
      </c>
      <c r="G161" s="10" t="n">
        <v>11</v>
      </c>
      <c r="H161" s="10" t="n">
        <v>76</v>
      </c>
      <c r="I161" s="10" t="n">
        <v>7</v>
      </c>
      <c r="J161" s="10" t="n">
        <v>0</v>
      </c>
      <c r="K161" s="10" t="n">
        <f aca="false">G161+H161</f>
        <v>87</v>
      </c>
      <c r="L161" s="11" t="n">
        <f aca="false">IF(K161&gt;0,G161/K161,"")</f>
        <v>0.126436781609195</v>
      </c>
      <c r="M161" s="9" t="str">
        <f aca="false">IF(K161=0,"",IF(L161&lt;0.2,"Très masculine (&lt;20 % F)",IF(L161&lt;0.4,"Plutôt masculine (20-40 %)",IF(L161&lt;0.6,"Mixte (40-60 %)","À dominante féminine (≥60 %)"))))</f>
        <v>Très masculine (&lt;20 % F)</v>
      </c>
    </row>
    <row r="162" customFormat="false" ht="15" hidden="false" customHeight="false" outlineLevel="0" collapsed="false">
      <c r="A162" s="9" t="s">
        <v>697</v>
      </c>
      <c r="B162" s="9" t="s">
        <v>693</v>
      </c>
      <c r="C162" s="9" t="s">
        <v>242</v>
      </c>
      <c r="D162" s="9" t="s">
        <v>243</v>
      </c>
      <c r="E162" s="9" t="s">
        <v>115</v>
      </c>
      <c r="F162" s="9" t="s">
        <v>116</v>
      </c>
      <c r="G162" s="10" t="n">
        <v>11</v>
      </c>
      <c r="H162" s="10" t="n">
        <v>25</v>
      </c>
      <c r="I162" s="10" t="n">
        <v>36</v>
      </c>
      <c r="J162" s="10" t="n">
        <v>0</v>
      </c>
      <c r="K162" s="10" t="n">
        <f aca="false">G162+H162</f>
        <v>36</v>
      </c>
      <c r="L162" s="11" t="n">
        <f aca="false">IF(K162&gt;0,G162/K162,"")</f>
        <v>0.305555555555556</v>
      </c>
      <c r="M162" s="9" t="str">
        <f aca="false">IF(K162=0,"",IF(L162&lt;0.2,"Très masculine (&lt;20 % F)",IF(L162&lt;0.4,"Plutôt masculine (20-40 %)",IF(L162&lt;0.6,"Mixte (40-60 %)","À dominante féminine (≥60 %)"))))</f>
        <v>Plutôt masculine (20-40 %)</v>
      </c>
    </row>
    <row r="163" customFormat="false" ht="15" hidden="false" customHeight="false" outlineLevel="0" collapsed="false">
      <c r="A163" s="9" t="s">
        <v>698</v>
      </c>
      <c r="B163" s="9" t="s">
        <v>693</v>
      </c>
      <c r="C163" s="9" t="s">
        <v>242</v>
      </c>
      <c r="D163" s="9" t="s">
        <v>243</v>
      </c>
      <c r="E163" s="9" t="s">
        <v>115</v>
      </c>
      <c r="F163" s="9" t="s">
        <v>116</v>
      </c>
      <c r="G163" s="10" t="n">
        <v>48</v>
      </c>
      <c r="H163" s="10" t="n">
        <v>112</v>
      </c>
      <c r="I163" s="10" t="n">
        <v>20</v>
      </c>
      <c r="J163" s="10" t="n">
        <v>1</v>
      </c>
      <c r="K163" s="10" t="n">
        <f aca="false">G163+H163</f>
        <v>160</v>
      </c>
      <c r="L163" s="11" t="n">
        <f aca="false">IF(K163&gt;0,G163/K163,"")</f>
        <v>0.3</v>
      </c>
      <c r="M163" s="9" t="str">
        <f aca="false">IF(K163=0,"",IF(L163&lt;0.2,"Très masculine (&lt;20 % F)",IF(L163&lt;0.4,"Plutôt masculine (20-40 %)",IF(L163&lt;0.6,"Mixte (40-60 %)","À dominante féminine (≥60 %)"))))</f>
        <v>Plutôt masculine (20-40 %)</v>
      </c>
    </row>
    <row r="164" customFormat="false" ht="15" hidden="false" customHeight="false" outlineLevel="0" collapsed="false">
      <c r="A164" s="9" t="s">
        <v>699</v>
      </c>
      <c r="B164" s="9" t="s">
        <v>693</v>
      </c>
      <c r="C164" s="9" t="s">
        <v>242</v>
      </c>
      <c r="D164" s="9" t="s">
        <v>243</v>
      </c>
      <c r="E164" s="9" t="s">
        <v>115</v>
      </c>
      <c r="F164" s="9" t="s">
        <v>116</v>
      </c>
      <c r="G164" s="10" t="n">
        <v>145</v>
      </c>
      <c r="H164" s="10" t="n">
        <v>5</v>
      </c>
      <c r="I164" s="10" t="n">
        <v>9</v>
      </c>
      <c r="J164" s="10" t="n">
        <v>5</v>
      </c>
      <c r="K164" s="10" t="n">
        <f aca="false">G164+H164</f>
        <v>150</v>
      </c>
      <c r="L164" s="11" t="n">
        <f aca="false">IF(K164&gt;0,G164/K164,"")</f>
        <v>0.966666666666667</v>
      </c>
      <c r="M164" s="9" t="str">
        <f aca="false">IF(K164=0,"",IF(L164&lt;0.2,"Très masculine (&lt;20 % F)",IF(L164&lt;0.4,"Plutôt masculine (20-40 %)",IF(L164&lt;0.6,"Mixte (40-60 %)","À dominante féminine (≥60 %)"))))</f>
        <v>À dominante féminine (≥60 %)</v>
      </c>
    </row>
    <row r="165" customFormat="false" ht="15" hidden="false" customHeight="false" outlineLevel="0" collapsed="false">
      <c r="A165" s="9" t="s">
        <v>700</v>
      </c>
      <c r="B165" s="9" t="s">
        <v>693</v>
      </c>
      <c r="C165" s="9" t="s">
        <v>242</v>
      </c>
      <c r="D165" s="9" t="s">
        <v>243</v>
      </c>
      <c r="E165" s="9" t="s">
        <v>115</v>
      </c>
      <c r="F165" s="9" t="s">
        <v>116</v>
      </c>
      <c r="G165" s="10" t="n">
        <v>6</v>
      </c>
      <c r="H165" s="10" t="n">
        <v>25</v>
      </c>
      <c r="I165" s="10" t="n">
        <v>8</v>
      </c>
      <c r="J165" s="10" t="n">
        <v>0</v>
      </c>
      <c r="K165" s="10" t="n">
        <f aca="false">G165+H165</f>
        <v>31</v>
      </c>
      <c r="L165" s="11" t="n">
        <f aca="false">IF(K165&gt;0,G165/K165,"")</f>
        <v>0.193548387096774</v>
      </c>
      <c r="M165" s="9" t="str">
        <f aca="false">IF(K165=0,"",IF(L165&lt;0.2,"Très masculine (&lt;20 % F)",IF(L165&lt;0.4,"Plutôt masculine (20-40 %)",IF(L165&lt;0.6,"Mixte (40-60 %)","À dominante féminine (≥60 %)"))))</f>
        <v>Très masculine (&lt;20 % F)</v>
      </c>
    </row>
    <row r="166" customFormat="false" ht="15" hidden="false" customHeight="false" outlineLevel="0" collapsed="false">
      <c r="A166" s="9" t="s">
        <v>701</v>
      </c>
      <c r="B166" s="9" t="s">
        <v>702</v>
      </c>
      <c r="C166" s="9" t="s">
        <v>244</v>
      </c>
      <c r="D166" s="9" t="s">
        <v>245</v>
      </c>
      <c r="E166" s="9" t="s">
        <v>100</v>
      </c>
      <c r="F166" s="9" t="s">
        <v>128</v>
      </c>
      <c r="G166" s="10" t="n">
        <v>7</v>
      </c>
      <c r="H166" s="10" t="n">
        <v>52</v>
      </c>
      <c r="I166" s="10" t="n">
        <v>6</v>
      </c>
      <c r="J166" s="10" t="n">
        <v>2</v>
      </c>
      <c r="K166" s="10" t="n">
        <f aca="false">G166+H166</f>
        <v>59</v>
      </c>
      <c r="L166" s="11" t="n">
        <f aca="false">IF(K166&gt;0,G166/K166,"")</f>
        <v>0.11864406779661</v>
      </c>
      <c r="M166" s="9" t="str">
        <f aca="false">IF(K166=0,"",IF(L166&lt;0.2,"Très masculine (&lt;20 % F)",IF(L166&lt;0.4,"Plutôt masculine (20-40 %)",IF(L166&lt;0.6,"Mixte (40-60 %)","À dominante féminine (≥60 %)"))))</f>
        <v>Très masculine (&lt;20 % F)</v>
      </c>
    </row>
    <row r="167" customFormat="false" ht="15" hidden="false" customHeight="false" outlineLevel="0" collapsed="false">
      <c r="A167" s="9" t="s">
        <v>703</v>
      </c>
      <c r="B167" s="9" t="s">
        <v>702</v>
      </c>
      <c r="C167" s="9" t="s">
        <v>244</v>
      </c>
      <c r="D167" s="9" t="s">
        <v>245</v>
      </c>
      <c r="E167" s="9" t="s">
        <v>100</v>
      </c>
      <c r="F167" s="9" t="s">
        <v>128</v>
      </c>
      <c r="G167" s="10" t="n">
        <v>48</v>
      </c>
      <c r="H167" s="10" t="n">
        <v>158</v>
      </c>
      <c r="I167" s="10" t="n">
        <v>14</v>
      </c>
      <c r="J167" s="10" t="n">
        <v>0</v>
      </c>
      <c r="K167" s="10" t="n">
        <f aca="false">G167+H167</f>
        <v>206</v>
      </c>
      <c r="L167" s="11" t="n">
        <f aca="false">IF(K167&gt;0,G167/K167,"")</f>
        <v>0.233009708737864</v>
      </c>
      <c r="M167" s="9" t="str">
        <f aca="false">IF(K167=0,"",IF(L167&lt;0.2,"Très masculine (&lt;20 % F)",IF(L167&lt;0.4,"Plutôt masculine (20-40 %)",IF(L167&lt;0.6,"Mixte (40-60 %)","À dominante féminine (≥60 %)"))))</f>
        <v>Plutôt masculine (20-40 %)</v>
      </c>
    </row>
    <row r="168" customFormat="false" ht="15" hidden="false" customHeight="false" outlineLevel="0" collapsed="false">
      <c r="A168" s="9" t="s">
        <v>704</v>
      </c>
      <c r="B168" s="9" t="s">
        <v>702</v>
      </c>
      <c r="C168" s="9" t="s">
        <v>244</v>
      </c>
      <c r="D168" s="9" t="s">
        <v>245</v>
      </c>
      <c r="E168" s="9" t="s">
        <v>100</v>
      </c>
      <c r="F168" s="9" t="s">
        <v>128</v>
      </c>
      <c r="G168" s="10" t="n">
        <v>93</v>
      </c>
      <c r="H168" s="10" t="n">
        <v>98</v>
      </c>
      <c r="I168" s="10" t="n">
        <v>15</v>
      </c>
      <c r="J168" s="10" t="n">
        <v>4</v>
      </c>
      <c r="K168" s="10" t="n">
        <f aca="false">G168+H168</f>
        <v>191</v>
      </c>
      <c r="L168" s="11" t="n">
        <f aca="false">IF(K168&gt;0,G168/K168,"")</f>
        <v>0.486910994764398</v>
      </c>
      <c r="M168" s="9" t="str">
        <f aca="false">IF(K168=0,"",IF(L168&lt;0.2,"Très masculine (&lt;20 % F)",IF(L168&lt;0.4,"Plutôt masculine (20-40 %)",IF(L168&lt;0.6,"Mixte (40-60 %)","À dominante féminine (≥60 %)"))))</f>
        <v>Mixte (40-60 %)</v>
      </c>
    </row>
    <row r="169" customFormat="false" ht="15" hidden="false" customHeight="false" outlineLevel="0" collapsed="false">
      <c r="A169" s="9" t="s">
        <v>705</v>
      </c>
      <c r="B169" s="9" t="s">
        <v>702</v>
      </c>
      <c r="C169" s="9" t="s">
        <v>244</v>
      </c>
      <c r="D169" s="9" t="s">
        <v>245</v>
      </c>
      <c r="E169" s="9" t="s">
        <v>100</v>
      </c>
      <c r="F169" s="9" t="s">
        <v>128</v>
      </c>
      <c r="G169" s="10" t="n">
        <v>28</v>
      </c>
      <c r="H169" s="10" t="n">
        <v>88</v>
      </c>
      <c r="I169" s="10" t="n">
        <v>15</v>
      </c>
      <c r="J169" s="10" t="n">
        <v>3</v>
      </c>
      <c r="K169" s="10" t="n">
        <f aca="false">G169+H169</f>
        <v>116</v>
      </c>
      <c r="L169" s="11" t="n">
        <f aca="false">IF(K169&gt;0,G169/K169,"")</f>
        <v>0.241379310344828</v>
      </c>
      <c r="M169" s="9" t="str">
        <f aca="false">IF(K169=0,"",IF(L169&lt;0.2,"Très masculine (&lt;20 % F)",IF(L169&lt;0.4,"Plutôt masculine (20-40 %)",IF(L169&lt;0.6,"Mixte (40-60 %)","À dominante féminine (≥60 %)"))))</f>
        <v>Plutôt masculine (20-40 %)</v>
      </c>
    </row>
    <row r="170" customFormat="false" ht="15" hidden="false" customHeight="false" outlineLevel="0" collapsed="false">
      <c r="A170" s="9" t="s">
        <v>706</v>
      </c>
      <c r="B170" s="9" t="s">
        <v>707</v>
      </c>
      <c r="C170" s="9" t="s">
        <v>246</v>
      </c>
      <c r="D170" s="9" t="s">
        <v>241</v>
      </c>
      <c r="E170" s="9" t="s">
        <v>241</v>
      </c>
      <c r="F170" s="9" t="s">
        <v>152</v>
      </c>
      <c r="G170" s="10" t="n">
        <v>76</v>
      </c>
      <c r="H170" s="10" t="n">
        <v>113</v>
      </c>
      <c r="I170" s="10" t="n">
        <v>33</v>
      </c>
      <c r="J170" s="10" t="n">
        <v>0</v>
      </c>
      <c r="K170" s="10" t="n">
        <f aca="false">G170+H170</f>
        <v>189</v>
      </c>
      <c r="L170" s="11" t="n">
        <f aca="false">IF(K170&gt;0,G170/K170,"")</f>
        <v>0.402116402116402</v>
      </c>
      <c r="M170" s="9" t="str">
        <f aca="false">IF(K170=0,"",IF(L170&lt;0.2,"Très masculine (&lt;20 % F)",IF(L170&lt;0.4,"Plutôt masculine (20-40 %)",IF(L170&lt;0.6,"Mixte (40-60 %)","À dominante féminine (≥60 %)"))))</f>
        <v>Mixte (40-60 %)</v>
      </c>
    </row>
    <row r="171" customFormat="false" ht="15" hidden="false" customHeight="false" outlineLevel="0" collapsed="false">
      <c r="A171" s="9" t="s">
        <v>708</v>
      </c>
      <c r="B171" s="9" t="s">
        <v>707</v>
      </c>
      <c r="C171" s="9" t="s">
        <v>246</v>
      </c>
      <c r="D171" s="9" t="s">
        <v>241</v>
      </c>
      <c r="E171" s="9" t="s">
        <v>241</v>
      </c>
      <c r="F171" s="9" t="s">
        <v>152</v>
      </c>
      <c r="G171" s="10" t="n">
        <v>5</v>
      </c>
      <c r="H171" s="10" t="n">
        <v>45</v>
      </c>
      <c r="I171" s="10" t="n">
        <v>4</v>
      </c>
      <c r="J171" s="10" t="n">
        <v>0</v>
      </c>
      <c r="K171" s="10" t="n">
        <f aca="false">G171+H171</f>
        <v>50</v>
      </c>
      <c r="L171" s="11" t="n">
        <f aca="false">IF(K171&gt;0,G171/K171,"")</f>
        <v>0.1</v>
      </c>
      <c r="M171" s="9" t="str">
        <f aca="false">IF(K171=0,"",IF(L171&lt;0.2,"Très masculine (&lt;20 % F)",IF(L171&lt;0.4,"Plutôt masculine (20-40 %)",IF(L171&lt;0.6,"Mixte (40-60 %)","À dominante féminine (≥60 %)"))))</f>
        <v>Très masculine (&lt;20 % F)</v>
      </c>
    </row>
    <row r="172" customFormat="false" ht="15" hidden="false" customHeight="false" outlineLevel="0" collapsed="false">
      <c r="A172" s="9" t="s">
        <v>709</v>
      </c>
      <c r="B172" s="9" t="s">
        <v>707</v>
      </c>
      <c r="C172" s="9" t="s">
        <v>246</v>
      </c>
      <c r="D172" s="9" t="s">
        <v>241</v>
      </c>
      <c r="E172" s="9" t="s">
        <v>241</v>
      </c>
      <c r="F172" s="9" t="s">
        <v>152</v>
      </c>
      <c r="G172" s="10" t="n">
        <v>246</v>
      </c>
      <c r="H172" s="10" t="n">
        <v>578</v>
      </c>
      <c r="I172" s="10" t="n">
        <v>15</v>
      </c>
      <c r="J172" s="10" t="n">
        <v>14</v>
      </c>
      <c r="K172" s="10" t="n">
        <f aca="false">G172+H172</f>
        <v>824</v>
      </c>
      <c r="L172" s="11" t="n">
        <f aca="false">IF(K172&gt;0,G172/K172,"")</f>
        <v>0.298543689320388</v>
      </c>
      <c r="M172" s="9" t="str">
        <f aca="false">IF(K172=0,"",IF(L172&lt;0.2,"Très masculine (&lt;20 % F)",IF(L172&lt;0.4,"Plutôt masculine (20-40 %)",IF(L172&lt;0.6,"Mixte (40-60 %)","À dominante féminine (≥60 %)"))))</f>
        <v>Plutôt masculine (20-40 %)</v>
      </c>
    </row>
    <row r="173" customFormat="false" ht="15" hidden="false" customHeight="false" outlineLevel="0" collapsed="false">
      <c r="A173" s="9" t="s">
        <v>710</v>
      </c>
      <c r="B173" s="9" t="s">
        <v>707</v>
      </c>
      <c r="C173" s="9" t="s">
        <v>246</v>
      </c>
      <c r="D173" s="9" t="s">
        <v>241</v>
      </c>
      <c r="E173" s="9" t="s">
        <v>241</v>
      </c>
      <c r="F173" s="9" t="s">
        <v>152</v>
      </c>
      <c r="G173" s="10" t="n">
        <v>26</v>
      </c>
      <c r="H173" s="10" t="n">
        <v>107</v>
      </c>
      <c r="I173" s="10" t="n">
        <v>30</v>
      </c>
      <c r="J173" s="10" t="n">
        <v>0</v>
      </c>
      <c r="K173" s="10" t="n">
        <f aca="false">G173+H173</f>
        <v>133</v>
      </c>
      <c r="L173" s="11" t="n">
        <f aca="false">IF(K173&gt;0,G173/K173,"")</f>
        <v>0.195488721804511</v>
      </c>
      <c r="M173" s="9" t="str">
        <f aca="false">IF(K173=0,"",IF(L173&lt;0.2,"Très masculine (&lt;20 % F)",IF(L173&lt;0.4,"Plutôt masculine (20-40 %)",IF(L173&lt;0.6,"Mixte (40-60 %)","À dominante féminine (≥60 %)"))))</f>
        <v>Très masculine (&lt;20 % F)</v>
      </c>
    </row>
    <row r="174" customFormat="false" ht="15" hidden="false" customHeight="false" outlineLevel="0" collapsed="false">
      <c r="A174" s="9" t="s">
        <v>711</v>
      </c>
      <c r="B174" s="9" t="s">
        <v>707</v>
      </c>
      <c r="C174" s="9" t="s">
        <v>246</v>
      </c>
      <c r="D174" s="9" t="s">
        <v>241</v>
      </c>
      <c r="E174" s="9" t="s">
        <v>241</v>
      </c>
      <c r="F174" s="9" t="s">
        <v>152</v>
      </c>
      <c r="G174" s="10" t="n">
        <v>159</v>
      </c>
      <c r="H174" s="10" t="n">
        <v>312</v>
      </c>
      <c r="I174" s="10" t="n">
        <v>30</v>
      </c>
      <c r="J174" s="10" t="n">
        <v>6</v>
      </c>
      <c r="K174" s="10" t="n">
        <f aca="false">G174+H174</f>
        <v>471</v>
      </c>
      <c r="L174" s="11" t="n">
        <f aca="false">IF(K174&gt;0,G174/K174,"")</f>
        <v>0.337579617834395</v>
      </c>
      <c r="M174" s="9" t="str">
        <f aca="false">IF(K174=0,"",IF(L174&lt;0.2,"Très masculine (&lt;20 % F)",IF(L174&lt;0.4,"Plutôt masculine (20-40 %)",IF(L174&lt;0.6,"Mixte (40-60 %)","À dominante féminine (≥60 %)"))))</f>
        <v>Plutôt masculine (20-40 %)</v>
      </c>
    </row>
    <row r="175" customFormat="false" ht="15" hidden="false" customHeight="false" outlineLevel="0" collapsed="false">
      <c r="A175" s="9" t="s">
        <v>712</v>
      </c>
      <c r="B175" s="9" t="s">
        <v>707</v>
      </c>
      <c r="C175" s="9" t="s">
        <v>246</v>
      </c>
      <c r="D175" s="9" t="s">
        <v>241</v>
      </c>
      <c r="E175" s="9" t="s">
        <v>241</v>
      </c>
      <c r="F175" s="9" t="s">
        <v>152</v>
      </c>
      <c r="G175" s="10" t="n">
        <v>118</v>
      </c>
      <c r="H175" s="10" t="n">
        <v>108</v>
      </c>
      <c r="I175" s="10" t="n">
        <v>25</v>
      </c>
      <c r="J175" s="10" t="n">
        <v>0</v>
      </c>
      <c r="K175" s="10" t="n">
        <f aca="false">G175+H175</f>
        <v>226</v>
      </c>
      <c r="L175" s="11" t="n">
        <f aca="false">IF(K175&gt;0,G175/K175,"")</f>
        <v>0.52212389380531</v>
      </c>
      <c r="M175" s="9" t="str">
        <f aca="false">IF(K175=0,"",IF(L175&lt;0.2,"Très masculine (&lt;20 % F)",IF(L175&lt;0.4,"Plutôt masculine (20-40 %)",IF(L175&lt;0.6,"Mixte (40-60 %)","À dominante féminine (≥60 %)"))))</f>
        <v>Mixte (40-60 %)</v>
      </c>
    </row>
    <row r="176" customFormat="false" ht="15" hidden="false" customHeight="false" outlineLevel="0" collapsed="false">
      <c r="A176" s="9" t="s">
        <v>713</v>
      </c>
      <c r="B176" s="9" t="s">
        <v>707</v>
      </c>
      <c r="C176" s="9" t="s">
        <v>246</v>
      </c>
      <c r="D176" s="9" t="s">
        <v>241</v>
      </c>
      <c r="E176" s="9" t="s">
        <v>241</v>
      </c>
      <c r="F176" s="9" t="s">
        <v>152</v>
      </c>
      <c r="G176" s="10" t="n">
        <v>2</v>
      </c>
      <c r="H176" s="10" t="n">
        <v>33</v>
      </c>
      <c r="I176" s="10" t="n">
        <v>8</v>
      </c>
      <c r="J176" s="10" t="n">
        <v>0</v>
      </c>
      <c r="K176" s="10" t="n">
        <f aca="false">G176+H176</f>
        <v>35</v>
      </c>
      <c r="L176" s="11" t="n">
        <f aca="false">IF(K176&gt;0,G176/K176,"")</f>
        <v>0.0571428571428571</v>
      </c>
      <c r="M176" s="9" t="str">
        <f aca="false">IF(K176=0,"",IF(L176&lt;0.2,"Très masculine (&lt;20 % F)",IF(L176&lt;0.4,"Plutôt masculine (20-40 %)",IF(L176&lt;0.6,"Mixte (40-60 %)","À dominante féminine (≥60 %)"))))</f>
        <v>Très masculine (&lt;20 % F)</v>
      </c>
    </row>
    <row r="177" customFormat="false" ht="15" hidden="false" customHeight="false" outlineLevel="0" collapsed="false">
      <c r="A177" s="9" t="s">
        <v>714</v>
      </c>
      <c r="B177" s="9" t="s">
        <v>707</v>
      </c>
      <c r="C177" s="9" t="s">
        <v>246</v>
      </c>
      <c r="D177" s="9" t="s">
        <v>241</v>
      </c>
      <c r="E177" s="9" t="s">
        <v>241</v>
      </c>
      <c r="F177" s="9" t="s">
        <v>152</v>
      </c>
      <c r="G177" s="10" t="n">
        <v>12</v>
      </c>
      <c r="H177" s="10" t="n">
        <v>82</v>
      </c>
      <c r="I177" s="10" t="n">
        <v>8</v>
      </c>
      <c r="J177" s="10" t="n">
        <v>2</v>
      </c>
      <c r="K177" s="10" t="n">
        <f aca="false">G177+H177</f>
        <v>94</v>
      </c>
      <c r="L177" s="11" t="n">
        <f aca="false">IF(K177&gt;0,G177/K177,"")</f>
        <v>0.127659574468085</v>
      </c>
      <c r="M177" s="9" t="str">
        <f aca="false">IF(K177=0,"",IF(L177&lt;0.2,"Très masculine (&lt;20 % F)",IF(L177&lt;0.4,"Plutôt masculine (20-40 %)",IF(L177&lt;0.6,"Mixte (40-60 %)","À dominante féminine (≥60 %)"))))</f>
        <v>Très masculine (&lt;20 % F)</v>
      </c>
    </row>
    <row r="178" customFormat="false" ht="15" hidden="false" customHeight="false" outlineLevel="0" collapsed="false">
      <c r="A178" s="9" t="s">
        <v>715</v>
      </c>
      <c r="B178" s="9" t="s">
        <v>707</v>
      </c>
      <c r="C178" s="9" t="s">
        <v>246</v>
      </c>
      <c r="D178" s="9" t="s">
        <v>241</v>
      </c>
      <c r="E178" s="9" t="s">
        <v>241</v>
      </c>
      <c r="F178" s="9" t="s">
        <v>152</v>
      </c>
      <c r="G178" s="10" t="n">
        <v>599</v>
      </c>
      <c r="H178" s="10" t="n">
        <v>142</v>
      </c>
      <c r="I178" s="10" t="n">
        <v>14</v>
      </c>
      <c r="J178" s="10" t="n">
        <v>8</v>
      </c>
      <c r="K178" s="10" t="n">
        <f aca="false">G178+H178</f>
        <v>741</v>
      </c>
      <c r="L178" s="11" t="n">
        <f aca="false">IF(K178&gt;0,G178/K178,"")</f>
        <v>0.808367071524966</v>
      </c>
      <c r="M178" s="9" t="str">
        <f aca="false">IF(K178=0,"",IF(L178&lt;0.2,"Très masculine (&lt;20 % F)",IF(L178&lt;0.4,"Plutôt masculine (20-40 %)",IF(L178&lt;0.6,"Mixte (40-60 %)","À dominante féminine (≥60 %)"))))</f>
        <v>À dominante féminine (≥60 %)</v>
      </c>
    </row>
    <row r="179" customFormat="false" ht="15" hidden="false" customHeight="false" outlineLevel="0" collapsed="false">
      <c r="A179" s="9" t="s">
        <v>716</v>
      </c>
      <c r="B179" s="9" t="s">
        <v>707</v>
      </c>
      <c r="C179" s="9" t="s">
        <v>246</v>
      </c>
      <c r="D179" s="9" t="s">
        <v>241</v>
      </c>
      <c r="E179" s="9" t="s">
        <v>241</v>
      </c>
      <c r="F179" s="9" t="s">
        <v>152</v>
      </c>
      <c r="G179" s="10" t="n">
        <v>42</v>
      </c>
      <c r="H179" s="10" t="n">
        <v>73</v>
      </c>
      <c r="I179" s="10" t="n">
        <v>30</v>
      </c>
      <c r="J179" s="10" t="n">
        <v>0</v>
      </c>
      <c r="K179" s="10" t="n">
        <f aca="false">G179+H179</f>
        <v>115</v>
      </c>
      <c r="L179" s="11" t="n">
        <f aca="false">IF(K179&gt;0,G179/K179,"")</f>
        <v>0.365217391304348</v>
      </c>
      <c r="M179" s="9" t="str">
        <f aca="false">IF(K179=0,"",IF(L179&lt;0.2,"Très masculine (&lt;20 % F)",IF(L179&lt;0.4,"Plutôt masculine (20-40 %)",IF(L179&lt;0.6,"Mixte (40-60 %)","À dominante féminine (≥60 %)"))))</f>
        <v>Plutôt masculine (20-40 %)</v>
      </c>
    </row>
    <row r="180" customFormat="false" ht="15" hidden="false" customHeight="false" outlineLevel="0" collapsed="false">
      <c r="A180" s="9" t="s">
        <v>717</v>
      </c>
      <c r="B180" s="9" t="s">
        <v>707</v>
      </c>
      <c r="C180" s="9" t="s">
        <v>246</v>
      </c>
      <c r="D180" s="9" t="s">
        <v>241</v>
      </c>
      <c r="E180" s="9" t="s">
        <v>241</v>
      </c>
      <c r="F180" s="9" t="s">
        <v>152</v>
      </c>
      <c r="G180" s="10" t="n">
        <v>37</v>
      </c>
      <c r="H180" s="10" t="n">
        <v>176</v>
      </c>
      <c r="I180" s="10" t="n">
        <v>16</v>
      </c>
      <c r="J180" s="10" t="n">
        <v>1</v>
      </c>
      <c r="K180" s="10" t="n">
        <f aca="false">G180+H180</f>
        <v>213</v>
      </c>
      <c r="L180" s="11" t="n">
        <f aca="false">IF(K180&gt;0,G180/K180,"")</f>
        <v>0.173708920187793</v>
      </c>
      <c r="M180" s="9" t="str">
        <f aca="false">IF(K180=0,"",IF(L180&lt;0.2,"Très masculine (&lt;20 % F)",IF(L180&lt;0.4,"Plutôt masculine (20-40 %)",IF(L180&lt;0.6,"Mixte (40-60 %)","À dominante féminine (≥60 %)"))))</f>
        <v>Très masculine (&lt;20 % F)</v>
      </c>
    </row>
    <row r="181" customFormat="false" ht="15" hidden="false" customHeight="false" outlineLevel="0" collapsed="false">
      <c r="A181" s="9" t="s">
        <v>718</v>
      </c>
      <c r="B181" s="9" t="s">
        <v>707</v>
      </c>
      <c r="C181" s="9" t="s">
        <v>246</v>
      </c>
      <c r="D181" s="9" t="s">
        <v>241</v>
      </c>
      <c r="E181" s="9" t="s">
        <v>241</v>
      </c>
      <c r="F181" s="9" t="s">
        <v>152</v>
      </c>
      <c r="G181" s="10" t="n">
        <v>141</v>
      </c>
      <c r="H181" s="10" t="n">
        <v>266</v>
      </c>
      <c r="I181" s="10" t="n">
        <v>7</v>
      </c>
      <c r="J181" s="10" t="n">
        <v>2</v>
      </c>
      <c r="K181" s="10" t="n">
        <f aca="false">G181+H181</f>
        <v>407</v>
      </c>
      <c r="L181" s="11" t="n">
        <f aca="false">IF(K181&gt;0,G181/K181,"")</f>
        <v>0.346437346437346</v>
      </c>
      <c r="M181" s="9" t="str">
        <f aca="false">IF(K181=0,"",IF(L181&lt;0.2,"Très masculine (&lt;20 % F)",IF(L181&lt;0.4,"Plutôt masculine (20-40 %)",IF(L181&lt;0.6,"Mixte (40-60 %)","À dominante féminine (≥60 %)"))))</f>
        <v>Plutôt masculine (20-40 %)</v>
      </c>
    </row>
    <row r="182" customFormat="false" ht="15" hidden="false" customHeight="false" outlineLevel="0" collapsed="false">
      <c r="A182" s="9" t="s">
        <v>719</v>
      </c>
      <c r="B182" s="9" t="s">
        <v>707</v>
      </c>
      <c r="C182" s="9" t="s">
        <v>246</v>
      </c>
      <c r="D182" s="9" t="s">
        <v>241</v>
      </c>
      <c r="E182" s="9" t="s">
        <v>241</v>
      </c>
      <c r="F182" s="9" t="s">
        <v>152</v>
      </c>
      <c r="G182" s="10" t="n">
        <v>205</v>
      </c>
      <c r="H182" s="10" t="n">
        <v>34</v>
      </c>
      <c r="I182" s="10" t="n">
        <v>14</v>
      </c>
      <c r="J182" s="10" t="n">
        <v>0</v>
      </c>
      <c r="K182" s="10" t="n">
        <f aca="false">G182+H182</f>
        <v>239</v>
      </c>
      <c r="L182" s="11" t="n">
        <f aca="false">IF(K182&gt;0,G182/K182,"")</f>
        <v>0.857740585774059</v>
      </c>
      <c r="M182" s="9" t="str">
        <f aca="false">IF(K182=0,"",IF(L182&lt;0.2,"Très masculine (&lt;20 % F)",IF(L182&lt;0.4,"Plutôt masculine (20-40 %)",IF(L182&lt;0.6,"Mixte (40-60 %)","À dominante féminine (≥60 %)"))))</f>
        <v>À dominante féminine (≥60 %)</v>
      </c>
    </row>
    <row r="183" customFormat="false" ht="15" hidden="false" customHeight="false" outlineLevel="0" collapsed="false">
      <c r="A183" s="9" t="s">
        <v>720</v>
      </c>
      <c r="B183" s="9" t="s">
        <v>707</v>
      </c>
      <c r="C183" s="9" t="s">
        <v>246</v>
      </c>
      <c r="D183" s="9" t="s">
        <v>241</v>
      </c>
      <c r="E183" s="9" t="s">
        <v>241</v>
      </c>
      <c r="F183" s="9" t="s">
        <v>152</v>
      </c>
      <c r="G183" s="10" t="n">
        <v>596</v>
      </c>
      <c r="H183" s="10" t="n">
        <v>58</v>
      </c>
      <c r="I183" s="10" t="n">
        <v>7</v>
      </c>
      <c r="J183" s="10" t="n">
        <v>10</v>
      </c>
      <c r="K183" s="10" t="n">
        <f aca="false">G183+H183</f>
        <v>654</v>
      </c>
      <c r="L183" s="11" t="n">
        <f aca="false">IF(K183&gt;0,G183/K183,"")</f>
        <v>0.91131498470948</v>
      </c>
      <c r="M183" s="9" t="str">
        <f aca="false">IF(K183=0,"",IF(L183&lt;0.2,"Très masculine (&lt;20 % F)",IF(L183&lt;0.4,"Plutôt masculine (20-40 %)",IF(L183&lt;0.6,"Mixte (40-60 %)","À dominante féminine (≥60 %)"))))</f>
        <v>À dominante féminine (≥60 %)</v>
      </c>
    </row>
    <row r="184" customFormat="false" ht="15" hidden="false" customHeight="false" outlineLevel="0" collapsed="false">
      <c r="A184" s="9" t="s">
        <v>721</v>
      </c>
      <c r="B184" s="9" t="s">
        <v>707</v>
      </c>
      <c r="C184" s="9" t="s">
        <v>246</v>
      </c>
      <c r="D184" s="9" t="s">
        <v>241</v>
      </c>
      <c r="E184" s="9" t="s">
        <v>241</v>
      </c>
      <c r="F184" s="9" t="s">
        <v>152</v>
      </c>
      <c r="G184" s="10" t="n">
        <v>143</v>
      </c>
      <c r="H184" s="10" t="n">
        <v>161</v>
      </c>
      <c r="I184" s="10" t="n">
        <v>26</v>
      </c>
      <c r="J184" s="10" t="n">
        <v>1</v>
      </c>
      <c r="K184" s="10" t="n">
        <f aca="false">G184+H184</f>
        <v>304</v>
      </c>
      <c r="L184" s="11" t="n">
        <f aca="false">IF(K184&gt;0,G184/K184,"")</f>
        <v>0.470394736842105</v>
      </c>
      <c r="M184" s="9" t="str">
        <f aca="false">IF(K184=0,"",IF(L184&lt;0.2,"Très masculine (&lt;20 % F)",IF(L184&lt;0.4,"Plutôt masculine (20-40 %)",IF(L184&lt;0.6,"Mixte (40-60 %)","À dominante féminine (≥60 %)"))))</f>
        <v>Mixte (40-60 %)</v>
      </c>
    </row>
    <row r="185" customFormat="false" ht="15" hidden="false" customHeight="false" outlineLevel="0" collapsed="false">
      <c r="A185" s="9" t="s">
        <v>722</v>
      </c>
      <c r="B185" s="9" t="s">
        <v>723</v>
      </c>
      <c r="C185" s="9" t="s">
        <v>247</v>
      </c>
      <c r="D185" s="9" t="s">
        <v>248</v>
      </c>
      <c r="E185" s="9" t="s">
        <v>133</v>
      </c>
      <c r="F185" s="9" t="s">
        <v>125</v>
      </c>
      <c r="G185" s="10" t="n">
        <v>23</v>
      </c>
      <c r="H185" s="10" t="n">
        <v>2</v>
      </c>
      <c r="I185" s="10" t="n">
        <v>3</v>
      </c>
      <c r="J185" s="10" t="n">
        <v>1</v>
      </c>
      <c r="K185" s="10" t="n">
        <f aca="false">G185+H185</f>
        <v>25</v>
      </c>
      <c r="L185" s="11" t="n">
        <f aca="false">IF(K185&gt;0,G185/K185,"")</f>
        <v>0.92</v>
      </c>
      <c r="M185" s="9" t="str">
        <f aca="false">IF(K185=0,"",IF(L185&lt;0.2,"Très masculine (&lt;20 % F)",IF(L185&lt;0.4,"Plutôt masculine (20-40 %)",IF(L185&lt;0.6,"Mixte (40-60 %)","À dominante féminine (≥60 %)"))))</f>
        <v>À dominante féminine (≥60 %)</v>
      </c>
    </row>
    <row r="186" customFormat="false" ht="15" hidden="false" customHeight="false" outlineLevel="0" collapsed="false">
      <c r="A186" s="9" t="s">
        <v>724</v>
      </c>
      <c r="B186" s="9" t="s">
        <v>723</v>
      </c>
      <c r="C186" s="9" t="s">
        <v>247</v>
      </c>
      <c r="D186" s="9" t="s">
        <v>248</v>
      </c>
      <c r="E186" s="9" t="s">
        <v>133</v>
      </c>
      <c r="F186" s="9" t="s">
        <v>125</v>
      </c>
      <c r="G186" s="10" t="n">
        <v>15</v>
      </c>
      <c r="H186" s="10" t="n">
        <v>253</v>
      </c>
      <c r="I186" s="10" t="n">
        <v>46</v>
      </c>
      <c r="J186" s="10" t="n">
        <v>0</v>
      </c>
      <c r="K186" s="10" t="n">
        <f aca="false">G186+H186</f>
        <v>268</v>
      </c>
      <c r="L186" s="11" t="n">
        <f aca="false">IF(K186&gt;0,G186/K186,"")</f>
        <v>0.0559701492537313</v>
      </c>
      <c r="M186" s="9" t="str">
        <f aca="false">IF(K186=0,"",IF(L186&lt;0.2,"Très masculine (&lt;20 % F)",IF(L186&lt;0.4,"Plutôt masculine (20-40 %)",IF(L186&lt;0.6,"Mixte (40-60 %)","À dominante féminine (≥60 %)"))))</f>
        <v>Très masculine (&lt;20 % F)</v>
      </c>
    </row>
    <row r="187" customFormat="false" ht="15" hidden="false" customHeight="false" outlineLevel="0" collapsed="false">
      <c r="A187" s="9" t="s">
        <v>725</v>
      </c>
      <c r="B187" s="9" t="s">
        <v>726</v>
      </c>
      <c r="C187" s="9" t="s">
        <v>249</v>
      </c>
      <c r="D187" s="9" t="s">
        <v>133</v>
      </c>
      <c r="E187" s="9" t="s">
        <v>133</v>
      </c>
      <c r="F187" s="9" t="s">
        <v>125</v>
      </c>
      <c r="G187" s="10" t="n">
        <v>180</v>
      </c>
      <c r="H187" s="10" t="n">
        <v>26</v>
      </c>
      <c r="I187" s="10" t="n">
        <v>23</v>
      </c>
      <c r="J187" s="10" t="n">
        <v>1</v>
      </c>
      <c r="K187" s="10" t="n">
        <f aca="false">G187+H187</f>
        <v>206</v>
      </c>
      <c r="L187" s="11" t="n">
        <f aca="false">IF(K187&gt;0,G187/K187,"")</f>
        <v>0.87378640776699</v>
      </c>
      <c r="M187" s="9" t="str">
        <f aca="false">IF(K187=0,"",IF(L187&lt;0.2,"Très masculine (&lt;20 % F)",IF(L187&lt;0.4,"Plutôt masculine (20-40 %)",IF(L187&lt;0.6,"Mixte (40-60 %)","À dominante féminine (≥60 %)"))))</f>
        <v>À dominante féminine (≥60 %)</v>
      </c>
    </row>
    <row r="188" customFormat="false" ht="15" hidden="false" customHeight="false" outlineLevel="0" collapsed="false">
      <c r="A188" s="9" t="s">
        <v>727</v>
      </c>
      <c r="B188" s="9" t="s">
        <v>726</v>
      </c>
      <c r="C188" s="9" t="s">
        <v>249</v>
      </c>
      <c r="D188" s="9" t="s">
        <v>133</v>
      </c>
      <c r="E188" s="9" t="s">
        <v>133</v>
      </c>
      <c r="F188" s="9" t="s">
        <v>125</v>
      </c>
      <c r="G188" s="10" t="n">
        <v>73</v>
      </c>
      <c r="H188" s="10" t="n">
        <v>28</v>
      </c>
      <c r="I188" s="10" t="n">
        <v>11</v>
      </c>
      <c r="J188" s="10" t="n">
        <v>0</v>
      </c>
      <c r="K188" s="10" t="n">
        <f aca="false">G188+H188</f>
        <v>101</v>
      </c>
      <c r="L188" s="11" t="n">
        <f aca="false">IF(K188&gt;0,G188/K188,"")</f>
        <v>0.722772277227723</v>
      </c>
      <c r="M188" s="9" t="str">
        <f aca="false">IF(K188=0,"",IF(L188&lt;0.2,"Très masculine (&lt;20 % F)",IF(L188&lt;0.4,"Plutôt masculine (20-40 %)",IF(L188&lt;0.6,"Mixte (40-60 %)","À dominante féminine (≥60 %)"))))</f>
        <v>À dominante féminine (≥60 %)</v>
      </c>
    </row>
    <row r="189" customFormat="false" ht="15" hidden="false" customHeight="false" outlineLevel="0" collapsed="false">
      <c r="A189" s="9" t="s">
        <v>728</v>
      </c>
      <c r="B189" s="9" t="s">
        <v>726</v>
      </c>
      <c r="C189" s="9" t="s">
        <v>249</v>
      </c>
      <c r="D189" s="9" t="s">
        <v>133</v>
      </c>
      <c r="E189" s="9" t="s">
        <v>133</v>
      </c>
      <c r="F189" s="9" t="s">
        <v>125</v>
      </c>
      <c r="G189" s="10" t="n">
        <v>5</v>
      </c>
      <c r="H189" s="10" t="n">
        <v>6</v>
      </c>
      <c r="I189" s="10" t="n">
        <v>6</v>
      </c>
      <c r="J189" s="10" t="n">
        <v>0</v>
      </c>
      <c r="K189" s="10" t="n">
        <f aca="false">G189+H189</f>
        <v>11</v>
      </c>
      <c r="L189" s="11" t="n">
        <f aca="false">IF(K189&gt;0,G189/K189,"")</f>
        <v>0.454545454545455</v>
      </c>
      <c r="M189" s="9" t="str">
        <f aca="false">IF(K189=0,"",IF(L189&lt;0.2,"Très masculine (&lt;20 % F)",IF(L189&lt;0.4,"Plutôt masculine (20-40 %)",IF(L189&lt;0.6,"Mixte (40-60 %)","À dominante féminine (≥60 %)"))))</f>
        <v>Mixte (40-60 %)</v>
      </c>
    </row>
    <row r="190" customFormat="false" ht="15" hidden="false" customHeight="false" outlineLevel="0" collapsed="false">
      <c r="A190" s="9" t="s">
        <v>729</v>
      </c>
      <c r="B190" s="9" t="s">
        <v>730</v>
      </c>
      <c r="C190" s="9" t="s">
        <v>249</v>
      </c>
      <c r="D190" s="9" t="s">
        <v>133</v>
      </c>
      <c r="E190" s="9" t="s">
        <v>133</v>
      </c>
      <c r="F190" s="9" t="s">
        <v>125</v>
      </c>
      <c r="G190" s="10" t="n">
        <v>80</v>
      </c>
      <c r="H190" s="10" t="n">
        <v>143</v>
      </c>
      <c r="I190" s="10" t="n">
        <v>19</v>
      </c>
      <c r="J190" s="10" t="n">
        <v>0</v>
      </c>
      <c r="K190" s="10" t="n">
        <f aca="false">G190+H190</f>
        <v>223</v>
      </c>
      <c r="L190" s="11" t="n">
        <f aca="false">IF(K190&gt;0,G190/K190,"")</f>
        <v>0.358744394618834</v>
      </c>
      <c r="M190" s="9" t="str">
        <f aca="false">IF(K190=0,"",IF(L190&lt;0.2,"Très masculine (&lt;20 % F)",IF(L190&lt;0.4,"Plutôt masculine (20-40 %)",IF(L190&lt;0.6,"Mixte (40-60 %)","À dominante féminine (≥60 %)"))))</f>
        <v>Plutôt masculine (20-40 %)</v>
      </c>
    </row>
    <row r="191" customFormat="false" ht="15" hidden="false" customHeight="false" outlineLevel="0" collapsed="false">
      <c r="A191" s="9" t="s">
        <v>731</v>
      </c>
      <c r="B191" s="9" t="s">
        <v>726</v>
      </c>
      <c r="C191" s="9" t="s">
        <v>249</v>
      </c>
      <c r="D191" s="9" t="s">
        <v>133</v>
      </c>
      <c r="E191" s="9" t="s">
        <v>133</v>
      </c>
      <c r="F191" s="9" t="s">
        <v>125</v>
      </c>
      <c r="G191" s="10" t="n">
        <v>58</v>
      </c>
      <c r="H191" s="10" t="n">
        <v>36</v>
      </c>
      <c r="I191" s="10" t="n">
        <v>10</v>
      </c>
      <c r="J191" s="10" t="n">
        <v>1</v>
      </c>
      <c r="K191" s="10" t="n">
        <f aca="false">G191+H191</f>
        <v>94</v>
      </c>
      <c r="L191" s="11" t="n">
        <f aca="false">IF(K191&gt;0,G191/K191,"")</f>
        <v>0.617021276595745</v>
      </c>
      <c r="M191" s="9" t="str">
        <f aca="false">IF(K191=0,"",IF(L191&lt;0.2,"Très masculine (&lt;20 % F)",IF(L191&lt;0.4,"Plutôt masculine (20-40 %)",IF(L191&lt;0.6,"Mixte (40-60 %)","À dominante féminine (≥60 %)"))))</f>
        <v>À dominante féminine (≥60 %)</v>
      </c>
    </row>
    <row r="192" customFormat="false" ht="15" hidden="false" customHeight="false" outlineLevel="0" collapsed="false">
      <c r="A192" s="9" t="s">
        <v>732</v>
      </c>
      <c r="B192" s="9" t="s">
        <v>726</v>
      </c>
      <c r="C192" s="9" t="s">
        <v>249</v>
      </c>
      <c r="D192" s="9" t="s">
        <v>133</v>
      </c>
      <c r="E192" s="9" t="s">
        <v>133</v>
      </c>
      <c r="F192" s="9" t="s">
        <v>125</v>
      </c>
      <c r="G192" s="10" t="n">
        <v>3</v>
      </c>
      <c r="H192" s="10" t="n">
        <v>43</v>
      </c>
      <c r="I192" s="10" t="n">
        <v>5</v>
      </c>
      <c r="J192" s="10" t="n">
        <v>0</v>
      </c>
      <c r="K192" s="10" t="n">
        <f aca="false">G192+H192</f>
        <v>46</v>
      </c>
      <c r="L192" s="11" t="n">
        <f aca="false">IF(K192&gt;0,G192/K192,"")</f>
        <v>0.0652173913043478</v>
      </c>
      <c r="M192" s="9" t="str">
        <f aca="false">IF(K192=0,"",IF(L192&lt;0.2,"Très masculine (&lt;20 % F)",IF(L192&lt;0.4,"Plutôt masculine (20-40 %)",IF(L192&lt;0.6,"Mixte (40-60 %)","À dominante féminine (≥60 %)"))))</f>
        <v>Très masculine (&lt;20 % F)</v>
      </c>
    </row>
    <row r="193" customFormat="false" ht="15" hidden="false" customHeight="false" outlineLevel="0" collapsed="false">
      <c r="A193" s="9" t="s">
        <v>733</v>
      </c>
      <c r="B193" s="9" t="s">
        <v>726</v>
      </c>
      <c r="C193" s="9" t="s">
        <v>249</v>
      </c>
      <c r="D193" s="9" t="s">
        <v>133</v>
      </c>
      <c r="E193" s="9" t="s">
        <v>133</v>
      </c>
      <c r="F193" s="9" t="s">
        <v>125</v>
      </c>
      <c r="G193" s="10" t="n">
        <v>49</v>
      </c>
      <c r="H193" s="10" t="n">
        <v>31</v>
      </c>
      <c r="I193" s="10" t="n">
        <v>3</v>
      </c>
      <c r="J193" s="10" t="n">
        <v>2</v>
      </c>
      <c r="K193" s="10" t="n">
        <f aca="false">G193+H193</f>
        <v>80</v>
      </c>
      <c r="L193" s="11" t="n">
        <f aca="false">IF(K193&gt;0,G193/K193,"")</f>
        <v>0.6125</v>
      </c>
      <c r="M193" s="9" t="str">
        <f aca="false">IF(K193=0,"",IF(L193&lt;0.2,"Très masculine (&lt;20 % F)",IF(L193&lt;0.4,"Plutôt masculine (20-40 %)",IF(L193&lt;0.6,"Mixte (40-60 %)","À dominante féminine (≥60 %)"))))</f>
        <v>À dominante féminine (≥60 %)</v>
      </c>
    </row>
    <row r="194" customFormat="false" ht="15" hidden="false" customHeight="false" outlineLevel="0" collapsed="false">
      <c r="A194" s="9" t="s">
        <v>734</v>
      </c>
      <c r="B194" s="9" t="s">
        <v>726</v>
      </c>
      <c r="C194" s="9" t="s">
        <v>249</v>
      </c>
      <c r="D194" s="9" t="s">
        <v>133</v>
      </c>
      <c r="E194" s="9" t="s">
        <v>133</v>
      </c>
      <c r="F194" s="9" t="s">
        <v>125</v>
      </c>
      <c r="G194" s="10" t="n">
        <v>56</v>
      </c>
      <c r="H194" s="10" t="n">
        <v>84</v>
      </c>
      <c r="I194" s="10" t="n">
        <v>32</v>
      </c>
      <c r="J194" s="10" t="n">
        <v>0</v>
      </c>
      <c r="K194" s="10" t="n">
        <f aca="false">G194+H194</f>
        <v>140</v>
      </c>
      <c r="L194" s="11" t="n">
        <f aca="false">IF(K194&gt;0,G194/K194,"")</f>
        <v>0.4</v>
      </c>
      <c r="M194" s="9" t="str">
        <f aca="false">IF(K194=0,"",IF(L194&lt;0.2,"Très masculine (&lt;20 % F)",IF(L194&lt;0.4,"Plutôt masculine (20-40 %)",IF(L194&lt;0.6,"Mixte (40-60 %)","À dominante féminine (≥60 %)"))))</f>
        <v>Mixte (40-60 %)</v>
      </c>
    </row>
    <row r="195" customFormat="false" ht="15" hidden="false" customHeight="false" outlineLevel="0" collapsed="false">
      <c r="A195" s="9" t="s">
        <v>735</v>
      </c>
      <c r="B195" s="9" t="s">
        <v>726</v>
      </c>
      <c r="C195" s="9" t="s">
        <v>249</v>
      </c>
      <c r="D195" s="9" t="s">
        <v>133</v>
      </c>
      <c r="E195" s="9" t="s">
        <v>133</v>
      </c>
      <c r="F195" s="9" t="s">
        <v>125</v>
      </c>
      <c r="G195" s="10" t="n">
        <v>6</v>
      </c>
      <c r="H195" s="10" t="n">
        <v>52</v>
      </c>
      <c r="I195" s="10" t="n">
        <v>13</v>
      </c>
      <c r="J195" s="10" t="n">
        <v>0</v>
      </c>
      <c r="K195" s="10" t="n">
        <f aca="false">G195+H195</f>
        <v>58</v>
      </c>
      <c r="L195" s="11" t="n">
        <f aca="false">IF(K195&gt;0,G195/K195,"")</f>
        <v>0.103448275862069</v>
      </c>
      <c r="M195" s="9" t="str">
        <f aca="false">IF(K195=0,"",IF(L195&lt;0.2,"Très masculine (&lt;20 % F)",IF(L195&lt;0.4,"Plutôt masculine (20-40 %)",IF(L195&lt;0.6,"Mixte (40-60 %)","À dominante féminine (≥60 %)"))))</f>
        <v>Très masculine (&lt;20 % F)</v>
      </c>
    </row>
    <row r="196" customFormat="false" ht="15" hidden="false" customHeight="false" outlineLevel="0" collapsed="false">
      <c r="A196" s="9" t="s">
        <v>736</v>
      </c>
      <c r="B196" s="9" t="s">
        <v>737</v>
      </c>
      <c r="C196" s="9" t="s">
        <v>250</v>
      </c>
      <c r="D196" s="9" t="s">
        <v>229</v>
      </c>
      <c r="E196" s="9" t="s">
        <v>229</v>
      </c>
      <c r="F196" s="9" t="s">
        <v>152</v>
      </c>
      <c r="G196" s="10" t="n">
        <v>311</v>
      </c>
      <c r="H196" s="10" t="n">
        <v>35</v>
      </c>
      <c r="I196" s="10" t="n">
        <v>10</v>
      </c>
      <c r="J196" s="10" t="n">
        <v>8</v>
      </c>
      <c r="K196" s="10" t="n">
        <f aca="false">G196+H196</f>
        <v>346</v>
      </c>
      <c r="L196" s="11" t="n">
        <f aca="false">IF(K196&gt;0,G196/K196,"")</f>
        <v>0.898843930635838</v>
      </c>
      <c r="M196" s="9" t="str">
        <f aca="false">IF(K196=0,"",IF(L196&lt;0.2,"Très masculine (&lt;20 % F)",IF(L196&lt;0.4,"Plutôt masculine (20-40 %)",IF(L196&lt;0.6,"Mixte (40-60 %)","À dominante féminine (≥60 %)"))))</f>
        <v>À dominante féminine (≥60 %)</v>
      </c>
    </row>
    <row r="197" customFormat="false" ht="15" hidden="false" customHeight="false" outlineLevel="0" collapsed="false">
      <c r="A197" s="9" t="s">
        <v>738</v>
      </c>
      <c r="B197" s="9" t="s">
        <v>737</v>
      </c>
      <c r="C197" s="9" t="s">
        <v>250</v>
      </c>
      <c r="D197" s="9" t="s">
        <v>229</v>
      </c>
      <c r="E197" s="9" t="s">
        <v>229</v>
      </c>
      <c r="F197" s="9" t="s">
        <v>152</v>
      </c>
      <c r="G197" s="10" t="n">
        <v>429</v>
      </c>
      <c r="H197" s="10" t="n">
        <v>208</v>
      </c>
      <c r="I197" s="10" t="n">
        <v>60</v>
      </c>
      <c r="J197" s="10" t="n">
        <v>0</v>
      </c>
      <c r="K197" s="10" t="n">
        <f aca="false">G197+H197</f>
        <v>637</v>
      </c>
      <c r="L197" s="11" t="n">
        <f aca="false">IF(K197&gt;0,G197/K197,"")</f>
        <v>0.673469387755102</v>
      </c>
      <c r="M197" s="9" t="str">
        <f aca="false">IF(K197=0,"",IF(L197&lt;0.2,"Très masculine (&lt;20 % F)",IF(L197&lt;0.4,"Plutôt masculine (20-40 %)",IF(L197&lt;0.6,"Mixte (40-60 %)","À dominante féminine (≥60 %)"))))</f>
        <v>À dominante féminine (≥60 %)</v>
      </c>
    </row>
    <row r="198" customFormat="false" ht="15" hidden="false" customHeight="false" outlineLevel="0" collapsed="false">
      <c r="A198" s="9" t="s">
        <v>739</v>
      </c>
      <c r="B198" s="9" t="s">
        <v>737</v>
      </c>
      <c r="C198" s="9" t="s">
        <v>250</v>
      </c>
      <c r="D198" s="9" t="s">
        <v>229</v>
      </c>
      <c r="E198" s="9" t="s">
        <v>229</v>
      </c>
      <c r="F198" s="9" t="s">
        <v>152</v>
      </c>
      <c r="G198" s="10" t="n">
        <v>132</v>
      </c>
      <c r="H198" s="10" t="n">
        <v>236</v>
      </c>
      <c r="I198" s="10" t="n">
        <v>10</v>
      </c>
      <c r="J198" s="10" t="n">
        <v>11</v>
      </c>
      <c r="K198" s="10" t="n">
        <f aca="false">G198+H198</f>
        <v>368</v>
      </c>
      <c r="L198" s="11" t="n">
        <f aca="false">IF(K198&gt;0,G198/K198,"")</f>
        <v>0.358695652173913</v>
      </c>
      <c r="M198" s="9" t="str">
        <f aca="false">IF(K198=0,"",IF(L198&lt;0.2,"Très masculine (&lt;20 % F)",IF(L198&lt;0.4,"Plutôt masculine (20-40 %)",IF(L198&lt;0.6,"Mixte (40-60 %)","À dominante féminine (≥60 %)"))))</f>
        <v>Plutôt masculine (20-40 %)</v>
      </c>
    </row>
    <row r="199" customFormat="false" ht="15" hidden="false" customHeight="false" outlineLevel="0" collapsed="false">
      <c r="A199" s="9" t="s">
        <v>740</v>
      </c>
      <c r="B199" s="9" t="s">
        <v>737</v>
      </c>
      <c r="C199" s="9" t="s">
        <v>250</v>
      </c>
      <c r="D199" s="9" t="s">
        <v>229</v>
      </c>
      <c r="E199" s="9" t="s">
        <v>229</v>
      </c>
      <c r="F199" s="9" t="s">
        <v>152</v>
      </c>
      <c r="G199" s="10" t="n">
        <v>3</v>
      </c>
      <c r="H199" s="10" t="n">
        <v>87</v>
      </c>
      <c r="I199" s="10" t="n">
        <v>7</v>
      </c>
      <c r="J199" s="10" t="n">
        <v>0</v>
      </c>
      <c r="K199" s="10" t="n">
        <f aca="false">G199+H199</f>
        <v>90</v>
      </c>
      <c r="L199" s="11" t="n">
        <f aca="false">IF(K199&gt;0,G199/K199,"")</f>
        <v>0.0333333333333333</v>
      </c>
      <c r="M199" s="9" t="str">
        <f aca="false">IF(K199=0,"",IF(L199&lt;0.2,"Très masculine (&lt;20 % F)",IF(L199&lt;0.4,"Plutôt masculine (20-40 %)",IF(L199&lt;0.6,"Mixte (40-60 %)","À dominante féminine (≥60 %)"))))</f>
        <v>Très masculine (&lt;20 % F)</v>
      </c>
    </row>
    <row r="200" customFormat="false" ht="15" hidden="false" customHeight="false" outlineLevel="0" collapsed="false">
      <c r="A200" s="9" t="s">
        <v>741</v>
      </c>
      <c r="B200" s="9" t="s">
        <v>742</v>
      </c>
      <c r="C200" s="9" t="s">
        <v>250</v>
      </c>
      <c r="D200" s="9" t="s">
        <v>229</v>
      </c>
      <c r="E200" s="9" t="s">
        <v>229</v>
      </c>
      <c r="F200" s="9" t="s">
        <v>152</v>
      </c>
      <c r="G200" s="10" t="n">
        <v>7</v>
      </c>
      <c r="H200" s="10" t="n">
        <v>68</v>
      </c>
      <c r="I200" s="10" t="n">
        <v>12</v>
      </c>
      <c r="J200" s="10" t="n">
        <v>0</v>
      </c>
      <c r="K200" s="10" t="n">
        <f aca="false">G200+H200</f>
        <v>75</v>
      </c>
      <c r="L200" s="11" t="n">
        <f aca="false">IF(K200&gt;0,G200/K200,"")</f>
        <v>0.0933333333333333</v>
      </c>
      <c r="M200" s="9" t="str">
        <f aca="false">IF(K200=0,"",IF(L200&lt;0.2,"Très masculine (&lt;20 % F)",IF(L200&lt;0.4,"Plutôt masculine (20-40 %)",IF(L200&lt;0.6,"Mixte (40-60 %)","À dominante féminine (≥60 %)"))))</f>
        <v>Très masculine (&lt;20 % F)</v>
      </c>
    </row>
    <row r="201" customFormat="false" ht="15" hidden="false" customHeight="false" outlineLevel="0" collapsed="false">
      <c r="A201" s="9" t="s">
        <v>743</v>
      </c>
      <c r="B201" s="9" t="s">
        <v>737</v>
      </c>
      <c r="C201" s="9" t="s">
        <v>250</v>
      </c>
      <c r="D201" s="9" t="s">
        <v>229</v>
      </c>
      <c r="E201" s="9" t="s">
        <v>229</v>
      </c>
      <c r="F201" s="9" t="s">
        <v>152</v>
      </c>
      <c r="G201" s="10" t="n">
        <v>9</v>
      </c>
      <c r="H201" s="10" t="n">
        <v>66</v>
      </c>
      <c r="I201" s="10" t="n">
        <v>9</v>
      </c>
      <c r="J201" s="10" t="n">
        <v>0</v>
      </c>
      <c r="K201" s="10" t="n">
        <f aca="false">G201+H201</f>
        <v>75</v>
      </c>
      <c r="L201" s="11" t="n">
        <f aca="false">IF(K201&gt;0,G201/K201,"")</f>
        <v>0.12</v>
      </c>
      <c r="M201" s="9" t="str">
        <f aca="false">IF(K201=0,"",IF(L201&lt;0.2,"Très masculine (&lt;20 % F)",IF(L201&lt;0.4,"Plutôt masculine (20-40 %)",IF(L201&lt;0.6,"Mixte (40-60 %)","À dominante féminine (≥60 %)"))))</f>
        <v>Très masculine (&lt;20 % F)</v>
      </c>
    </row>
    <row r="202" customFormat="false" ht="15" hidden="false" customHeight="false" outlineLevel="0" collapsed="false">
      <c r="A202" s="9" t="s">
        <v>744</v>
      </c>
      <c r="B202" s="9" t="s">
        <v>737</v>
      </c>
      <c r="C202" s="9" t="s">
        <v>250</v>
      </c>
      <c r="D202" s="9" t="s">
        <v>229</v>
      </c>
      <c r="E202" s="9" t="s">
        <v>229</v>
      </c>
      <c r="F202" s="9" t="s">
        <v>152</v>
      </c>
      <c r="G202" s="10" t="n">
        <v>132</v>
      </c>
      <c r="H202" s="10" t="n">
        <v>522</v>
      </c>
      <c r="I202" s="10" t="n">
        <v>20</v>
      </c>
      <c r="J202" s="10" t="n">
        <v>9</v>
      </c>
      <c r="K202" s="10" t="n">
        <f aca="false">G202+H202</f>
        <v>654</v>
      </c>
      <c r="L202" s="11" t="n">
        <f aca="false">IF(K202&gt;0,G202/K202,"")</f>
        <v>0.201834862385321</v>
      </c>
      <c r="M202" s="9" t="str">
        <f aca="false">IF(K202=0,"",IF(L202&lt;0.2,"Très masculine (&lt;20 % F)",IF(L202&lt;0.4,"Plutôt masculine (20-40 %)",IF(L202&lt;0.6,"Mixte (40-60 %)","À dominante féminine (≥60 %)"))))</f>
        <v>Plutôt masculine (20-40 %)</v>
      </c>
    </row>
    <row r="203" customFormat="false" ht="15" hidden="false" customHeight="false" outlineLevel="0" collapsed="false">
      <c r="A203" s="9" t="s">
        <v>745</v>
      </c>
      <c r="B203" s="9" t="s">
        <v>737</v>
      </c>
      <c r="C203" s="9" t="s">
        <v>250</v>
      </c>
      <c r="D203" s="9" t="s">
        <v>229</v>
      </c>
      <c r="E203" s="9" t="s">
        <v>229</v>
      </c>
      <c r="F203" s="9" t="s">
        <v>152</v>
      </c>
      <c r="G203" s="10" t="n">
        <v>104</v>
      </c>
      <c r="H203" s="10" t="n">
        <v>819</v>
      </c>
      <c r="I203" s="10" t="n">
        <v>40</v>
      </c>
      <c r="J203" s="10" t="n">
        <v>1</v>
      </c>
      <c r="K203" s="10" t="n">
        <f aca="false">G203+H203</f>
        <v>923</v>
      </c>
      <c r="L203" s="11" t="n">
        <f aca="false">IF(K203&gt;0,G203/K203,"")</f>
        <v>0.112676056338028</v>
      </c>
      <c r="M203" s="9" t="str">
        <f aca="false">IF(K203=0,"",IF(L203&lt;0.2,"Très masculine (&lt;20 % F)",IF(L203&lt;0.4,"Plutôt masculine (20-40 %)",IF(L203&lt;0.6,"Mixte (40-60 %)","À dominante féminine (≥60 %)"))))</f>
        <v>Très masculine (&lt;20 % F)</v>
      </c>
    </row>
    <row r="204" customFormat="false" ht="15" hidden="false" customHeight="false" outlineLevel="0" collapsed="false">
      <c r="A204" s="9" t="s">
        <v>746</v>
      </c>
      <c r="B204" s="9" t="s">
        <v>737</v>
      </c>
      <c r="C204" s="9" t="s">
        <v>250</v>
      </c>
      <c r="D204" s="9" t="s">
        <v>229</v>
      </c>
      <c r="E204" s="9" t="s">
        <v>229</v>
      </c>
      <c r="F204" s="9" t="s">
        <v>152</v>
      </c>
      <c r="G204" s="10" t="n">
        <v>40</v>
      </c>
      <c r="H204" s="10" t="n">
        <v>208</v>
      </c>
      <c r="I204" s="10" t="n">
        <v>20</v>
      </c>
      <c r="J204" s="10" t="n">
        <v>1</v>
      </c>
      <c r="K204" s="10" t="n">
        <f aca="false">G204+H204</f>
        <v>248</v>
      </c>
      <c r="L204" s="11" t="n">
        <f aca="false">IF(K204&gt;0,G204/K204,"")</f>
        <v>0.161290322580645</v>
      </c>
      <c r="M204" s="9" t="str">
        <f aca="false">IF(K204=0,"",IF(L204&lt;0.2,"Très masculine (&lt;20 % F)",IF(L204&lt;0.4,"Plutôt masculine (20-40 %)",IF(L204&lt;0.6,"Mixte (40-60 %)","À dominante féminine (≥60 %)"))))</f>
        <v>Très masculine (&lt;20 % F)</v>
      </c>
    </row>
    <row r="205" customFormat="false" ht="15" hidden="false" customHeight="false" outlineLevel="0" collapsed="false">
      <c r="A205" s="9" t="s">
        <v>747</v>
      </c>
      <c r="B205" s="9" t="s">
        <v>737</v>
      </c>
      <c r="C205" s="9" t="s">
        <v>250</v>
      </c>
      <c r="D205" s="9" t="s">
        <v>229</v>
      </c>
      <c r="E205" s="9" t="s">
        <v>229</v>
      </c>
      <c r="F205" s="9" t="s">
        <v>152</v>
      </c>
      <c r="G205" s="10" t="n">
        <v>24</v>
      </c>
      <c r="H205" s="10" t="n">
        <v>88</v>
      </c>
      <c r="I205" s="10" t="n">
        <v>10</v>
      </c>
      <c r="J205" s="10" t="n">
        <v>0</v>
      </c>
      <c r="K205" s="10" t="n">
        <f aca="false">G205+H205</f>
        <v>112</v>
      </c>
      <c r="L205" s="11" t="n">
        <f aca="false">IF(K205&gt;0,G205/K205,"")</f>
        <v>0.214285714285714</v>
      </c>
      <c r="M205" s="9" t="str">
        <f aca="false">IF(K205=0,"",IF(L205&lt;0.2,"Très masculine (&lt;20 % F)",IF(L205&lt;0.4,"Plutôt masculine (20-40 %)",IF(L205&lt;0.6,"Mixte (40-60 %)","À dominante féminine (≥60 %)"))))</f>
        <v>Plutôt masculine (20-40 %)</v>
      </c>
    </row>
    <row r="206" customFormat="false" ht="15" hidden="false" customHeight="false" outlineLevel="0" collapsed="false">
      <c r="A206" s="9" t="s">
        <v>748</v>
      </c>
      <c r="B206" s="9" t="s">
        <v>749</v>
      </c>
      <c r="C206" s="9" t="s">
        <v>250</v>
      </c>
      <c r="D206" s="9" t="s">
        <v>229</v>
      </c>
      <c r="E206" s="9" t="s">
        <v>229</v>
      </c>
      <c r="F206" s="9" t="s">
        <v>152</v>
      </c>
      <c r="G206" s="10" t="n">
        <v>131</v>
      </c>
      <c r="H206" s="10" t="n">
        <v>478</v>
      </c>
      <c r="I206" s="10" t="n">
        <v>80</v>
      </c>
      <c r="J206" s="10" t="n">
        <v>2</v>
      </c>
      <c r="K206" s="10" t="n">
        <f aca="false">G206+H206</f>
        <v>609</v>
      </c>
      <c r="L206" s="11" t="n">
        <f aca="false">IF(K206&gt;0,G206/K206,"")</f>
        <v>0.215106732348112</v>
      </c>
      <c r="M206" s="9" t="str">
        <f aca="false">IF(K206=0,"",IF(L206&lt;0.2,"Très masculine (&lt;20 % F)",IF(L206&lt;0.4,"Plutôt masculine (20-40 %)",IF(L206&lt;0.6,"Mixte (40-60 %)","À dominante féminine (≥60 %)"))))</f>
        <v>Plutôt masculine (20-40 %)</v>
      </c>
    </row>
    <row r="207" customFormat="false" ht="15" hidden="false" customHeight="false" outlineLevel="0" collapsed="false">
      <c r="A207" s="9" t="s">
        <v>750</v>
      </c>
      <c r="B207" s="9" t="s">
        <v>737</v>
      </c>
      <c r="C207" s="9" t="s">
        <v>250</v>
      </c>
      <c r="D207" s="9" t="s">
        <v>229</v>
      </c>
      <c r="E207" s="9" t="s">
        <v>229</v>
      </c>
      <c r="F207" s="9" t="s">
        <v>152</v>
      </c>
      <c r="G207" s="10" t="n">
        <v>28</v>
      </c>
      <c r="H207" s="10" t="n">
        <v>35</v>
      </c>
      <c r="I207" s="10" t="n">
        <v>63</v>
      </c>
      <c r="J207" s="10" t="n">
        <v>0</v>
      </c>
      <c r="K207" s="10" t="n">
        <f aca="false">G207+H207</f>
        <v>63</v>
      </c>
      <c r="L207" s="11" t="n">
        <f aca="false">IF(K207&gt;0,G207/K207,"")</f>
        <v>0.444444444444444</v>
      </c>
      <c r="M207" s="9" t="str">
        <f aca="false">IF(K207=0,"",IF(L207&lt;0.2,"Très masculine (&lt;20 % F)",IF(L207&lt;0.4,"Plutôt masculine (20-40 %)",IF(L207&lt;0.6,"Mixte (40-60 %)","À dominante féminine (≥60 %)"))))</f>
        <v>Mixte (40-60 %)</v>
      </c>
    </row>
    <row r="208" customFormat="false" ht="15" hidden="false" customHeight="false" outlineLevel="0" collapsed="false">
      <c r="A208" s="9" t="s">
        <v>751</v>
      </c>
      <c r="B208" s="9" t="s">
        <v>737</v>
      </c>
      <c r="C208" s="9" t="s">
        <v>250</v>
      </c>
      <c r="D208" s="9" t="s">
        <v>229</v>
      </c>
      <c r="E208" s="9" t="s">
        <v>229</v>
      </c>
      <c r="F208" s="9" t="s">
        <v>152</v>
      </c>
      <c r="G208" s="10" t="n">
        <v>134</v>
      </c>
      <c r="H208" s="10" t="n">
        <v>260</v>
      </c>
      <c r="I208" s="10" t="n">
        <v>20</v>
      </c>
      <c r="J208" s="10" t="n">
        <v>6</v>
      </c>
      <c r="K208" s="10" t="n">
        <f aca="false">G208+H208</f>
        <v>394</v>
      </c>
      <c r="L208" s="11" t="n">
        <f aca="false">IF(K208&gt;0,G208/K208,"")</f>
        <v>0.34010152284264</v>
      </c>
      <c r="M208" s="9" t="str">
        <f aca="false">IF(K208=0,"",IF(L208&lt;0.2,"Très masculine (&lt;20 % F)",IF(L208&lt;0.4,"Plutôt masculine (20-40 %)",IF(L208&lt;0.6,"Mixte (40-60 %)","À dominante féminine (≥60 %)"))))</f>
        <v>Plutôt masculine (20-40 %)</v>
      </c>
    </row>
    <row r="209" customFormat="false" ht="15" hidden="false" customHeight="false" outlineLevel="0" collapsed="false">
      <c r="A209" s="9" t="s">
        <v>752</v>
      </c>
      <c r="B209" s="9" t="s">
        <v>753</v>
      </c>
      <c r="C209" s="9" t="s">
        <v>257</v>
      </c>
      <c r="D209" s="9" t="s">
        <v>258</v>
      </c>
      <c r="E209" s="9" t="s">
        <v>140</v>
      </c>
      <c r="F209" s="9" t="s">
        <v>152</v>
      </c>
      <c r="G209" s="10" t="n">
        <v>8</v>
      </c>
      <c r="H209" s="10" t="n">
        <v>4</v>
      </c>
      <c r="I209" s="10" t="n">
        <v>3</v>
      </c>
      <c r="J209" s="10" t="n">
        <v>0</v>
      </c>
      <c r="K209" s="10" t="n">
        <f aca="false">G209+H209</f>
        <v>12</v>
      </c>
      <c r="L209" s="11" t="n">
        <f aca="false">IF(K209&gt;0,G209/K209,"")</f>
        <v>0.666666666666667</v>
      </c>
      <c r="M209" s="9" t="str">
        <f aca="false">IF(K209=0,"",IF(L209&lt;0.2,"Très masculine (&lt;20 % F)",IF(L209&lt;0.4,"Plutôt masculine (20-40 %)",IF(L209&lt;0.6,"Mixte (40-60 %)","À dominante féminine (≥60 %)"))))</f>
        <v>À dominante féminine (≥60 %)</v>
      </c>
    </row>
    <row r="210" customFormat="false" ht="15" hidden="false" customHeight="false" outlineLevel="0" collapsed="false">
      <c r="A210" s="9" t="s">
        <v>754</v>
      </c>
      <c r="B210" s="9" t="s">
        <v>753</v>
      </c>
      <c r="C210" s="9" t="s">
        <v>257</v>
      </c>
      <c r="D210" s="9" t="s">
        <v>258</v>
      </c>
      <c r="E210" s="9" t="s">
        <v>140</v>
      </c>
      <c r="F210" s="9" t="s">
        <v>152</v>
      </c>
      <c r="G210" s="10" t="n">
        <v>78</v>
      </c>
      <c r="H210" s="10" t="n">
        <v>211</v>
      </c>
      <c r="I210" s="10" t="n">
        <v>8</v>
      </c>
      <c r="J210" s="10" t="n">
        <v>1</v>
      </c>
      <c r="K210" s="10" t="n">
        <f aca="false">G210+H210</f>
        <v>289</v>
      </c>
      <c r="L210" s="11" t="n">
        <f aca="false">IF(K210&gt;0,G210/K210,"")</f>
        <v>0.269896193771626</v>
      </c>
      <c r="M210" s="9" t="str">
        <f aca="false">IF(K210=0,"",IF(L210&lt;0.2,"Très masculine (&lt;20 % F)",IF(L210&lt;0.4,"Plutôt masculine (20-40 %)",IF(L210&lt;0.6,"Mixte (40-60 %)","À dominante féminine (≥60 %)"))))</f>
        <v>Plutôt masculine (20-40 %)</v>
      </c>
    </row>
    <row r="211" customFormat="false" ht="15" hidden="false" customHeight="false" outlineLevel="0" collapsed="false">
      <c r="A211" s="9" t="s">
        <v>755</v>
      </c>
      <c r="B211" s="9" t="s">
        <v>753</v>
      </c>
      <c r="C211" s="9" t="s">
        <v>257</v>
      </c>
      <c r="D211" s="9" t="s">
        <v>258</v>
      </c>
      <c r="E211" s="9" t="s">
        <v>140</v>
      </c>
      <c r="F211" s="9" t="s">
        <v>152</v>
      </c>
      <c r="G211" s="10" t="n">
        <v>136</v>
      </c>
      <c r="H211" s="10" t="n">
        <v>5</v>
      </c>
      <c r="I211" s="10" t="n">
        <v>5</v>
      </c>
      <c r="J211" s="10" t="n">
        <v>4</v>
      </c>
      <c r="K211" s="10" t="n">
        <f aca="false">G211+H211</f>
        <v>141</v>
      </c>
      <c r="L211" s="11" t="n">
        <f aca="false">IF(K211&gt;0,G211/K211,"")</f>
        <v>0.964539007092199</v>
      </c>
      <c r="M211" s="9" t="str">
        <f aca="false">IF(K211=0,"",IF(L211&lt;0.2,"Très masculine (&lt;20 % F)",IF(L211&lt;0.4,"Plutôt masculine (20-40 %)",IF(L211&lt;0.6,"Mixte (40-60 %)","À dominante féminine (≥60 %)"))))</f>
        <v>À dominante féminine (≥60 %)</v>
      </c>
    </row>
    <row r="212" customFormat="false" ht="15" hidden="false" customHeight="false" outlineLevel="0" collapsed="false">
      <c r="A212" s="9" t="s">
        <v>756</v>
      </c>
      <c r="B212" s="9" t="s">
        <v>753</v>
      </c>
      <c r="C212" s="9" t="s">
        <v>257</v>
      </c>
      <c r="D212" s="9" t="s">
        <v>258</v>
      </c>
      <c r="E212" s="9" t="s">
        <v>140</v>
      </c>
      <c r="F212" s="9" t="s">
        <v>152</v>
      </c>
      <c r="G212" s="10" t="n">
        <v>24</v>
      </c>
      <c r="H212" s="10" t="n">
        <v>122</v>
      </c>
      <c r="I212" s="10" t="n">
        <v>146</v>
      </c>
      <c r="J212" s="10" t="n">
        <v>0</v>
      </c>
      <c r="K212" s="10" t="n">
        <f aca="false">G212+H212</f>
        <v>146</v>
      </c>
      <c r="L212" s="11" t="n">
        <f aca="false">IF(K212&gt;0,G212/K212,"")</f>
        <v>0.164383561643836</v>
      </c>
      <c r="M212" s="9" t="str">
        <f aca="false">IF(K212=0,"",IF(L212&lt;0.2,"Très masculine (&lt;20 % F)",IF(L212&lt;0.4,"Plutôt masculine (20-40 %)",IF(L212&lt;0.6,"Mixte (40-60 %)","À dominante féminine (≥60 %)"))))</f>
        <v>Très masculine (&lt;20 % F)</v>
      </c>
    </row>
    <row r="213" customFormat="false" ht="15" hidden="false" customHeight="false" outlineLevel="0" collapsed="false">
      <c r="A213" s="9" t="s">
        <v>757</v>
      </c>
      <c r="B213" s="9" t="s">
        <v>753</v>
      </c>
      <c r="C213" s="9" t="s">
        <v>257</v>
      </c>
      <c r="D213" s="9" t="s">
        <v>258</v>
      </c>
      <c r="E213" s="9" t="s">
        <v>140</v>
      </c>
      <c r="F213" s="9" t="s">
        <v>152</v>
      </c>
      <c r="G213" s="10" t="n">
        <v>205</v>
      </c>
      <c r="H213" s="10" t="n">
        <v>19</v>
      </c>
      <c r="I213" s="10" t="n">
        <v>4</v>
      </c>
      <c r="J213" s="10" t="n">
        <v>5</v>
      </c>
      <c r="K213" s="10" t="n">
        <f aca="false">G213+H213</f>
        <v>224</v>
      </c>
      <c r="L213" s="11" t="n">
        <f aca="false">IF(K213&gt;0,G213/K213,"")</f>
        <v>0.915178571428571</v>
      </c>
      <c r="M213" s="9" t="str">
        <f aca="false">IF(K213=0,"",IF(L213&lt;0.2,"Très masculine (&lt;20 % F)",IF(L213&lt;0.4,"Plutôt masculine (20-40 %)",IF(L213&lt;0.6,"Mixte (40-60 %)","À dominante féminine (≥60 %)"))))</f>
        <v>À dominante féminine (≥60 %)</v>
      </c>
    </row>
    <row r="214" customFormat="false" ht="15" hidden="false" customHeight="false" outlineLevel="0" collapsed="false">
      <c r="A214" s="9" t="s">
        <v>758</v>
      </c>
      <c r="B214" s="9" t="s">
        <v>753</v>
      </c>
      <c r="C214" s="9" t="s">
        <v>257</v>
      </c>
      <c r="D214" s="9" t="s">
        <v>258</v>
      </c>
      <c r="E214" s="9" t="s">
        <v>140</v>
      </c>
      <c r="F214" s="9" t="s">
        <v>152</v>
      </c>
      <c r="G214" s="10" t="n">
        <v>457</v>
      </c>
      <c r="H214" s="10" t="n">
        <v>1070</v>
      </c>
      <c r="I214" s="10" t="n">
        <v>7</v>
      </c>
      <c r="J214" s="10" t="n">
        <v>0</v>
      </c>
      <c r="K214" s="10" t="n">
        <f aca="false">G214+H214</f>
        <v>1527</v>
      </c>
      <c r="L214" s="11" t="n">
        <f aca="false">IF(K214&gt;0,G214/K214,"")</f>
        <v>0.299279633267845</v>
      </c>
      <c r="M214" s="9" t="str">
        <f aca="false">IF(K214=0,"",IF(L214&lt;0.2,"Très masculine (&lt;20 % F)",IF(L214&lt;0.4,"Plutôt masculine (20-40 %)",IF(L214&lt;0.6,"Mixte (40-60 %)","À dominante féminine (≥60 %)"))))</f>
        <v>Plutôt masculine (20-40 %)</v>
      </c>
    </row>
    <row r="215" customFormat="false" ht="15" hidden="false" customHeight="false" outlineLevel="0" collapsed="false">
      <c r="A215" s="9" t="s">
        <v>759</v>
      </c>
      <c r="B215" s="9" t="s">
        <v>753</v>
      </c>
      <c r="C215" s="9" t="s">
        <v>257</v>
      </c>
      <c r="D215" s="9" t="s">
        <v>258</v>
      </c>
      <c r="E215" s="9" t="s">
        <v>140</v>
      </c>
      <c r="F215" s="9" t="s">
        <v>152</v>
      </c>
      <c r="G215" s="10" t="n">
        <v>111</v>
      </c>
      <c r="H215" s="10" t="n">
        <v>170</v>
      </c>
      <c r="I215" s="10" t="n">
        <v>15</v>
      </c>
      <c r="J215" s="10" t="n">
        <v>1</v>
      </c>
      <c r="K215" s="10" t="n">
        <f aca="false">G215+H215</f>
        <v>281</v>
      </c>
      <c r="L215" s="11" t="n">
        <f aca="false">IF(K215&gt;0,G215/K215,"")</f>
        <v>0.395017793594306</v>
      </c>
      <c r="M215" s="9" t="str">
        <f aca="false">IF(K215=0,"",IF(L215&lt;0.2,"Très masculine (&lt;20 % F)",IF(L215&lt;0.4,"Plutôt masculine (20-40 %)",IF(L215&lt;0.6,"Mixte (40-60 %)","À dominante féminine (≥60 %)"))))</f>
        <v>Plutôt masculine (20-40 %)</v>
      </c>
    </row>
    <row r="216" customFormat="false" ht="15" hidden="false" customHeight="false" outlineLevel="0" collapsed="false">
      <c r="A216" s="9" t="s">
        <v>760</v>
      </c>
      <c r="B216" s="9" t="s">
        <v>761</v>
      </c>
      <c r="C216" s="9" t="s">
        <v>259</v>
      </c>
      <c r="D216" s="9" t="s">
        <v>124</v>
      </c>
      <c r="E216" s="9" t="s">
        <v>124</v>
      </c>
      <c r="F216" s="9" t="s">
        <v>125</v>
      </c>
      <c r="G216" s="10" t="n">
        <v>60</v>
      </c>
      <c r="H216" s="10" t="n">
        <v>60</v>
      </c>
      <c r="I216" s="10" t="n">
        <v>4</v>
      </c>
      <c r="J216" s="10" t="n">
        <v>0</v>
      </c>
      <c r="K216" s="10" t="n">
        <f aca="false">G216+H216</f>
        <v>120</v>
      </c>
      <c r="L216" s="11" t="n">
        <f aca="false">IF(K216&gt;0,G216/K216,"")</f>
        <v>0.5</v>
      </c>
      <c r="M216" s="9" t="str">
        <f aca="false">IF(K216=0,"",IF(L216&lt;0.2,"Très masculine (&lt;20 % F)",IF(L216&lt;0.4,"Plutôt masculine (20-40 %)",IF(L216&lt;0.6,"Mixte (40-60 %)","À dominante féminine (≥60 %)"))))</f>
        <v>Mixte (40-60 %)</v>
      </c>
    </row>
    <row r="217" customFormat="false" ht="15" hidden="false" customHeight="false" outlineLevel="0" collapsed="false">
      <c r="A217" s="9" t="s">
        <v>762</v>
      </c>
      <c r="B217" s="9" t="s">
        <v>761</v>
      </c>
      <c r="C217" s="9" t="s">
        <v>259</v>
      </c>
      <c r="D217" s="9" t="s">
        <v>124</v>
      </c>
      <c r="E217" s="9" t="s">
        <v>124</v>
      </c>
      <c r="F217" s="9" t="s">
        <v>125</v>
      </c>
      <c r="G217" s="10" t="n">
        <v>317</v>
      </c>
      <c r="H217" s="10" t="n">
        <v>39</v>
      </c>
      <c r="I217" s="10" t="n">
        <v>8</v>
      </c>
      <c r="J217" s="10" t="n">
        <v>2</v>
      </c>
      <c r="K217" s="10" t="n">
        <f aca="false">G217+H217</f>
        <v>356</v>
      </c>
      <c r="L217" s="11" t="n">
        <f aca="false">IF(K217&gt;0,G217/K217,"")</f>
        <v>0.890449438202247</v>
      </c>
      <c r="M217" s="9" t="str">
        <f aca="false">IF(K217=0,"",IF(L217&lt;0.2,"Très masculine (&lt;20 % F)",IF(L217&lt;0.4,"Plutôt masculine (20-40 %)",IF(L217&lt;0.6,"Mixte (40-60 %)","À dominante féminine (≥60 %)"))))</f>
        <v>À dominante féminine (≥60 %)</v>
      </c>
    </row>
    <row r="218" customFormat="false" ht="15" hidden="false" customHeight="false" outlineLevel="0" collapsed="false">
      <c r="A218" s="9" t="s">
        <v>763</v>
      </c>
      <c r="B218" s="9" t="s">
        <v>764</v>
      </c>
      <c r="C218" s="9" t="s">
        <v>259</v>
      </c>
      <c r="D218" s="9" t="s">
        <v>124</v>
      </c>
      <c r="E218" s="9" t="s">
        <v>124</v>
      </c>
      <c r="F218" s="9" t="s">
        <v>125</v>
      </c>
      <c r="G218" s="10" t="n">
        <v>671</v>
      </c>
      <c r="H218" s="10" t="n">
        <v>525</v>
      </c>
      <c r="I218" s="10" t="n">
        <v>25</v>
      </c>
      <c r="J218" s="10" t="n">
        <v>18</v>
      </c>
      <c r="K218" s="10" t="n">
        <f aca="false">G218+H218</f>
        <v>1196</v>
      </c>
      <c r="L218" s="11" t="n">
        <f aca="false">IF(K218&gt;0,G218/K218,"")</f>
        <v>0.561036789297659</v>
      </c>
      <c r="M218" s="9" t="str">
        <f aca="false">IF(K218=0,"",IF(L218&lt;0.2,"Très masculine (&lt;20 % F)",IF(L218&lt;0.4,"Plutôt masculine (20-40 %)",IF(L218&lt;0.6,"Mixte (40-60 %)","À dominante féminine (≥60 %)"))))</f>
        <v>Mixte (40-60 %)</v>
      </c>
    </row>
    <row r="219" customFormat="false" ht="15" hidden="false" customHeight="false" outlineLevel="0" collapsed="false">
      <c r="A219" s="9" t="s">
        <v>765</v>
      </c>
      <c r="B219" s="9" t="s">
        <v>761</v>
      </c>
      <c r="C219" s="9" t="s">
        <v>259</v>
      </c>
      <c r="D219" s="9" t="s">
        <v>124</v>
      </c>
      <c r="E219" s="9" t="s">
        <v>124</v>
      </c>
      <c r="F219" s="9" t="s">
        <v>125</v>
      </c>
      <c r="G219" s="10" t="n">
        <v>12</v>
      </c>
      <c r="H219" s="10" t="n">
        <v>158</v>
      </c>
      <c r="I219" s="10" t="n">
        <v>18</v>
      </c>
      <c r="J219" s="10" t="n">
        <v>1</v>
      </c>
      <c r="K219" s="10" t="n">
        <f aca="false">G219+H219</f>
        <v>170</v>
      </c>
      <c r="L219" s="11" t="n">
        <f aca="false">IF(K219&gt;0,G219/K219,"")</f>
        <v>0.0705882352941177</v>
      </c>
      <c r="M219" s="9" t="str">
        <f aca="false">IF(K219=0,"",IF(L219&lt;0.2,"Très masculine (&lt;20 % F)",IF(L219&lt;0.4,"Plutôt masculine (20-40 %)",IF(L219&lt;0.6,"Mixte (40-60 %)","À dominante féminine (≥60 %)"))))</f>
        <v>Très masculine (&lt;20 % F)</v>
      </c>
    </row>
    <row r="220" customFormat="false" ht="15" hidden="false" customHeight="false" outlineLevel="0" collapsed="false">
      <c r="A220" s="9" t="s">
        <v>766</v>
      </c>
      <c r="B220" s="9" t="s">
        <v>761</v>
      </c>
      <c r="C220" s="9" t="s">
        <v>259</v>
      </c>
      <c r="D220" s="9" t="s">
        <v>124</v>
      </c>
      <c r="E220" s="9" t="s">
        <v>124</v>
      </c>
      <c r="F220" s="9" t="s">
        <v>125</v>
      </c>
      <c r="G220" s="10" t="n">
        <v>4</v>
      </c>
      <c r="H220" s="10" t="n">
        <v>19</v>
      </c>
      <c r="I220" s="10" t="n">
        <v>8</v>
      </c>
      <c r="J220" s="10" t="n">
        <v>0</v>
      </c>
      <c r="K220" s="10" t="n">
        <f aca="false">G220+H220</f>
        <v>23</v>
      </c>
      <c r="L220" s="11" t="n">
        <f aca="false">IF(K220&gt;0,G220/K220,"")</f>
        <v>0.173913043478261</v>
      </c>
      <c r="M220" s="9" t="str">
        <f aca="false">IF(K220=0,"",IF(L220&lt;0.2,"Très masculine (&lt;20 % F)",IF(L220&lt;0.4,"Plutôt masculine (20-40 %)",IF(L220&lt;0.6,"Mixte (40-60 %)","À dominante féminine (≥60 %)"))))</f>
        <v>Très masculine (&lt;20 % F)</v>
      </c>
    </row>
    <row r="221" customFormat="false" ht="15" hidden="false" customHeight="false" outlineLevel="0" collapsed="false">
      <c r="A221" s="9" t="s">
        <v>767</v>
      </c>
      <c r="B221" s="9" t="s">
        <v>761</v>
      </c>
      <c r="C221" s="9" t="s">
        <v>259</v>
      </c>
      <c r="D221" s="9" t="s">
        <v>124</v>
      </c>
      <c r="E221" s="9" t="s">
        <v>124</v>
      </c>
      <c r="F221" s="9" t="s">
        <v>125</v>
      </c>
      <c r="G221" s="10" t="n">
        <v>31</v>
      </c>
      <c r="H221" s="10" t="n">
        <v>45</v>
      </c>
      <c r="I221" s="10" t="n">
        <v>9</v>
      </c>
      <c r="J221" s="10" t="n">
        <v>1</v>
      </c>
      <c r="K221" s="10" t="n">
        <f aca="false">G221+H221</f>
        <v>76</v>
      </c>
      <c r="L221" s="11" t="n">
        <f aca="false">IF(K221&gt;0,G221/K221,"")</f>
        <v>0.407894736842105</v>
      </c>
      <c r="M221" s="9" t="str">
        <f aca="false">IF(K221=0,"",IF(L221&lt;0.2,"Très masculine (&lt;20 % F)",IF(L221&lt;0.4,"Plutôt masculine (20-40 %)",IF(L221&lt;0.6,"Mixte (40-60 %)","À dominante féminine (≥60 %)"))))</f>
        <v>Mixte (40-60 %)</v>
      </c>
    </row>
    <row r="222" customFormat="false" ht="15" hidden="false" customHeight="false" outlineLevel="0" collapsed="false">
      <c r="A222" s="9" t="s">
        <v>768</v>
      </c>
      <c r="B222" s="9" t="s">
        <v>769</v>
      </c>
      <c r="C222" s="9" t="s">
        <v>260</v>
      </c>
      <c r="D222" s="9" t="s">
        <v>261</v>
      </c>
      <c r="E222" s="9" t="s">
        <v>106</v>
      </c>
      <c r="F222" s="9" t="s">
        <v>108</v>
      </c>
      <c r="G222" s="10" t="n">
        <v>14</v>
      </c>
      <c r="H222" s="10" t="n">
        <v>1</v>
      </c>
      <c r="I222" s="10" t="n">
        <v>3</v>
      </c>
      <c r="J222" s="10" t="n">
        <v>0</v>
      </c>
      <c r="K222" s="10" t="n">
        <f aca="false">G222+H222</f>
        <v>15</v>
      </c>
      <c r="L222" s="11" t="n">
        <f aca="false">IF(K222&gt;0,G222/K222,"")</f>
        <v>0.933333333333333</v>
      </c>
      <c r="M222" s="9" t="str">
        <f aca="false">IF(K222=0,"",IF(L222&lt;0.2,"Très masculine (&lt;20 % F)",IF(L222&lt;0.4,"Plutôt masculine (20-40 %)",IF(L222&lt;0.6,"Mixte (40-60 %)","À dominante féminine (≥60 %)"))))</f>
        <v>À dominante féminine (≥60 %)</v>
      </c>
    </row>
    <row r="223" customFormat="false" ht="15" hidden="false" customHeight="false" outlineLevel="0" collapsed="false">
      <c r="A223" s="9" t="s">
        <v>770</v>
      </c>
      <c r="B223" s="9" t="s">
        <v>771</v>
      </c>
      <c r="C223" s="9" t="s">
        <v>262</v>
      </c>
      <c r="D223" s="9" t="s">
        <v>263</v>
      </c>
      <c r="E223" s="9" t="s">
        <v>182</v>
      </c>
      <c r="F223" s="9" t="s">
        <v>125</v>
      </c>
      <c r="G223" s="10" t="n">
        <v>14</v>
      </c>
      <c r="H223" s="10" t="n">
        <v>13</v>
      </c>
      <c r="I223" s="10" t="n">
        <v>27</v>
      </c>
      <c r="J223" s="10" t="n">
        <v>0</v>
      </c>
      <c r="K223" s="10" t="n">
        <f aca="false">G223+H223</f>
        <v>27</v>
      </c>
      <c r="L223" s="11" t="n">
        <f aca="false">IF(K223&gt;0,G223/K223,"")</f>
        <v>0.518518518518519</v>
      </c>
      <c r="M223" s="9" t="str">
        <f aca="false">IF(K223=0,"",IF(L223&lt;0.2,"Très masculine (&lt;20 % F)",IF(L223&lt;0.4,"Plutôt masculine (20-40 %)",IF(L223&lt;0.6,"Mixte (40-60 %)","À dominante féminine (≥60 %)"))))</f>
        <v>Mixte (40-60 %)</v>
      </c>
    </row>
    <row r="224" customFormat="false" ht="15" hidden="false" customHeight="false" outlineLevel="0" collapsed="false">
      <c r="A224" s="9" t="s">
        <v>772</v>
      </c>
      <c r="B224" s="9" t="s">
        <v>771</v>
      </c>
      <c r="C224" s="9" t="s">
        <v>262</v>
      </c>
      <c r="D224" s="9" t="s">
        <v>263</v>
      </c>
      <c r="E224" s="9" t="s">
        <v>182</v>
      </c>
      <c r="F224" s="9" t="s">
        <v>125</v>
      </c>
      <c r="G224" s="10" t="n">
        <v>45</v>
      </c>
      <c r="H224" s="10" t="n">
        <v>71</v>
      </c>
      <c r="I224" s="10" t="n">
        <v>8</v>
      </c>
      <c r="J224" s="10" t="n">
        <v>0</v>
      </c>
      <c r="K224" s="10" t="n">
        <f aca="false">G224+H224</f>
        <v>116</v>
      </c>
      <c r="L224" s="11" t="n">
        <f aca="false">IF(K224&gt;0,G224/K224,"")</f>
        <v>0.387931034482759</v>
      </c>
      <c r="M224" s="9" t="str">
        <f aca="false">IF(K224=0,"",IF(L224&lt;0.2,"Très masculine (&lt;20 % F)",IF(L224&lt;0.4,"Plutôt masculine (20-40 %)",IF(L224&lt;0.6,"Mixte (40-60 %)","À dominante féminine (≥60 %)"))))</f>
        <v>Plutôt masculine (20-40 %)</v>
      </c>
    </row>
    <row r="225" customFormat="false" ht="15" hidden="false" customHeight="false" outlineLevel="0" collapsed="false">
      <c r="A225" s="9" t="s">
        <v>773</v>
      </c>
      <c r="B225" s="9" t="s">
        <v>771</v>
      </c>
      <c r="C225" s="9" t="s">
        <v>262</v>
      </c>
      <c r="D225" s="9" t="s">
        <v>263</v>
      </c>
      <c r="E225" s="9" t="s">
        <v>182</v>
      </c>
      <c r="F225" s="9" t="s">
        <v>125</v>
      </c>
      <c r="G225" s="10" t="n">
        <v>30</v>
      </c>
      <c r="H225" s="10" t="n">
        <v>67</v>
      </c>
      <c r="I225" s="10" t="n">
        <v>5</v>
      </c>
      <c r="J225" s="10" t="n">
        <v>0</v>
      </c>
      <c r="K225" s="10" t="n">
        <f aca="false">G225+H225</f>
        <v>97</v>
      </c>
      <c r="L225" s="11" t="n">
        <f aca="false">IF(K225&gt;0,G225/K225,"")</f>
        <v>0.309278350515464</v>
      </c>
      <c r="M225" s="9" t="str">
        <f aca="false">IF(K225=0,"",IF(L225&lt;0.2,"Très masculine (&lt;20 % F)",IF(L225&lt;0.4,"Plutôt masculine (20-40 %)",IF(L225&lt;0.6,"Mixte (40-60 %)","À dominante féminine (≥60 %)"))))</f>
        <v>Plutôt masculine (20-40 %)</v>
      </c>
    </row>
    <row r="226" customFormat="false" ht="15" hidden="false" customHeight="false" outlineLevel="0" collapsed="false">
      <c r="A226" s="9" t="s">
        <v>774</v>
      </c>
      <c r="B226" s="9" t="s">
        <v>771</v>
      </c>
      <c r="C226" s="9" t="s">
        <v>262</v>
      </c>
      <c r="D226" s="9" t="s">
        <v>263</v>
      </c>
      <c r="E226" s="9" t="s">
        <v>182</v>
      </c>
      <c r="F226" s="9" t="s">
        <v>125</v>
      </c>
      <c r="G226" s="10" t="n">
        <v>30</v>
      </c>
      <c r="H226" s="10" t="n">
        <v>39</v>
      </c>
      <c r="I226" s="10" t="n">
        <v>5</v>
      </c>
      <c r="J226" s="10" t="n">
        <v>3</v>
      </c>
      <c r="K226" s="10" t="n">
        <f aca="false">G226+H226</f>
        <v>69</v>
      </c>
      <c r="L226" s="11" t="n">
        <f aca="false">IF(K226&gt;0,G226/K226,"")</f>
        <v>0.434782608695652</v>
      </c>
      <c r="M226" s="9" t="str">
        <f aca="false">IF(K226=0,"",IF(L226&lt;0.2,"Très masculine (&lt;20 % F)",IF(L226&lt;0.4,"Plutôt masculine (20-40 %)",IF(L226&lt;0.6,"Mixte (40-60 %)","À dominante féminine (≥60 %)"))))</f>
        <v>Mixte (40-60 %)</v>
      </c>
    </row>
    <row r="227" customFormat="false" ht="15" hidden="false" customHeight="false" outlineLevel="0" collapsed="false">
      <c r="A227" s="9" t="s">
        <v>775</v>
      </c>
      <c r="B227" s="9" t="s">
        <v>771</v>
      </c>
      <c r="C227" s="9" t="s">
        <v>262</v>
      </c>
      <c r="D227" s="9" t="s">
        <v>263</v>
      </c>
      <c r="E227" s="9" t="s">
        <v>182</v>
      </c>
      <c r="F227" s="9" t="s">
        <v>125</v>
      </c>
      <c r="G227" s="10" t="n">
        <v>251</v>
      </c>
      <c r="H227" s="10" t="n">
        <v>167</v>
      </c>
      <c r="I227" s="10" t="n">
        <v>15</v>
      </c>
      <c r="J227" s="10" t="n">
        <v>0</v>
      </c>
      <c r="K227" s="10" t="n">
        <f aca="false">G227+H227</f>
        <v>418</v>
      </c>
      <c r="L227" s="11" t="n">
        <f aca="false">IF(K227&gt;0,G227/K227,"")</f>
        <v>0.600478468899522</v>
      </c>
      <c r="M227" s="9" t="str">
        <f aca="false">IF(K227=0,"",IF(L227&lt;0.2,"Très masculine (&lt;20 % F)",IF(L227&lt;0.4,"Plutôt masculine (20-40 %)",IF(L227&lt;0.6,"Mixte (40-60 %)","À dominante féminine (≥60 %)"))))</f>
        <v>À dominante féminine (≥60 %)</v>
      </c>
    </row>
    <row r="228" customFormat="false" ht="15" hidden="false" customHeight="false" outlineLevel="0" collapsed="false">
      <c r="A228" s="9" t="s">
        <v>776</v>
      </c>
      <c r="B228" s="9" t="s">
        <v>771</v>
      </c>
      <c r="C228" s="9" t="s">
        <v>262</v>
      </c>
      <c r="D228" s="9" t="s">
        <v>263</v>
      </c>
      <c r="E228" s="9" t="s">
        <v>182</v>
      </c>
      <c r="F228" s="9" t="s">
        <v>125</v>
      </c>
      <c r="G228" s="10" t="n">
        <v>74</v>
      </c>
      <c r="H228" s="10" t="n">
        <v>6</v>
      </c>
      <c r="I228" s="10" t="n">
        <v>4</v>
      </c>
      <c r="J228" s="10" t="n">
        <v>4</v>
      </c>
      <c r="K228" s="10" t="n">
        <f aca="false">G228+H228</f>
        <v>80</v>
      </c>
      <c r="L228" s="11" t="n">
        <f aca="false">IF(K228&gt;0,G228/K228,"")</f>
        <v>0.925</v>
      </c>
      <c r="M228" s="9" t="str">
        <f aca="false">IF(K228=0,"",IF(L228&lt;0.2,"Très masculine (&lt;20 % F)",IF(L228&lt;0.4,"Plutôt masculine (20-40 %)",IF(L228&lt;0.6,"Mixte (40-60 %)","À dominante féminine (≥60 %)"))))</f>
        <v>À dominante féminine (≥60 %)</v>
      </c>
    </row>
    <row r="229" customFormat="false" ht="15" hidden="false" customHeight="false" outlineLevel="0" collapsed="false">
      <c r="A229" s="9" t="s">
        <v>777</v>
      </c>
      <c r="B229" s="9" t="s">
        <v>771</v>
      </c>
      <c r="C229" s="9" t="s">
        <v>262</v>
      </c>
      <c r="D229" s="9" t="s">
        <v>263</v>
      </c>
      <c r="E229" s="9" t="s">
        <v>182</v>
      </c>
      <c r="F229" s="9" t="s">
        <v>125</v>
      </c>
      <c r="G229" s="10" t="n">
        <v>80</v>
      </c>
      <c r="H229" s="10" t="n">
        <v>164</v>
      </c>
      <c r="I229" s="10" t="n">
        <v>3</v>
      </c>
      <c r="J229" s="10" t="n">
        <v>1</v>
      </c>
      <c r="K229" s="10" t="n">
        <f aca="false">G229+H229</f>
        <v>244</v>
      </c>
      <c r="L229" s="11" t="n">
        <f aca="false">IF(K229&gt;0,G229/K229,"")</f>
        <v>0.327868852459016</v>
      </c>
      <c r="M229" s="9" t="str">
        <f aca="false">IF(K229=0,"",IF(L229&lt;0.2,"Très masculine (&lt;20 % F)",IF(L229&lt;0.4,"Plutôt masculine (20-40 %)",IF(L229&lt;0.6,"Mixte (40-60 %)","À dominante féminine (≥60 %)"))))</f>
        <v>Plutôt masculine (20-40 %)</v>
      </c>
    </row>
    <row r="230" customFormat="false" ht="15" hidden="false" customHeight="false" outlineLevel="0" collapsed="false">
      <c r="A230" s="9" t="s">
        <v>778</v>
      </c>
      <c r="B230" s="9" t="s">
        <v>771</v>
      </c>
      <c r="C230" s="9" t="s">
        <v>262</v>
      </c>
      <c r="D230" s="9" t="s">
        <v>263</v>
      </c>
      <c r="E230" s="9" t="s">
        <v>182</v>
      </c>
      <c r="F230" s="9" t="s">
        <v>125</v>
      </c>
      <c r="G230" s="10" t="n">
        <v>105</v>
      </c>
      <c r="H230" s="10" t="n">
        <v>205</v>
      </c>
      <c r="I230" s="10" t="n">
        <v>18</v>
      </c>
      <c r="J230" s="10" t="n">
        <v>5</v>
      </c>
      <c r="K230" s="10" t="n">
        <f aca="false">G230+H230</f>
        <v>310</v>
      </c>
      <c r="L230" s="11" t="n">
        <f aca="false">IF(K230&gt;0,G230/K230,"")</f>
        <v>0.338709677419355</v>
      </c>
      <c r="M230" s="9" t="str">
        <f aca="false">IF(K230=0,"",IF(L230&lt;0.2,"Très masculine (&lt;20 % F)",IF(L230&lt;0.4,"Plutôt masculine (20-40 %)",IF(L230&lt;0.6,"Mixte (40-60 %)","À dominante féminine (≥60 %)"))))</f>
        <v>Plutôt masculine (20-40 %)</v>
      </c>
    </row>
    <row r="231" customFormat="false" ht="15" hidden="false" customHeight="false" outlineLevel="0" collapsed="false">
      <c r="A231" s="9" t="s">
        <v>779</v>
      </c>
      <c r="B231" s="9" t="s">
        <v>780</v>
      </c>
      <c r="C231" s="9" t="s">
        <v>264</v>
      </c>
      <c r="D231" s="9" t="s">
        <v>216</v>
      </c>
      <c r="E231" s="9" t="s">
        <v>216</v>
      </c>
      <c r="F231" s="9" t="s">
        <v>125</v>
      </c>
      <c r="G231" s="10" t="n">
        <v>270</v>
      </c>
      <c r="H231" s="10" t="n">
        <v>34</v>
      </c>
      <c r="I231" s="10" t="n">
        <v>32</v>
      </c>
      <c r="J231" s="10" t="n">
        <v>1</v>
      </c>
      <c r="K231" s="10" t="n">
        <f aca="false">G231+H231</f>
        <v>304</v>
      </c>
      <c r="L231" s="11" t="n">
        <f aca="false">IF(K231&gt;0,G231/K231,"")</f>
        <v>0.888157894736842</v>
      </c>
      <c r="M231" s="9" t="str">
        <f aca="false">IF(K231=0,"",IF(L231&lt;0.2,"Très masculine (&lt;20 % F)",IF(L231&lt;0.4,"Plutôt masculine (20-40 %)",IF(L231&lt;0.6,"Mixte (40-60 %)","À dominante féminine (≥60 %)"))))</f>
        <v>À dominante féminine (≥60 %)</v>
      </c>
    </row>
    <row r="232" customFormat="false" ht="15" hidden="false" customHeight="false" outlineLevel="0" collapsed="false">
      <c r="A232" s="9" t="s">
        <v>781</v>
      </c>
      <c r="B232" s="9" t="s">
        <v>780</v>
      </c>
      <c r="C232" s="9" t="s">
        <v>264</v>
      </c>
      <c r="D232" s="9" t="s">
        <v>216</v>
      </c>
      <c r="E232" s="9" t="s">
        <v>216</v>
      </c>
      <c r="F232" s="9" t="s">
        <v>125</v>
      </c>
      <c r="G232" s="10" t="n">
        <v>60</v>
      </c>
      <c r="H232" s="10" t="n">
        <v>45</v>
      </c>
      <c r="I232" s="10" t="n">
        <v>12</v>
      </c>
      <c r="J232" s="10" t="n">
        <v>0</v>
      </c>
      <c r="K232" s="10" t="n">
        <f aca="false">G232+H232</f>
        <v>105</v>
      </c>
      <c r="L232" s="11" t="n">
        <f aca="false">IF(K232&gt;0,G232/K232,"")</f>
        <v>0.571428571428571</v>
      </c>
      <c r="M232" s="9" t="str">
        <f aca="false">IF(K232=0,"",IF(L232&lt;0.2,"Très masculine (&lt;20 % F)",IF(L232&lt;0.4,"Plutôt masculine (20-40 %)",IF(L232&lt;0.6,"Mixte (40-60 %)","À dominante féminine (≥60 %)"))))</f>
        <v>Mixte (40-60 %)</v>
      </c>
    </row>
    <row r="233" customFormat="false" ht="15" hidden="false" customHeight="false" outlineLevel="0" collapsed="false">
      <c r="A233" s="9" t="s">
        <v>782</v>
      </c>
      <c r="B233" s="9" t="s">
        <v>780</v>
      </c>
      <c r="C233" s="9" t="s">
        <v>264</v>
      </c>
      <c r="D233" s="9" t="s">
        <v>216</v>
      </c>
      <c r="E233" s="9" t="s">
        <v>216</v>
      </c>
      <c r="F233" s="9" t="s">
        <v>125</v>
      </c>
      <c r="G233" s="10" t="n">
        <v>75</v>
      </c>
      <c r="H233" s="10" t="n">
        <v>91</v>
      </c>
      <c r="I233" s="10" t="n">
        <v>7</v>
      </c>
      <c r="J233" s="10" t="n">
        <v>0</v>
      </c>
      <c r="K233" s="10" t="n">
        <f aca="false">G233+H233</f>
        <v>166</v>
      </c>
      <c r="L233" s="11" t="n">
        <f aca="false">IF(K233&gt;0,G233/K233,"")</f>
        <v>0.451807228915663</v>
      </c>
      <c r="M233" s="9" t="str">
        <f aca="false">IF(K233=0,"",IF(L233&lt;0.2,"Très masculine (&lt;20 % F)",IF(L233&lt;0.4,"Plutôt masculine (20-40 %)",IF(L233&lt;0.6,"Mixte (40-60 %)","À dominante féminine (≥60 %)"))))</f>
        <v>Mixte (40-60 %)</v>
      </c>
    </row>
    <row r="234" customFormat="false" ht="15" hidden="false" customHeight="false" outlineLevel="0" collapsed="false">
      <c r="A234" s="9" t="s">
        <v>783</v>
      </c>
      <c r="B234" s="9" t="s">
        <v>780</v>
      </c>
      <c r="C234" s="9" t="s">
        <v>264</v>
      </c>
      <c r="D234" s="9" t="s">
        <v>216</v>
      </c>
      <c r="E234" s="9" t="s">
        <v>216</v>
      </c>
      <c r="F234" s="9" t="s">
        <v>125</v>
      </c>
      <c r="G234" s="10" t="n">
        <v>81</v>
      </c>
      <c r="H234" s="10" t="n">
        <v>34</v>
      </c>
      <c r="I234" s="10" t="n">
        <v>9</v>
      </c>
      <c r="J234" s="10" t="n">
        <v>0</v>
      </c>
      <c r="K234" s="10" t="n">
        <f aca="false">G234+H234</f>
        <v>115</v>
      </c>
      <c r="L234" s="11" t="n">
        <f aca="false">IF(K234&gt;0,G234/K234,"")</f>
        <v>0.704347826086957</v>
      </c>
      <c r="M234" s="9" t="str">
        <f aca="false">IF(K234=0,"",IF(L234&lt;0.2,"Très masculine (&lt;20 % F)",IF(L234&lt;0.4,"Plutôt masculine (20-40 %)",IF(L234&lt;0.6,"Mixte (40-60 %)","À dominante féminine (≥60 %)"))))</f>
        <v>À dominante féminine (≥60 %)</v>
      </c>
    </row>
    <row r="235" customFormat="false" ht="15" hidden="false" customHeight="false" outlineLevel="0" collapsed="false">
      <c r="A235" s="9" t="s">
        <v>784</v>
      </c>
      <c r="B235" s="9" t="s">
        <v>780</v>
      </c>
      <c r="C235" s="9" t="s">
        <v>264</v>
      </c>
      <c r="D235" s="9" t="s">
        <v>216</v>
      </c>
      <c r="E235" s="9" t="s">
        <v>216</v>
      </c>
      <c r="F235" s="9" t="s">
        <v>125</v>
      </c>
      <c r="G235" s="10" t="n">
        <v>163</v>
      </c>
      <c r="H235" s="10" t="n">
        <v>209</v>
      </c>
      <c r="I235" s="10" t="n">
        <v>12</v>
      </c>
      <c r="J235" s="10" t="n">
        <v>6</v>
      </c>
      <c r="K235" s="10" t="n">
        <f aca="false">G235+H235</f>
        <v>372</v>
      </c>
      <c r="L235" s="11" t="n">
        <f aca="false">IF(K235&gt;0,G235/K235,"")</f>
        <v>0.438172043010753</v>
      </c>
      <c r="M235" s="9" t="str">
        <f aca="false">IF(K235=0,"",IF(L235&lt;0.2,"Très masculine (&lt;20 % F)",IF(L235&lt;0.4,"Plutôt masculine (20-40 %)",IF(L235&lt;0.6,"Mixte (40-60 %)","À dominante féminine (≥60 %)"))))</f>
        <v>Mixte (40-60 %)</v>
      </c>
    </row>
    <row r="236" customFormat="false" ht="15" hidden="false" customHeight="false" outlineLevel="0" collapsed="false">
      <c r="A236" s="9" t="s">
        <v>785</v>
      </c>
      <c r="B236" s="9" t="s">
        <v>780</v>
      </c>
      <c r="C236" s="9" t="s">
        <v>264</v>
      </c>
      <c r="D236" s="9" t="s">
        <v>216</v>
      </c>
      <c r="E236" s="9" t="s">
        <v>216</v>
      </c>
      <c r="F236" s="9" t="s">
        <v>125</v>
      </c>
      <c r="G236" s="10" t="n">
        <v>69</v>
      </c>
      <c r="H236" s="10" t="n">
        <v>11</v>
      </c>
      <c r="I236" s="10" t="n">
        <v>6</v>
      </c>
      <c r="J236" s="10" t="n">
        <v>0</v>
      </c>
      <c r="K236" s="10" t="n">
        <f aca="false">G236+H236</f>
        <v>80</v>
      </c>
      <c r="L236" s="11" t="n">
        <f aca="false">IF(K236&gt;0,G236/K236,"")</f>
        <v>0.8625</v>
      </c>
      <c r="M236" s="9" t="str">
        <f aca="false">IF(K236=0,"",IF(L236&lt;0.2,"Très masculine (&lt;20 % F)",IF(L236&lt;0.4,"Plutôt masculine (20-40 %)",IF(L236&lt;0.6,"Mixte (40-60 %)","À dominante féminine (≥60 %)"))))</f>
        <v>À dominante féminine (≥60 %)</v>
      </c>
    </row>
    <row r="237" customFormat="false" ht="15" hidden="false" customHeight="false" outlineLevel="0" collapsed="false">
      <c r="A237" s="9" t="s">
        <v>786</v>
      </c>
      <c r="B237" s="9" t="s">
        <v>780</v>
      </c>
      <c r="C237" s="9" t="s">
        <v>264</v>
      </c>
      <c r="D237" s="9" t="s">
        <v>216</v>
      </c>
      <c r="E237" s="9" t="s">
        <v>216</v>
      </c>
      <c r="F237" s="9" t="s">
        <v>125</v>
      </c>
      <c r="G237" s="10" t="n">
        <v>68</v>
      </c>
      <c r="H237" s="10" t="n">
        <v>4</v>
      </c>
      <c r="I237" s="10" t="n">
        <v>11</v>
      </c>
      <c r="J237" s="10" t="n">
        <v>1</v>
      </c>
      <c r="K237" s="10" t="n">
        <f aca="false">G237+H237</f>
        <v>72</v>
      </c>
      <c r="L237" s="11" t="n">
        <f aca="false">IF(K237&gt;0,G237/K237,"")</f>
        <v>0.944444444444444</v>
      </c>
      <c r="M237" s="9" t="str">
        <f aca="false">IF(K237=0,"",IF(L237&lt;0.2,"Très masculine (&lt;20 % F)",IF(L237&lt;0.4,"Plutôt masculine (20-40 %)",IF(L237&lt;0.6,"Mixte (40-60 %)","À dominante féminine (≥60 %)"))))</f>
        <v>À dominante féminine (≥60 %)</v>
      </c>
    </row>
    <row r="238" customFormat="false" ht="15" hidden="false" customHeight="false" outlineLevel="0" collapsed="false">
      <c r="A238" s="9" t="s">
        <v>787</v>
      </c>
      <c r="B238" s="9" t="s">
        <v>788</v>
      </c>
      <c r="C238" s="9" t="s">
        <v>267</v>
      </c>
      <c r="D238" s="9" t="s">
        <v>268</v>
      </c>
      <c r="E238" s="9" t="s">
        <v>237</v>
      </c>
      <c r="F238" s="9" t="s">
        <v>116</v>
      </c>
      <c r="G238" s="10" t="n">
        <v>1</v>
      </c>
      <c r="H238" s="10" t="n">
        <v>15</v>
      </c>
      <c r="I238" s="10" t="n">
        <v>0</v>
      </c>
      <c r="J238" s="10" t="n">
        <v>0</v>
      </c>
      <c r="K238" s="10" t="n">
        <f aca="false">G238+H238</f>
        <v>16</v>
      </c>
      <c r="L238" s="11" t="n">
        <f aca="false">IF(K238&gt;0,G238/K238,"")</f>
        <v>0.0625</v>
      </c>
      <c r="M238" s="9" t="str">
        <f aca="false">IF(K238=0,"",IF(L238&lt;0.2,"Très masculine (&lt;20 % F)",IF(L238&lt;0.4,"Plutôt masculine (20-40 %)",IF(L238&lt;0.6,"Mixte (40-60 %)","À dominante féminine (≥60 %)"))))</f>
        <v>Très masculine (&lt;20 % F)</v>
      </c>
    </row>
    <row r="239" customFormat="false" ht="15" hidden="false" customHeight="false" outlineLevel="0" collapsed="false">
      <c r="A239" s="9" t="s">
        <v>789</v>
      </c>
      <c r="B239" s="9" t="s">
        <v>788</v>
      </c>
      <c r="C239" s="9" t="s">
        <v>267</v>
      </c>
      <c r="D239" s="9" t="s">
        <v>268</v>
      </c>
      <c r="E239" s="9" t="s">
        <v>237</v>
      </c>
      <c r="F239" s="9" t="s">
        <v>116</v>
      </c>
      <c r="G239" s="10" t="n">
        <v>35</v>
      </c>
      <c r="H239" s="10" t="n">
        <v>186</v>
      </c>
      <c r="I239" s="10" t="n">
        <v>16</v>
      </c>
      <c r="J239" s="10" t="n">
        <v>1</v>
      </c>
      <c r="K239" s="10" t="n">
        <f aca="false">G239+H239</f>
        <v>221</v>
      </c>
      <c r="L239" s="11" t="n">
        <f aca="false">IF(K239&gt;0,G239/K239,"")</f>
        <v>0.158371040723982</v>
      </c>
      <c r="M239" s="9" t="str">
        <f aca="false">IF(K239=0,"",IF(L239&lt;0.2,"Très masculine (&lt;20 % F)",IF(L239&lt;0.4,"Plutôt masculine (20-40 %)",IF(L239&lt;0.6,"Mixte (40-60 %)","À dominante féminine (≥60 %)"))))</f>
        <v>Très masculine (&lt;20 % F)</v>
      </c>
    </row>
    <row r="240" customFormat="false" ht="15" hidden="false" customHeight="false" outlineLevel="0" collapsed="false">
      <c r="A240" s="9" t="s">
        <v>790</v>
      </c>
      <c r="B240" s="9" t="s">
        <v>788</v>
      </c>
      <c r="C240" s="9" t="s">
        <v>267</v>
      </c>
      <c r="D240" s="9" t="s">
        <v>268</v>
      </c>
      <c r="E240" s="9" t="s">
        <v>237</v>
      </c>
      <c r="F240" s="9" t="s">
        <v>116</v>
      </c>
      <c r="G240" s="10" t="n">
        <v>64</v>
      </c>
      <c r="H240" s="10" t="n">
        <v>491</v>
      </c>
      <c r="I240" s="10" t="n">
        <v>63</v>
      </c>
      <c r="J240" s="10" t="n">
        <v>0</v>
      </c>
      <c r="K240" s="10" t="n">
        <f aca="false">G240+H240</f>
        <v>555</v>
      </c>
      <c r="L240" s="11" t="n">
        <f aca="false">IF(K240&gt;0,G240/K240,"")</f>
        <v>0.115315315315315</v>
      </c>
      <c r="M240" s="9" t="str">
        <f aca="false">IF(K240=0,"",IF(L240&lt;0.2,"Très masculine (&lt;20 % F)",IF(L240&lt;0.4,"Plutôt masculine (20-40 %)",IF(L240&lt;0.6,"Mixte (40-60 %)","À dominante féminine (≥60 %)"))))</f>
        <v>Très masculine (&lt;20 % F)</v>
      </c>
    </row>
    <row r="241" customFormat="false" ht="15" hidden="false" customHeight="false" outlineLevel="0" collapsed="false">
      <c r="A241" s="9" t="s">
        <v>791</v>
      </c>
      <c r="B241" s="9" t="s">
        <v>792</v>
      </c>
      <c r="C241" s="9" t="s">
        <v>269</v>
      </c>
      <c r="D241" s="9" t="s">
        <v>270</v>
      </c>
      <c r="E241" s="9" t="s">
        <v>106</v>
      </c>
      <c r="F241" s="9" t="s">
        <v>102</v>
      </c>
      <c r="G241" s="10" t="n">
        <v>24</v>
      </c>
      <c r="H241" s="10" t="n">
        <v>38</v>
      </c>
      <c r="I241" s="10" t="n">
        <v>62</v>
      </c>
      <c r="J241" s="10" t="n">
        <v>0</v>
      </c>
      <c r="K241" s="10" t="n">
        <f aca="false">G241+H241</f>
        <v>62</v>
      </c>
      <c r="L241" s="11" t="n">
        <f aca="false">IF(K241&gt;0,G241/K241,"")</f>
        <v>0.387096774193548</v>
      </c>
      <c r="M241" s="9" t="str">
        <f aca="false">IF(K241=0,"",IF(L241&lt;0.2,"Très masculine (&lt;20 % F)",IF(L241&lt;0.4,"Plutôt masculine (20-40 %)",IF(L241&lt;0.6,"Mixte (40-60 %)","À dominante féminine (≥60 %)"))))</f>
        <v>Plutôt masculine (20-40 %)</v>
      </c>
    </row>
    <row r="242" customFormat="false" ht="15" hidden="false" customHeight="false" outlineLevel="0" collapsed="false">
      <c r="A242" s="9" t="s">
        <v>793</v>
      </c>
      <c r="B242" s="9" t="s">
        <v>794</v>
      </c>
      <c r="C242" s="9" t="s">
        <v>273</v>
      </c>
      <c r="D242" s="9" t="s">
        <v>274</v>
      </c>
      <c r="E242" s="9" t="s">
        <v>100</v>
      </c>
      <c r="F242" s="9" t="s">
        <v>102</v>
      </c>
      <c r="G242" s="10" t="n">
        <v>158</v>
      </c>
      <c r="H242" s="10" t="n">
        <v>61</v>
      </c>
      <c r="I242" s="10" t="n">
        <v>6</v>
      </c>
      <c r="J242" s="10" t="n">
        <v>2</v>
      </c>
      <c r="K242" s="10" t="n">
        <f aca="false">G242+H242</f>
        <v>219</v>
      </c>
      <c r="L242" s="11" t="n">
        <f aca="false">IF(K242&gt;0,G242/K242,"")</f>
        <v>0.721461187214612</v>
      </c>
      <c r="M242" s="9" t="str">
        <f aca="false">IF(K242=0,"",IF(L242&lt;0.2,"Très masculine (&lt;20 % F)",IF(L242&lt;0.4,"Plutôt masculine (20-40 %)",IF(L242&lt;0.6,"Mixte (40-60 %)","À dominante féminine (≥60 %)"))))</f>
        <v>À dominante féminine (≥60 %)</v>
      </c>
    </row>
    <row r="243" customFormat="false" ht="15" hidden="false" customHeight="false" outlineLevel="0" collapsed="false">
      <c r="A243" s="9" t="s">
        <v>795</v>
      </c>
      <c r="B243" s="9" t="s">
        <v>796</v>
      </c>
      <c r="C243" s="9" t="s">
        <v>277</v>
      </c>
      <c r="D243" s="9" t="s">
        <v>278</v>
      </c>
      <c r="E243" s="9" t="s">
        <v>278</v>
      </c>
      <c r="F243" s="9" t="s">
        <v>152</v>
      </c>
      <c r="G243" s="10" t="n">
        <v>10</v>
      </c>
      <c r="H243" s="10" t="n">
        <v>12</v>
      </c>
      <c r="I243" s="10" t="n">
        <v>5</v>
      </c>
      <c r="J243" s="10" t="n">
        <v>0</v>
      </c>
      <c r="K243" s="10" t="n">
        <f aca="false">G243+H243</f>
        <v>22</v>
      </c>
      <c r="L243" s="11" t="n">
        <f aca="false">IF(K243&gt;0,G243/K243,"")</f>
        <v>0.454545454545455</v>
      </c>
      <c r="M243" s="9" t="str">
        <f aca="false">IF(K243=0,"",IF(L243&lt;0.2,"Très masculine (&lt;20 % F)",IF(L243&lt;0.4,"Plutôt masculine (20-40 %)",IF(L243&lt;0.6,"Mixte (40-60 %)","À dominante féminine (≥60 %)"))))</f>
        <v>Mixte (40-60 %)</v>
      </c>
    </row>
    <row r="244" customFormat="false" ht="15" hidden="false" customHeight="false" outlineLevel="0" collapsed="false">
      <c r="A244" s="9" t="s">
        <v>797</v>
      </c>
      <c r="B244" s="9" t="s">
        <v>796</v>
      </c>
      <c r="C244" s="9" t="s">
        <v>277</v>
      </c>
      <c r="D244" s="9" t="s">
        <v>278</v>
      </c>
      <c r="E244" s="9" t="s">
        <v>278</v>
      </c>
      <c r="F244" s="9" t="s">
        <v>152</v>
      </c>
      <c r="G244" s="10" t="n">
        <v>134</v>
      </c>
      <c r="H244" s="10" t="n">
        <v>166</v>
      </c>
      <c r="I244" s="10" t="n">
        <v>3</v>
      </c>
      <c r="J244" s="10" t="n">
        <v>3</v>
      </c>
      <c r="K244" s="10" t="n">
        <f aca="false">G244+H244</f>
        <v>300</v>
      </c>
      <c r="L244" s="11" t="n">
        <f aca="false">IF(K244&gt;0,G244/K244,"")</f>
        <v>0.446666666666667</v>
      </c>
      <c r="M244" s="9" t="str">
        <f aca="false">IF(K244=0,"",IF(L244&lt;0.2,"Très masculine (&lt;20 % F)",IF(L244&lt;0.4,"Plutôt masculine (20-40 %)",IF(L244&lt;0.6,"Mixte (40-60 %)","À dominante féminine (≥60 %)"))))</f>
        <v>Mixte (40-60 %)</v>
      </c>
    </row>
    <row r="245" customFormat="false" ht="15" hidden="false" customHeight="false" outlineLevel="0" collapsed="false">
      <c r="A245" s="9" t="s">
        <v>798</v>
      </c>
      <c r="B245" s="9" t="s">
        <v>796</v>
      </c>
      <c r="C245" s="9" t="s">
        <v>277</v>
      </c>
      <c r="D245" s="9" t="s">
        <v>278</v>
      </c>
      <c r="E245" s="9" t="s">
        <v>278</v>
      </c>
      <c r="F245" s="9" t="s">
        <v>152</v>
      </c>
      <c r="G245" s="10" t="n">
        <v>506</v>
      </c>
      <c r="H245" s="10" t="n">
        <v>35</v>
      </c>
      <c r="I245" s="10" t="n">
        <v>40</v>
      </c>
      <c r="J245" s="10" t="n">
        <v>6</v>
      </c>
      <c r="K245" s="10" t="n">
        <f aca="false">G245+H245</f>
        <v>541</v>
      </c>
      <c r="L245" s="11" t="n">
        <f aca="false">IF(K245&gt;0,G245/K245,"")</f>
        <v>0.935304990757856</v>
      </c>
      <c r="M245" s="9" t="str">
        <f aca="false">IF(K245=0,"",IF(L245&lt;0.2,"Très masculine (&lt;20 % F)",IF(L245&lt;0.4,"Plutôt masculine (20-40 %)",IF(L245&lt;0.6,"Mixte (40-60 %)","À dominante féminine (≥60 %)"))))</f>
        <v>À dominante féminine (≥60 %)</v>
      </c>
    </row>
    <row r="246" customFormat="false" ht="15" hidden="false" customHeight="false" outlineLevel="0" collapsed="false">
      <c r="A246" s="9" t="s">
        <v>799</v>
      </c>
      <c r="B246" s="9" t="s">
        <v>796</v>
      </c>
      <c r="C246" s="9" t="s">
        <v>277</v>
      </c>
      <c r="D246" s="9" t="s">
        <v>278</v>
      </c>
      <c r="E246" s="9" t="s">
        <v>278</v>
      </c>
      <c r="F246" s="9" t="s">
        <v>152</v>
      </c>
      <c r="G246" s="10" t="n">
        <v>28</v>
      </c>
      <c r="H246" s="10" t="n">
        <v>98</v>
      </c>
      <c r="I246" s="10" t="n">
        <v>10</v>
      </c>
      <c r="J246" s="10" t="n">
        <v>3</v>
      </c>
      <c r="K246" s="10" t="n">
        <f aca="false">G246+H246</f>
        <v>126</v>
      </c>
      <c r="L246" s="11" t="n">
        <f aca="false">IF(K246&gt;0,G246/K246,"")</f>
        <v>0.222222222222222</v>
      </c>
      <c r="M246" s="9" t="str">
        <f aca="false">IF(K246=0,"",IF(L246&lt;0.2,"Très masculine (&lt;20 % F)",IF(L246&lt;0.4,"Plutôt masculine (20-40 %)",IF(L246&lt;0.6,"Mixte (40-60 %)","À dominante féminine (≥60 %)"))))</f>
        <v>Plutôt masculine (20-40 %)</v>
      </c>
    </row>
    <row r="247" customFormat="false" ht="15" hidden="false" customHeight="false" outlineLevel="0" collapsed="false">
      <c r="A247" s="9" t="s">
        <v>800</v>
      </c>
      <c r="B247" s="9" t="s">
        <v>796</v>
      </c>
      <c r="C247" s="9" t="s">
        <v>277</v>
      </c>
      <c r="D247" s="9" t="s">
        <v>278</v>
      </c>
      <c r="E247" s="9" t="s">
        <v>278</v>
      </c>
      <c r="F247" s="9" t="s">
        <v>152</v>
      </c>
      <c r="G247" s="10" t="n">
        <v>25</v>
      </c>
      <c r="H247" s="10" t="n">
        <v>132</v>
      </c>
      <c r="I247" s="10" t="n">
        <v>13</v>
      </c>
      <c r="J247" s="10" t="n">
        <v>0</v>
      </c>
      <c r="K247" s="10" t="n">
        <f aca="false">G247+H247</f>
        <v>157</v>
      </c>
      <c r="L247" s="11" t="n">
        <f aca="false">IF(K247&gt;0,G247/K247,"")</f>
        <v>0.159235668789809</v>
      </c>
      <c r="M247" s="9" t="str">
        <f aca="false">IF(K247=0,"",IF(L247&lt;0.2,"Très masculine (&lt;20 % F)",IF(L247&lt;0.4,"Plutôt masculine (20-40 %)",IF(L247&lt;0.6,"Mixte (40-60 %)","À dominante féminine (≥60 %)"))))</f>
        <v>Très masculine (&lt;20 % F)</v>
      </c>
    </row>
    <row r="248" customFormat="false" ht="15" hidden="false" customHeight="false" outlineLevel="0" collapsed="false">
      <c r="A248" s="9" t="s">
        <v>801</v>
      </c>
      <c r="B248" s="9" t="s">
        <v>796</v>
      </c>
      <c r="C248" s="9" t="s">
        <v>277</v>
      </c>
      <c r="D248" s="9" t="s">
        <v>278</v>
      </c>
      <c r="E248" s="9" t="s">
        <v>278</v>
      </c>
      <c r="F248" s="9" t="s">
        <v>152</v>
      </c>
      <c r="G248" s="10" t="n">
        <v>234</v>
      </c>
      <c r="H248" s="10" t="n">
        <v>39</v>
      </c>
      <c r="I248" s="10" t="n">
        <v>14</v>
      </c>
      <c r="J248" s="10" t="n">
        <v>6</v>
      </c>
      <c r="K248" s="10" t="n">
        <f aca="false">G248+H248</f>
        <v>273</v>
      </c>
      <c r="L248" s="11" t="n">
        <f aca="false">IF(K248&gt;0,G248/K248,"")</f>
        <v>0.857142857142857</v>
      </c>
      <c r="M248" s="9" t="str">
        <f aca="false">IF(K248=0,"",IF(L248&lt;0.2,"Très masculine (&lt;20 % F)",IF(L248&lt;0.4,"Plutôt masculine (20-40 %)",IF(L248&lt;0.6,"Mixte (40-60 %)","À dominante féminine (≥60 %)"))))</f>
        <v>À dominante féminine (≥60 %)</v>
      </c>
    </row>
    <row r="249" customFormat="false" ht="15" hidden="false" customHeight="false" outlineLevel="0" collapsed="false">
      <c r="A249" s="9" t="s">
        <v>802</v>
      </c>
      <c r="B249" s="9" t="s">
        <v>796</v>
      </c>
      <c r="C249" s="9" t="s">
        <v>277</v>
      </c>
      <c r="D249" s="9" t="s">
        <v>278</v>
      </c>
      <c r="E249" s="9" t="s">
        <v>278</v>
      </c>
      <c r="F249" s="9" t="s">
        <v>152</v>
      </c>
      <c r="G249" s="10" t="n">
        <v>215</v>
      </c>
      <c r="H249" s="10" t="n">
        <v>227</v>
      </c>
      <c r="I249" s="10" t="n">
        <v>21</v>
      </c>
      <c r="J249" s="10" t="n">
        <v>9</v>
      </c>
      <c r="K249" s="10" t="n">
        <f aca="false">G249+H249</f>
        <v>442</v>
      </c>
      <c r="L249" s="11" t="n">
        <f aca="false">IF(K249&gt;0,G249/K249,"")</f>
        <v>0.486425339366516</v>
      </c>
      <c r="M249" s="9" t="str">
        <f aca="false">IF(K249=0,"",IF(L249&lt;0.2,"Très masculine (&lt;20 % F)",IF(L249&lt;0.4,"Plutôt masculine (20-40 %)",IF(L249&lt;0.6,"Mixte (40-60 %)","À dominante féminine (≥60 %)"))))</f>
        <v>Mixte (40-60 %)</v>
      </c>
    </row>
    <row r="250" customFormat="false" ht="15" hidden="false" customHeight="false" outlineLevel="0" collapsed="false">
      <c r="A250" s="9" t="s">
        <v>803</v>
      </c>
      <c r="B250" s="9" t="s">
        <v>796</v>
      </c>
      <c r="C250" s="9" t="s">
        <v>277</v>
      </c>
      <c r="D250" s="9" t="s">
        <v>278</v>
      </c>
      <c r="E250" s="9" t="s">
        <v>278</v>
      </c>
      <c r="F250" s="9" t="s">
        <v>152</v>
      </c>
      <c r="G250" s="10" t="n">
        <v>190</v>
      </c>
      <c r="H250" s="10" t="n">
        <v>423</v>
      </c>
      <c r="I250" s="10" t="n">
        <v>12</v>
      </c>
      <c r="J250" s="10" t="n">
        <v>13</v>
      </c>
      <c r="K250" s="10" t="n">
        <f aca="false">G250+H250</f>
        <v>613</v>
      </c>
      <c r="L250" s="11" t="n">
        <f aca="false">IF(K250&gt;0,G250/K250,"")</f>
        <v>0.309951060358891</v>
      </c>
      <c r="M250" s="9" t="str">
        <f aca="false">IF(K250=0,"",IF(L250&lt;0.2,"Très masculine (&lt;20 % F)",IF(L250&lt;0.4,"Plutôt masculine (20-40 %)",IF(L250&lt;0.6,"Mixte (40-60 %)","À dominante féminine (≥60 %)"))))</f>
        <v>Plutôt masculine (20-40 %)</v>
      </c>
    </row>
    <row r="251" customFormat="false" ht="15" hidden="false" customHeight="false" outlineLevel="0" collapsed="false">
      <c r="A251" s="9" t="s">
        <v>804</v>
      </c>
      <c r="B251" s="9" t="s">
        <v>796</v>
      </c>
      <c r="C251" s="9" t="s">
        <v>277</v>
      </c>
      <c r="D251" s="9" t="s">
        <v>278</v>
      </c>
      <c r="E251" s="9" t="s">
        <v>278</v>
      </c>
      <c r="F251" s="9" t="s">
        <v>152</v>
      </c>
      <c r="G251" s="10" t="n">
        <v>33</v>
      </c>
      <c r="H251" s="10" t="n">
        <v>221</v>
      </c>
      <c r="I251" s="10" t="n">
        <v>26</v>
      </c>
      <c r="J251" s="10" t="n">
        <v>1</v>
      </c>
      <c r="K251" s="10" t="n">
        <f aca="false">G251+H251</f>
        <v>254</v>
      </c>
      <c r="L251" s="11" t="n">
        <f aca="false">IF(K251&gt;0,G251/K251,"")</f>
        <v>0.12992125984252</v>
      </c>
      <c r="M251" s="9" t="str">
        <f aca="false">IF(K251=0,"",IF(L251&lt;0.2,"Très masculine (&lt;20 % F)",IF(L251&lt;0.4,"Plutôt masculine (20-40 %)",IF(L251&lt;0.6,"Mixte (40-60 %)","À dominante féminine (≥60 %)"))))</f>
        <v>Très masculine (&lt;20 % F)</v>
      </c>
    </row>
    <row r="252" customFormat="false" ht="15" hidden="false" customHeight="false" outlineLevel="0" collapsed="false">
      <c r="A252" s="9" t="s">
        <v>805</v>
      </c>
      <c r="B252" s="9" t="s">
        <v>796</v>
      </c>
      <c r="C252" s="9" t="s">
        <v>277</v>
      </c>
      <c r="D252" s="9" t="s">
        <v>278</v>
      </c>
      <c r="E252" s="9" t="s">
        <v>278</v>
      </c>
      <c r="F252" s="9" t="s">
        <v>152</v>
      </c>
      <c r="G252" s="10" t="n">
        <v>175</v>
      </c>
      <c r="H252" s="10" t="n">
        <v>313</v>
      </c>
      <c r="I252" s="10" t="n">
        <v>50</v>
      </c>
      <c r="J252" s="10" t="n">
        <v>2</v>
      </c>
      <c r="K252" s="10" t="n">
        <f aca="false">G252+H252</f>
        <v>488</v>
      </c>
      <c r="L252" s="11" t="n">
        <f aca="false">IF(K252&gt;0,G252/K252,"")</f>
        <v>0.358606557377049</v>
      </c>
      <c r="M252" s="9" t="str">
        <f aca="false">IF(K252=0,"",IF(L252&lt;0.2,"Très masculine (&lt;20 % F)",IF(L252&lt;0.4,"Plutôt masculine (20-40 %)",IF(L252&lt;0.6,"Mixte (40-60 %)","À dominante féminine (≥60 %)"))))</f>
        <v>Plutôt masculine (20-40 %)</v>
      </c>
    </row>
    <row r="253" customFormat="false" ht="15" hidden="false" customHeight="false" outlineLevel="0" collapsed="false">
      <c r="A253" s="9" t="s">
        <v>806</v>
      </c>
      <c r="B253" s="9" t="s">
        <v>796</v>
      </c>
      <c r="C253" s="9" t="s">
        <v>277</v>
      </c>
      <c r="D253" s="9" t="s">
        <v>278</v>
      </c>
      <c r="E253" s="9" t="s">
        <v>278</v>
      </c>
      <c r="F253" s="9" t="s">
        <v>152</v>
      </c>
      <c r="G253" s="10" t="n">
        <v>95</v>
      </c>
      <c r="H253" s="10" t="n">
        <v>240</v>
      </c>
      <c r="I253" s="10" t="n">
        <v>14</v>
      </c>
      <c r="J253" s="10" t="n">
        <v>1</v>
      </c>
      <c r="K253" s="10" t="n">
        <f aca="false">G253+H253</f>
        <v>335</v>
      </c>
      <c r="L253" s="11" t="n">
        <f aca="false">IF(K253&gt;0,G253/K253,"")</f>
        <v>0.283582089552239</v>
      </c>
      <c r="M253" s="9" t="str">
        <f aca="false">IF(K253=0,"",IF(L253&lt;0.2,"Très masculine (&lt;20 % F)",IF(L253&lt;0.4,"Plutôt masculine (20-40 %)",IF(L253&lt;0.6,"Mixte (40-60 %)","À dominante féminine (≥60 %)"))))</f>
        <v>Plutôt masculine (20-40 %)</v>
      </c>
    </row>
    <row r="254" customFormat="false" ht="15" hidden="false" customHeight="false" outlineLevel="0" collapsed="false">
      <c r="A254" s="9" t="s">
        <v>807</v>
      </c>
      <c r="B254" s="9" t="s">
        <v>796</v>
      </c>
      <c r="C254" s="9" t="s">
        <v>277</v>
      </c>
      <c r="D254" s="9" t="s">
        <v>278</v>
      </c>
      <c r="E254" s="9" t="s">
        <v>278</v>
      </c>
      <c r="F254" s="9" t="s">
        <v>152</v>
      </c>
      <c r="G254" s="10" t="n">
        <v>95</v>
      </c>
      <c r="H254" s="10" t="n">
        <v>188</v>
      </c>
      <c r="I254" s="10" t="n">
        <v>12</v>
      </c>
      <c r="J254" s="10" t="n">
        <v>2</v>
      </c>
      <c r="K254" s="10" t="n">
        <f aca="false">G254+H254</f>
        <v>283</v>
      </c>
      <c r="L254" s="11" t="n">
        <f aca="false">IF(K254&gt;0,G254/K254,"")</f>
        <v>0.335689045936396</v>
      </c>
      <c r="M254" s="9" t="str">
        <f aca="false">IF(K254=0,"",IF(L254&lt;0.2,"Très masculine (&lt;20 % F)",IF(L254&lt;0.4,"Plutôt masculine (20-40 %)",IF(L254&lt;0.6,"Mixte (40-60 %)","À dominante féminine (≥60 %)"))))</f>
        <v>Plutôt masculine (20-40 %)</v>
      </c>
    </row>
    <row r="255" customFormat="false" ht="15" hidden="false" customHeight="false" outlineLevel="0" collapsed="false">
      <c r="A255" s="9" t="s">
        <v>808</v>
      </c>
      <c r="B255" s="9" t="s">
        <v>796</v>
      </c>
      <c r="C255" s="9" t="s">
        <v>277</v>
      </c>
      <c r="D255" s="9" t="s">
        <v>278</v>
      </c>
      <c r="E255" s="9" t="s">
        <v>278</v>
      </c>
      <c r="F255" s="9" t="s">
        <v>152</v>
      </c>
      <c r="G255" s="10" t="n">
        <v>20</v>
      </c>
      <c r="H255" s="10" t="n">
        <v>65</v>
      </c>
      <c r="I255" s="10" t="n">
        <v>12</v>
      </c>
      <c r="J255" s="10" t="n">
        <v>0</v>
      </c>
      <c r="K255" s="10" t="n">
        <f aca="false">G255+H255</f>
        <v>85</v>
      </c>
      <c r="L255" s="11" t="n">
        <f aca="false">IF(K255&gt;0,G255/K255,"")</f>
        <v>0.235294117647059</v>
      </c>
      <c r="M255" s="9" t="str">
        <f aca="false">IF(K255=0,"",IF(L255&lt;0.2,"Très masculine (&lt;20 % F)",IF(L255&lt;0.4,"Plutôt masculine (20-40 %)",IF(L255&lt;0.6,"Mixte (40-60 %)","À dominante féminine (≥60 %)"))))</f>
        <v>Plutôt masculine (20-40 %)</v>
      </c>
    </row>
    <row r="256" customFormat="false" ht="15" hidden="false" customHeight="false" outlineLevel="0" collapsed="false">
      <c r="A256" s="9" t="s">
        <v>809</v>
      </c>
      <c r="B256" s="9" t="s">
        <v>796</v>
      </c>
      <c r="C256" s="9" t="s">
        <v>277</v>
      </c>
      <c r="D256" s="9" t="s">
        <v>278</v>
      </c>
      <c r="E256" s="9" t="s">
        <v>278</v>
      </c>
      <c r="F256" s="9" t="s">
        <v>152</v>
      </c>
      <c r="G256" s="10" t="n">
        <v>89</v>
      </c>
      <c r="H256" s="10" t="n">
        <v>79</v>
      </c>
      <c r="I256" s="10" t="n">
        <v>20</v>
      </c>
      <c r="J256" s="10" t="n">
        <v>2</v>
      </c>
      <c r="K256" s="10" t="n">
        <f aca="false">G256+H256</f>
        <v>168</v>
      </c>
      <c r="L256" s="11" t="n">
        <f aca="false">IF(K256&gt;0,G256/K256,"")</f>
        <v>0.529761904761905</v>
      </c>
      <c r="M256" s="9" t="str">
        <f aca="false">IF(K256=0,"",IF(L256&lt;0.2,"Très masculine (&lt;20 % F)",IF(L256&lt;0.4,"Plutôt masculine (20-40 %)",IF(L256&lt;0.6,"Mixte (40-60 %)","À dominante féminine (≥60 %)"))))</f>
        <v>Mixte (40-60 %)</v>
      </c>
    </row>
    <row r="257" customFormat="false" ht="15" hidden="false" customHeight="false" outlineLevel="0" collapsed="false">
      <c r="A257" s="9" t="s">
        <v>810</v>
      </c>
      <c r="B257" s="9" t="s">
        <v>811</v>
      </c>
      <c r="C257" s="9" t="s">
        <v>277</v>
      </c>
      <c r="D257" s="9" t="s">
        <v>278</v>
      </c>
      <c r="E257" s="9" t="s">
        <v>278</v>
      </c>
      <c r="F257" s="9" t="s">
        <v>152</v>
      </c>
      <c r="G257" s="10" t="n">
        <v>42</v>
      </c>
      <c r="H257" s="10" t="n">
        <v>84</v>
      </c>
      <c r="I257" s="10" t="n">
        <v>35</v>
      </c>
      <c r="J257" s="10" t="n">
        <v>0</v>
      </c>
      <c r="K257" s="10" t="n">
        <f aca="false">G257+H257</f>
        <v>126</v>
      </c>
      <c r="L257" s="11" t="n">
        <f aca="false">IF(K257&gt;0,G257/K257,"")</f>
        <v>0.333333333333333</v>
      </c>
      <c r="M257" s="9" t="str">
        <f aca="false">IF(K257=0,"",IF(L257&lt;0.2,"Très masculine (&lt;20 % F)",IF(L257&lt;0.4,"Plutôt masculine (20-40 %)",IF(L257&lt;0.6,"Mixte (40-60 %)","À dominante féminine (≥60 %)"))))</f>
        <v>Plutôt masculine (20-40 %)</v>
      </c>
    </row>
    <row r="258" customFormat="false" ht="15" hidden="false" customHeight="false" outlineLevel="0" collapsed="false">
      <c r="A258" s="9" t="s">
        <v>812</v>
      </c>
      <c r="B258" s="9" t="s">
        <v>813</v>
      </c>
      <c r="C258" s="9"/>
      <c r="D258" s="9" t="s">
        <v>814</v>
      </c>
      <c r="E258" s="9"/>
      <c r="F258" s="9"/>
      <c r="G258" s="10" t="n">
        <v>49</v>
      </c>
      <c r="H258" s="10" t="n">
        <v>33</v>
      </c>
      <c r="I258" s="10" t="n">
        <v>7</v>
      </c>
      <c r="J258" s="10" t="n">
        <v>0</v>
      </c>
      <c r="K258" s="10" t="n">
        <f aca="false">G258+H258</f>
        <v>82</v>
      </c>
      <c r="L258" s="11" t="n">
        <f aca="false">IF(K258&gt;0,G258/K258,"")</f>
        <v>0.597560975609756</v>
      </c>
      <c r="M258" s="9" t="str">
        <f aca="false">IF(K258=0,"",IF(L258&lt;0.2,"Très masculine (&lt;20 % F)",IF(L258&lt;0.4,"Plutôt masculine (20-40 %)",IF(L258&lt;0.6,"Mixte (40-60 %)","À dominante féminine (≥60 %)"))))</f>
        <v>Mixte (40-60 %)</v>
      </c>
    </row>
    <row r="259" customFormat="false" ht="15" hidden="false" customHeight="false" outlineLevel="0" collapsed="false">
      <c r="A259" s="9" t="s">
        <v>815</v>
      </c>
      <c r="B259" s="9" t="s">
        <v>816</v>
      </c>
      <c r="C259" s="9"/>
      <c r="D259" s="9" t="s">
        <v>814</v>
      </c>
      <c r="E259" s="9"/>
      <c r="F259" s="9"/>
      <c r="G259" s="10" t="n">
        <v>33</v>
      </c>
      <c r="H259" s="10" t="n">
        <v>71</v>
      </c>
      <c r="I259" s="10" t="n">
        <v>29</v>
      </c>
      <c r="J259" s="10" t="n">
        <v>4</v>
      </c>
      <c r="K259" s="10" t="n">
        <f aca="false">G259+H259</f>
        <v>104</v>
      </c>
      <c r="L259" s="11" t="n">
        <f aca="false">IF(K259&gt;0,G259/K259,"")</f>
        <v>0.317307692307692</v>
      </c>
      <c r="M259" s="9" t="str">
        <f aca="false">IF(K259=0,"",IF(L259&lt;0.2,"Très masculine (&lt;20 % F)",IF(L259&lt;0.4,"Plutôt masculine (20-40 %)",IF(L259&lt;0.6,"Mixte (40-60 %)","À dominante féminine (≥60 %)"))))</f>
        <v>Plutôt masculine (20-40 %)</v>
      </c>
    </row>
    <row r="260" customFormat="false" ht="15" hidden="false" customHeight="false" outlineLevel="0" collapsed="false">
      <c r="A260" s="9" t="s">
        <v>817</v>
      </c>
      <c r="B260" s="9" t="s">
        <v>818</v>
      </c>
      <c r="C260" s="9" t="s">
        <v>287</v>
      </c>
      <c r="D260" s="9" t="s">
        <v>288</v>
      </c>
      <c r="E260" s="9" t="s">
        <v>200</v>
      </c>
      <c r="F260" s="9" t="s">
        <v>173</v>
      </c>
      <c r="G260" s="10" t="n">
        <v>18</v>
      </c>
      <c r="H260" s="10" t="n">
        <v>82</v>
      </c>
      <c r="I260" s="10" t="n">
        <v>14</v>
      </c>
      <c r="J260" s="10" t="n">
        <v>1</v>
      </c>
      <c r="K260" s="10" t="n">
        <f aca="false">G260+H260</f>
        <v>100</v>
      </c>
      <c r="L260" s="11" t="n">
        <f aca="false">IF(K260&gt;0,G260/K260,"")</f>
        <v>0.18</v>
      </c>
      <c r="M260" s="9" t="str">
        <f aca="false">IF(K260=0,"",IF(L260&lt;0.2,"Très masculine (&lt;20 % F)",IF(L260&lt;0.4,"Plutôt masculine (20-40 %)",IF(L260&lt;0.6,"Mixte (40-60 %)","À dominante féminine (≥60 %)"))))</f>
        <v>Très masculine (&lt;20 % F)</v>
      </c>
    </row>
    <row r="261" customFormat="false" ht="15" hidden="false" customHeight="false" outlineLevel="0" collapsed="false">
      <c r="A261" s="9" t="s">
        <v>819</v>
      </c>
      <c r="B261" s="9" t="s">
        <v>818</v>
      </c>
      <c r="C261" s="9" t="s">
        <v>287</v>
      </c>
      <c r="D261" s="9" t="s">
        <v>288</v>
      </c>
      <c r="E261" s="9" t="s">
        <v>200</v>
      </c>
      <c r="F261" s="9" t="s">
        <v>173</v>
      </c>
      <c r="G261" s="10" t="n">
        <v>20</v>
      </c>
      <c r="H261" s="10" t="n">
        <v>732</v>
      </c>
      <c r="I261" s="10" t="n">
        <v>54</v>
      </c>
      <c r="J261" s="10" t="n">
        <v>5</v>
      </c>
      <c r="K261" s="10" t="n">
        <f aca="false">G261+H261</f>
        <v>752</v>
      </c>
      <c r="L261" s="11" t="n">
        <f aca="false">IF(K261&gt;0,G261/K261,"")</f>
        <v>0.0265957446808511</v>
      </c>
      <c r="M261" s="9" t="str">
        <f aca="false">IF(K261=0,"",IF(L261&lt;0.2,"Très masculine (&lt;20 % F)",IF(L261&lt;0.4,"Plutôt masculine (20-40 %)",IF(L261&lt;0.6,"Mixte (40-60 %)","À dominante féminine (≥60 %)"))))</f>
        <v>Très masculine (&lt;20 % F)</v>
      </c>
    </row>
    <row r="262" customFormat="false" ht="15" hidden="false" customHeight="false" outlineLevel="0" collapsed="false">
      <c r="A262" s="9" t="s">
        <v>820</v>
      </c>
      <c r="B262" s="9" t="s">
        <v>818</v>
      </c>
      <c r="C262" s="9" t="s">
        <v>287</v>
      </c>
      <c r="D262" s="9" t="s">
        <v>288</v>
      </c>
      <c r="E262" s="9" t="s">
        <v>200</v>
      </c>
      <c r="F262" s="9" t="s">
        <v>173</v>
      </c>
      <c r="G262" s="10" t="n">
        <v>56</v>
      </c>
      <c r="H262" s="10" t="n">
        <v>96</v>
      </c>
      <c r="I262" s="10" t="n">
        <v>15</v>
      </c>
      <c r="J262" s="10" t="n">
        <v>1</v>
      </c>
      <c r="K262" s="10" t="n">
        <f aca="false">G262+H262</f>
        <v>152</v>
      </c>
      <c r="L262" s="11" t="n">
        <f aca="false">IF(K262&gt;0,G262/K262,"")</f>
        <v>0.368421052631579</v>
      </c>
      <c r="M262" s="9" t="str">
        <f aca="false">IF(K262=0,"",IF(L262&lt;0.2,"Très masculine (&lt;20 % F)",IF(L262&lt;0.4,"Plutôt masculine (20-40 %)",IF(L262&lt;0.6,"Mixte (40-60 %)","À dominante féminine (≥60 %)"))))</f>
        <v>Plutôt masculine (20-40 %)</v>
      </c>
    </row>
    <row r="263" customFormat="false" ht="15" hidden="false" customHeight="false" outlineLevel="0" collapsed="false">
      <c r="A263" s="9" t="s">
        <v>821</v>
      </c>
      <c r="B263" s="9" t="s">
        <v>818</v>
      </c>
      <c r="C263" s="9" t="s">
        <v>287</v>
      </c>
      <c r="D263" s="9" t="s">
        <v>288</v>
      </c>
      <c r="E263" s="9" t="s">
        <v>200</v>
      </c>
      <c r="F263" s="9" t="s">
        <v>173</v>
      </c>
      <c r="G263" s="10" t="n">
        <v>102</v>
      </c>
      <c r="H263" s="10" t="n">
        <v>126</v>
      </c>
      <c r="I263" s="10" t="n">
        <v>13</v>
      </c>
      <c r="J263" s="10" t="n">
        <v>0</v>
      </c>
      <c r="K263" s="10" t="n">
        <f aca="false">G263+H263</f>
        <v>228</v>
      </c>
      <c r="L263" s="11" t="n">
        <f aca="false">IF(K263&gt;0,G263/K263,"")</f>
        <v>0.447368421052632</v>
      </c>
      <c r="M263" s="9" t="str">
        <f aca="false">IF(K263=0,"",IF(L263&lt;0.2,"Très masculine (&lt;20 % F)",IF(L263&lt;0.4,"Plutôt masculine (20-40 %)",IF(L263&lt;0.6,"Mixte (40-60 %)","À dominante féminine (≥60 %)"))))</f>
        <v>Mixte (40-60 %)</v>
      </c>
    </row>
    <row r="264" customFormat="false" ht="15" hidden="false" customHeight="false" outlineLevel="0" collapsed="false">
      <c r="A264" s="9" t="s">
        <v>822</v>
      </c>
      <c r="B264" s="9" t="s">
        <v>818</v>
      </c>
      <c r="C264" s="9" t="s">
        <v>287</v>
      </c>
      <c r="D264" s="9" t="s">
        <v>288</v>
      </c>
      <c r="E264" s="9" t="s">
        <v>200</v>
      </c>
      <c r="F264" s="9" t="s">
        <v>173</v>
      </c>
      <c r="G264" s="10" t="n">
        <v>22</v>
      </c>
      <c r="H264" s="10" t="n">
        <v>38</v>
      </c>
      <c r="I264" s="10" t="n">
        <v>8</v>
      </c>
      <c r="J264" s="10" t="n">
        <v>0</v>
      </c>
      <c r="K264" s="10" t="n">
        <f aca="false">G264+H264</f>
        <v>60</v>
      </c>
      <c r="L264" s="11" t="n">
        <f aca="false">IF(K264&gt;0,G264/K264,"")</f>
        <v>0.366666666666667</v>
      </c>
      <c r="M264" s="9" t="str">
        <f aca="false">IF(K264=0,"",IF(L264&lt;0.2,"Très masculine (&lt;20 % F)",IF(L264&lt;0.4,"Plutôt masculine (20-40 %)",IF(L264&lt;0.6,"Mixte (40-60 %)","À dominante féminine (≥60 %)"))))</f>
        <v>Plutôt masculine (20-40 %)</v>
      </c>
    </row>
    <row r="265" customFormat="false" ht="15" hidden="false" customHeight="false" outlineLevel="0" collapsed="false">
      <c r="A265" s="9" t="s">
        <v>823</v>
      </c>
      <c r="B265" s="9" t="s">
        <v>818</v>
      </c>
      <c r="C265" s="9" t="s">
        <v>287</v>
      </c>
      <c r="D265" s="9" t="s">
        <v>288</v>
      </c>
      <c r="E265" s="9" t="s">
        <v>200</v>
      </c>
      <c r="F265" s="9" t="s">
        <v>173</v>
      </c>
      <c r="G265" s="10" t="n">
        <v>48</v>
      </c>
      <c r="H265" s="10" t="n">
        <v>56</v>
      </c>
      <c r="I265" s="10" t="n">
        <v>3</v>
      </c>
      <c r="J265" s="10" t="n">
        <v>0</v>
      </c>
      <c r="K265" s="10" t="n">
        <f aca="false">G265+H265</f>
        <v>104</v>
      </c>
      <c r="L265" s="11" t="n">
        <f aca="false">IF(K265&gt;0,G265/K265,"")</f>
        <v>0.461538461538462</v>
      </c>
      <c r="M265" s="9" t="str">
        <f aca="false">IF(K265=0,"",IF(L265&lt;0.2,"Très masculine (&lt;20 % F)",IF(L265&lt;0.4,"Plutôt masculine (20-40 %)",IF(L265&lt;0.6,"Mixte (40-60 %)","À dominante féminine (≥60 %)"))))</f>
        <v>Mixte (40-60 %)</v>
      </c>
    </row>
    <row r="266" customFormat="false" ht="15" hidden="false" customHeight="false" outlineLevel="0" collapsed="false">
      <c r="A266" s="9" t="s">
        <v>824</v>
      </c>
      <c r="B266" s="9" t="s">
        <v>818</v>
      </c>
      <c r="C266" s="9" t="s">
        <v>287</v>
      </c>
      <c r="D266" s="9" t="s">
        <v>288</v>
      </c>
      <c r="E266" s="9" t="s">
        <v>200</v>
      </c>
      <c r="F266" s="9" t="s">
        <v>173</v>
      </c>
      <c r="G266" s="10" t="n">
        <v>91</v>
      </c>
      <c r="H266" s="10" t="n">
        <v>83</v>
      </c>
      <c r="I266" s="10" t="n">
        <v>6</v>
      </c>
      <c r="J266" s="10" t="n">
        <v>1</v>
      </c>
      <c r="K266" s="10" t="n">
        <f aca="false">G266+H266</f>
        <v>174</v>
      </c>
      <c r="L266" s="11" t="n">
        <f aca="false">IF(K266&gt;0,G266/K266,"")</f>
        <v>0.522988505747126</v>
      </c>
      <c r="M266" s="9" t="str">
        <f aca="false">IF(K266=0,"",IF(L266&lt;0.2,"Très masculine (&lt;20 % F)",IF(L266&lt;0.4,"Plutôt masculine (20-40 %)",IF(L266&lt;0.6,"Mixte (40-60 %)","À dominante féminine (≥60 %)"))))</f>
        <v>Mixte (40-60 %)</v>
      </c>
    </row>
    <row r="267" customFormat="false" ht="15" hidden="false" customHeight="false" outlineLevel="0" collapsed="false">
      <c r="A267" s="9" t="s">
        <v>825</v>
      </c>
      <c r="B267" s="9" t="s">
        <v>818</v>
      </c>
      <c r="C267" s="9" t="s">
        <v>287</v>
      </c>
      <c r="D267" s="9" t="s">
        <v>288</v>
      </c>
      <c r="E267" s="9" t="s">
        <v>200</v>
      </c>
      <c r="F267" s="9" t="s">
        <v>173</v>
      </c>
      <c r="G267" s="10" t="n">
        <v>6</v>
      </c>
      <c r="H267" s="10" t="n">
        <v>47</v>
      </c>
      <c r="I267" s="10" t="n">
        <v>30</v>
      </c>
      <c r="J267" s="10" t="n">
        <v>0</v>
      </c>
      <c r="K267" s="10" t="n">
        <f aca="false">G267+H267</f>
        <v>53</v>
      </c>
      <c r="L267" s="11" t="n">
        <f aca="false">IF(K267&gt;0,G267/K267,"")</f>
        <v>0.113207547169811</v>
      </c>
      <c r="M267" s="9" t="str">
        <f aca="false">IF(K267=0,"",IF(L267&lt;0.2,"Très masculine (&lt;20 % F)",IF(L267&lt;0.4,"Plutôt masculine (20-40 %)",IF(L267&lt;0.6,"Mixte (40-60 %)","À dominante féminine (≥60 %)"))))</f>
        <v>Très masculine (&lt;20 % F)</v>
      </c>
    </row>
    <row r="268" customFormat="false" ht="15" hidden="false" customHeight="false" outlineLevel="0" collapsed="false">
      <c r="A268" s="9" t="s">
        <v>826</v>
      </c>
      <c r="B268" s="9" t="s">
        <v>818</v>
      </c>
      <c r="C268" s="9" t="s">
        <v>287</v>
      </c>
      <c r="D268" s="9" t="s">
        <v>288</v>
      </c>
      <c r="E268" s="9" t="s">
        <v>200</v>
      </c>
      <c r="F268" s="9" t="s">
        <v>173</v>
      </c>
      <c r="G268" s="10" t="n">
        <v>47</v>
      </c>
      <c r="H268" s="10" t="n">
        <v>37</v>
      </c>
      <c r="I268" s="10" t="n">
        <v>14</v>
      </c>
      <c r="J268" s="10" t="n">
        <v>0</v>
      </c>
      <c r="K268" s="10" t="n">
        <f aca="false">G268+H268</f>
        <v>84</v>
      </c>
      <c r="L268" s="11" t="n">
        <f aca="false">IF(K268&gt;0,G268/K268,"")</f>
        <v>0.55952380952381</v>
      </c>
      <c r="M268" s="9" t="str">
        <f aca="false">IF(K268=0,"",IF(L268&lt;0.2,"Très masculine (&lt;20 % F)",IF(L268&lt;0.4,"Plutôt masculine (20-40 %)",IF(L268&lt;0.6,"Mixte (40-60 %)","À dominante féminine (≥60 %)"))))</f>
        <v>Mixte (40-60 %)</v>
      </c>
    </row>
    <row r="269" customFormat="false" ht="15" hidden="false" customHeight="false" outlineLevel="0" collapsed="false">
      <c r="A269" s="9" t="s">
        <v>827</v>
      </c>
      <c r="B269" s="9" t="s">
        <v>818</v>
      </c>
      <c r="C269" s="9" t="s">
        <v>287</v>
      </c>
      <c r="D269" s="9" t="s">
        <v>288</v>
      </c>
      <c r="E269" s="9" t="s">
        <v>200</v>
      </c>
      <c r="F269" s="9" t="s">
        <v>173</v>
      </c>
      <c r="G269" s="10" t="n">
        <v>7</v>
      </c>
      <c r="H269" s="10" t="n">
        <v>224</v>
      </c>
      <c r="I269" s="10" t="n">
        <v>8</v>
      </c>
      <c r="J269" s="10" t="n">
        <v>0</v>
      </c>
      <c r="K269" s="10" t="n">
        <f aca="false">G269+H269</f>
        <v>231</v>
      </c>
      <c r="L269" s="11" t="n">
        <f aca="false">IF(K269&gt;0,G269/K269,"")</f>
        <v>0.0303030303030303</v>
      </c>
      <c r="M269" s="9" t="str">
        <f aca="false">IF(K269=0,"",IF(L269&lt;0.2,"Très masculine (&lt;20 % F)",IF(L269&lt;0.4,"Plutôt masculine (20-40 %)",IF(L269&lt;0.6,"Mixte (40-60 %)","À dominante féminine (≥60 %)"))))</f>
        <v>Très masculine (&lt;20 % F)</v>
      </c>
    </row>
    <row r="270" customFormat="false" ht="15" hidden="false" customHeight="false" outlineLevel="0" collapsed="false">
      <c r="A270" s="9" t="s">
        <v>828</v>
      </c>
      <c r="B270" s="9" t="s">
        <v>818</v>
      </c>
      <c r="C270" s="9" t="s">
        <v>287</v>
      </c>
      <c r="D270" s="9" t="s">
        <v>288</v>
      </c>
      <c r="E270" s="9" t="s">
        <v>200</v>
      </c>
      <c r="F270" s="9" t="s">
        <v>173</v>
      </c>
      <c r="G270" s="10" t="n">
        <v>269</v>
      </c>
      <c r="H270" s="10" t="n">
        <v>143</v>
      </c>
      <c r="I270" s="10" t="n">
        <v>9</v>
      </c>
      <c r="J270" s="10" t="n">
        <v>16</v>
      </c>
      <c r="K270" s="10" t="n">
        <f aca="false">G270+H270</f>
        <v>412</v>
      </c>
      <c r="L270" s="11" t="n">
        <f aca="false">IF(K270&gt;0,G270/K270,"")</f>
        <v>0.652912621359223</v>
      </c>
      <c r="M270" s="9" t="str">
        <f aca="false">IF(K270=0,"",IF(L270&lt;0.2,"Très masculine (&lt;20 % F)",IF(L270&lt;0.4,"Plutôt masculine (20-40 %)",IF(L270&lt;0.6,"Mixte (40-60 %)","À dominante féminine (≥60 %)"))))</f>
        <v>À dominante féminine (≥60 %)</v>
      </c>
    </row>
    <row r="271" customFormat="false" ht="15" hidden="false" customHeight="false" outlineLevel="0" collapsed="false">
      <c r="A271" s="9" t="s">
        <v>829</v>
      </c>
      <c r="B271" s="9" t="s">
        <v>818</v>
      </c>
      <c r="C271" s="9" t="s">
        <v>287</v>
      </c>
      <c r="D271" s="9" t="s">
        <v>288</v>
      </c>
      <c r="E271" s="9" t="s">
        <v>200</v>
      </c>
      <c r="F271" s="9" t="s">
        <v>173</v>
      </c>
      <c r="G271" s="10" t="n">
        <v>16</v>
      </c>
      <c r="H271" s="10" t="n">
        <v>36</v>
      </c>
      <c r="I271" s="10" t="n">
        <v>11</v>
      </c>
      <c r="J271" s="10" t="n">
        <v>0</v>
      </c>
      <c r="K271" s="10" t="n">
        <f aca="false">G271+H271</f>
        <v>52</v>
      </c>
      <c r="L271" s="11" t="n">
        <f aca="false">IF(K271&gt;0,G271/K271,"")</f>
        <v>0.307692307692308</v>
      </c>
      <c r="M271" s="9" t="str">
        <f aca="false">IF(K271=0,"",IF(L271&lt;0.2,"Très masculine (&lt;20 % F)",IF(L271&lt;0.4,"Plutôt masculine (20-40 %)",IF(L271&lt;0.6,"Mixte (40-60 %)","À dominante féminine (≥60 %)"))))</f>
        <v>Plutôt masculine (20-40 %)</v>
      </c>
    </row>
    <row r="272" customFormat="false" ht="15" hidden="false" customHeight="false" outlineLevel="0" collapsed="false">
      <c r="A272" s="9" t="s">
        <v>830</v>
      </c>
      <c r="B272" s="9" t="s">
        <v>818</v>
      </c>
      <c r="C272" s="9" t="s">
        <v>287</v>
      </c>
      <c r="D272" s="9" t="s">
        <v>288</v>
      </c>
      <c r="E272" s="9" t="s">
        <v>200</v>
      </c>
      <c r="F272" s="9" t="s">
        <v>173</v>
      </c>
      <c r="G272" s="10" t="n">
        <v>108</v>
      </c>
      <c r="H272" s="10" t="n">
        <v>221</v>
      </c>
      <c r="I272" s="10" t="n">
        <v>15</v>
      </c>
      <c r="J272" s="10" t="n">
        <v>7</v>
      </c>
      <c r="K272" s="10" t="n">
        <f aca="false">G272+H272</f>
        <v>329</v>
      </c>
      <c r="L272" s="11" t="n">
        <f aca="false">IF(K272&gt;0,G272/K272,"")</f>
        <v>0.328267477203647</v>
      </c>
      <c r="M272" s="9" t="str">
        <f aca="false">IF(K272=0,"",IF(L272&lt;0.2,"Très masculine (&lt;20 % F)",IF(L272&lt;0.4,"Plutôt masculine (20-40 %)",IF(L272&lt;0.6,"Mixte (40-60 %)","À dominante féminine (≥60 %)"))))</f>
        <v>Plutôt masculine (20-40 %)</v>
      </c>
    </row>
    <row r="273" customFormat="false" ht="15" hidden="false" customHeight="false" outlineLevel="0" collapsed="false">
      <c r="A273" s="9" t="s">
        <v>831</v>
      </c>
      <c r="B273" s="9" t="s">
        <v>832</v>
      </c>
      <c r="C273" s="9" t="s">
        <v>289</v>
      </c>
      <c r="D273" s="9" t="s">
        <v>155</v>
      </c>
      <c r="E273" s="9" t="s">
        <v>155</v>
      </c>
      <c r="F273" s="9" t="s">
        <v>197</v>
      </c>
      <c r="G273" s="10" t="n">
        <v>9</v>
      </c>
      <c r="H273" s="10" t="n">
        <v>41</v>
      </c>
      <c r="I273" s="10" t="n">
        <v>3</v>
      </c>
      <c r="J273" s="10" t="n">
        <v>0</v>
      </c>
      <c r="K273" s="10" t="n">
        <f aca="false">G273+H273</f>
        <v>50</v>
      </c>
      <c r="L273" s="11" t="n">
        <f aca="false">IF(K273&gt;0,G273/K273,"")</f>
        <v>0.18</v>
      </c>
      <c r="M273" s="9" t="str">
        <f aca="false">IF(K273=0,"",IF(L273&lt;0.2,"Très masculine (&lt;20 % F)",IF(L273&lt;0.4,"Plutôt masculine (20-40 %)",IF(L273&lt;0.6,"Mixte (40-60 %)","À dominante féminine (≥60 %)"))))</f>
        <v>Très masculine (&lt;20 % F)</v>
      </c>
    </row>
    <row r="274" customFormat="false" ht="15" hidden="false" customHeight="false" outlineLevel="0" collapsed="false">
      <c r="A274" s="9" t="s">
        <v>833</v>
      </c>
      <c r="B274" s="9" t="s">
        <v>832</v>
      </c>
      <c r="C274" s="9" t="s">
        <v>289</v>
      </c>
      <c r="D274" s="9" t="s">
        <v>155</v>
      </c>
      <c r="E274" s="9" t="s">
        <v>155</v>
      </c>
      <c r="F274" s="9" t="s">
        <v>197</v>
      </c>
      <c r="G274" s="10" t="n">
        <v>29</v>
      </c>
      <c r="H274" s="10" t="n">
        <v>130</v>
      </c>
      <c r="I274" s="10" t="n">
        <v>4</v>
      </c>
      <c r="J274" s="10" t="n">
        <v>1</v>
      </c>
      <c r="K274" s="10" t="n">
        <f aca="false">G274+H274</f>
        <v>159</v>
      </c>
      <c r="L274" s="11" t="n">
        <f aca="false">IF(K274&gt;0,G274/K274,"")</f>
        <v>0.182389937106918</v>
      </c>
      <c r="M274" s="9" t="str">
        <f aca="false">IF(K274=0,"",IF(L274&lt;0.2,"Très masculine (&lt;20 % F)",IF(L274&lt;0.4,"Plutôt masculine (20-40 %)",IF(L274&lt;0.6,"Mixte (40-60 %)","À dominante féminine (≥60 %)"))))</f>
        <v>Très masculine (&lt;20 % F)</v>
      </c>
    </row>
    <row r="275" customFormat="false" ht="15" hidden="false" customHeight="false" outlineLevel="0" collapsed="false">
      <c r="A275" s="9" t="s">
        <v>834</v>
      </c>
      <c r="B275" s="9" t="s">
        <v>832</v>
      </c>
      <c r="C275" s="9" t="s">
        <v>289</v>
      </c>
      <c r="D275" s="9" t="s">
        <v>155</v>
      </c>
      <c r="E275" s="9" t="s">
        <v>155</v>
      </c>
      <c r="F275" s="9" t="s">
        <v>197</v>
      </c>
      <c r="G275" s="10" t="n">
        <v>66</v>
      </c>
      <c r="H275" s="10" t="n">
        <v>155</v>
      </c>
      <c r="I275" s="10" t="n">
        <v>12</v>
      </c>
      <c r="J275" s="10" t="n">
        <v>0</v>
      </c>
      <c r="K275" s="10" t="n">
        <f aca="false">G275+H275</f>
        <v>221</v>
      </c>
      <c r="L275" s="11" t="n">
        <f aca="false">IF(K275&gt;0,G275/K275,"")</f>
        <v>0.298642533936652</v>
      </c>
      <c r="M275" s="9" t="str">
        <f aca="false">IF(K275=0,"",IF(L275&lt;0.2,"Très masculine (&lt;20 % F)",IF(L275&lt;0.4,"Plutôt masculine (20-40 %)",IF(L275&lt;0.6,"Mixte (40-60 %)","À dominante féminine (≥60 %)"))))</f>
        <v>Plutôt masculine (20-40 %)</v>
      </c>
    </row>
    <row r="276" customFormat="false" ht="15" hidden="false" customHeight="false" outlineLevel="0" collapsed="false">
      <c r="A276" s="9" t="s">
        <v>835</v>
      </c>
      <c r="B276" s="9" t="s">
        <v>832</v>
      </c>
      <c r="C276" s="9" t="s">
        <v>289</v>
      </c>
      <c r="D276" s="9" t="s">
        <v>155</v>
      </c>
      <c r="E276" s="9" t="s">
        <v>155</v>
      </c>
      <c r="F276" s="9" t="s">
        <v>197</v>
      </c>
      <c r="G276" s="10" t="n">
        <v>32</v>
      </c>
      <c r="H276" s="10" t="n">
        <v>65</v>
      </c>
      <c r="I276" s="10" t="n">
        <v>12</v>
      </c>
      <c r="J276" s="10" t="n">
        <v>2</v>
      </c>
      <c r="K276" s="10" t="n">
        <f aca="false">G276+H276</f>
        <v>97</v>
      </c>
      <c r="L276" s="11" t="n">
        <f aca="false">IF(K276&gt;0,G276/K276,"")</f>
        <v>0.329896907216495</v>
      </c>
      <c r="M276" s="9" t="str">
        <f aca="false">IF(K276=0,"",IF(L276&lt;0.2,"Très masculine (&lt;20 % F)",IF(L276&lt;0.4,"Plutôt masculine (20-40 %)",IF(L276&lt;0.6,"Mixte (40-60 %)","À dominante féminine (≥60 %)"))))</f>
        <v>Plutôt masculine (20-40 %)</v>
      </c>
    </row>
    <row r="277" customFormat="false" ht="15" hidden="false" customHeight="false" outlineLevel="0" collapsed="false">
      <c r="A277" s="9" t="s">
        <v>836</v>
      </c>
      <c r="B277" s="9" t="s">
        <v>832</v>
      </c>
      <c r="C277" s="9" t="s">
        <v>289</v>
      </c>
      <c r="D277" s="9" t="s">
        <v>155</v>
      </c>
      <c r="E277" s="9" t="s">
        <v>155</v>
      </c>
      <c r="F277" s="9" t="s">
        <v>197</v>
      </c>
      <c r="G277" s="10" t="n">
        <v>10</v>
      </c>
      <c r="H277" s="10" t="n">
        <v>24</v>
      </c>
      <c r="I277" s="10" t="n">
        <v>9</v>
      </c>
      <c r="J277" s="10" t="n">
        <v>0</v>
      </c>
      <c r="K277" s="10" t="n">
        <f aca="false">G277+H277</f>
        <v>34</v>
      </c>
      <c r="L277" s="11" t="n">
        <f aca="false">IF(K277&gt;0,G277/K277,"")</f>
        <v>0.294117647058824</v>
      </c>
      <c r="M277" s="9" t="str">
        <f aca="false">IF(K277=0,"",IF(L277&lt;0.2,"Très masculine (&lt;20 % F)",IF(L277&lt;0.4,"Plutôt masculine (20-40 %)",IF(L277&lt;0.6,"Mixte (40-60 %)","À dominante féminine (≥60 %)"))))</f>
        <v>Plutôt masculine (20-40 %)</v>
      </c>
    </row>
    <row r="278" customFormat="false" ht="15" hidden="false" customHeight="false" outlineLevel="0" collapsed="false">
      <c r="A278" s="9" t="s">
        <v>837</v>
      </c>
      <c r="B278" s="9" t="s">
        <v>832</v>
      </c>
      <c r="C278" s="9" t="s">
        <v>289</v>
      </c>
      <c r="D278" s="9" t="s">
        <v>155</v>
      </c>
      <c r="E278" s="9" t="s">
        <v>155</v>
      </c>
      <c r="F278" s="9" t="s">
        <v>197</v>
      </c>
      <c r="G278" s="10" t="n">
        <v>7</v>
      </c>
      <c r="H278" s="10" t="n">
        <v>19</v>
      </c>
      <c r="I278" s="10" t="n">
        <v>8</v>
      </c>
      <c r="J278" s="10" t="n">
        <v>0</v>
      </c>
      <c r="K278" s="10" t="n">
        <f aca="false">G278+H278</f>
        <v>26</v>
      </c>
      <c r="L278" s="11" t="n">
        <f aca="false">IF(K278&gt;0,G278/K278,"")</f>
        <v>0.269230769230769</v>
      </c>
      <c r="M278" s="9" t="str">
        <f aca="false">IF(K278=0,"",IF(L278&lt;0.2,"Très masculine (&lt;20 % F)",IF(L278&lt;0.4,"Plutôt masculine (20-40 %)",IF(L278&lt;0.6,"Mixte (40-60 %)","À dominante féminine (≥60 %)"))))</f>
        <v>Plutôt masculine (20-40 %)</v>
      </c>
    </row>
    <row r="279" customFormat="false" ht="15" hidden="false" customHeight="false" outlineLevel="0" collapsed="false">
      <c r="A279" s="9" t="s">
        <v>838</v>
      </c>
      <c r="B279" s="9" t="s">
        <v>832</v>
      </c>
      <c r="C279" s="9" t="s">
        <v>289</v>
      </c>
      <c r="D279" s="9" t="s">
        <v>155</v>
      </c>
      <c r="E279" s="9" t="s">
        <v>155</v>
      </c>
      <c r="F279" s="9" t="s">
        <v>197</v>
      </c>
      <c r="G279" s="10" t="n">
        <v>14</v>
      </c>
      <c r="H279" s="10" t="n">
        <v>49</v>
      </c>
      <c r="I279" s="10" t="n">
        <v>5</v>
      </c>
      <c r="J279" s="10" t="n">
        <v>0</v>
      </c>
      <c r="K279" s="10" t="n">
        <f aca="false">G279+H279</f>
        <v>63</v>
      </c>
      <c r="L279" s="11" t="n">
        <f aca="false">IF(K279&gt;0,G279/K279,"")</f>
        <v>0.222222222222222</v>
      </c>
      <c r="M279" s="9" t="str">
        <f aca="false">IF(K279=0,"",IF(L279&lt;0.2,"Très masculine (&lt;20 % F)",IF(L279&lt;0.4,"Plutôt masculine (20-40 %)",IF(L279&lt;0.6,"Mixte (40-60 %)","À dominante féminine (≥60 %)"))))</f>
        <v>Plutôt masculine (20-40 %)</v>
      </c>
    </row>
    <row r="280" customFormat="false" ht="15" hidden="false" customHeight="false" outlineLevel="0" collapsed="false">
      <c r="A280" s="9" t="s">
        <v>839</v>
      </c>
      <c r="B280" s="9" t="s">
        <v>832</v>
      </c>
      <c r="C280" s="9" t="s">
        <v>289</v>
      </c>
      <c r="D280" s="9" t="s">
        <v>155</v>
      </c>
      <c r="E280" s="9" t="s">
        <v>155</v>
      </c>
      <c r="F280" s="9" t="s">
        <v>197</v>
      </c>
      <c r="G280" s="10" t="n">
        <v>304</v>
      </c>
      <c r="H280" s="10" t="n">
        <v>40</v>
      </c>
      <c r="I280" s="10" t="n">
        <v>3</v>
      </c>
      <c r="J280" s="10" t="n">
        <v>7</v>
      </c>
      <c r="K280" s="10" t="n">
        <f aca="false">G280+H280</f>
        <v>344</v>
      </c>
      <c r="L280" s="11" t="n">
        <f aca="false">IF(K280&gt;0,G280/K280,"")</f>
        <v>0.883720930232558</v>
      </c>
      <c r="M280" s="9" t="str">
        <f aca="false">IF(K280=0,"",IF(L280&lt;0.2,"Très masculine (&lt;20 % F)",IF(L280&lt;0.4,"Plutôt masculine (20-40 %)",IF(L280&lt;0.6,"Mixte (40-60 %)","À dominante féminine (≥60 %)"))))</f>
        <v>À dominante féminine (≥60 %)</v>
      </c>
    </row>
    <row r="281" customFormat="false" ht="15" hidden="false" customHeight="false" outlineLevel="0" collapsed="false">
      <c r="A281" s="9" t="s">
        <v>840</v>
      </c>
      <c r="B281" s="9" t="s">
        <v>832</v>
      </c>
      <c r="C281" s="9" t="s">
        <v>289</v>
      </c>
      <c r="D281" s="9" t="s">
        <v>155</v>
      </c>
      <c r="E281" s="9" t="s">
        <v>155</v>
      </c>
      <c r="F281" s="9" t="s">
        <v>197</v>
      </c>
      <c r="G281" s="10" t="n">
        <v>36</v>
      </c>
      <c r="H281" s="10" t="n">
        <v>71</v>
      </c>
      <c r="I281" s="10" t="n">
        <v>22</v>
      </c>
      <c r="J281" s="10" t="n">
        <v>0</v>
      </c>
      <c r="K281" s="10" t="n">
        <f aca="false">G281+H281</f>
        <v>107</v>
      </c>
      <c r="L281" s="11" t="n">
        <f aca="false">IF(K281&gt;0,G281/K281,"")</f>
        <v>0.336448598130841</v>
      </c>
      <c r="M281" s="9" t="str">
        <f aca="false">IF(K281=0,"",IF(L281&lt;0.2,"Très masculine (&lt;20 % F)",IF(L281&lt;0.4,"Plutôt masculine (20-40 %)",IF(L281&lt;0.6,"Mixte (40-60 %)","À dominante féminine (≥60 %)"))))</f>
        <v>Plutôt masculine (20-40 %)</v>
      </c>
    </row>
    <row r="282" customFormat="false" ht="15" hidden="false" customHeight="false" outlineLevel="0" collapsed="false">
      <c r="A282" s="9" t="s">
        <v>841</v>
      </c>
      <c r="B282" s="9" t="s">
        <v>832</v>
      </c>
      <c r="C282" s="9" t="s">
        <v>289</v>
      </c>
      <c r="D282" s="9" t="s">
        <v>155</v>
      </c>
      <c r="E282" s="9" t="s">
        <v>155</v>
      </c>
      <c r="F282" s="9" t="s">
        <v>197</v>
      </c>
      <c r="G282" s="10" t="n">
        <v>399</v>
      </c>
      <c r="H282" s="10" t="n">
        <v>23</v>
      </c>
      <c r="I282" s="10" t="n">
        <v>3</v>
      </c>
      <c r="J282" s="10" t="n">
        <v>7</v>
      </c>
      <c r="K282" s="10" t="n">
        <f aca="false">G282+H282</f>
        <v>422</v>
      </c>
      <c r="L282" s="11" t="n">
        <f aca="false">IF(K282&gt;0,G282/K282,"")</f>
        <v>0.945497630331754</v>
      </c>
      <c r="M282" s="9" t="str">
        <f aca="false">IF(K282=0,"",IF(L282&lt;0.2,"Très masculine (&lt;20 % F)",IF(L282&lt;0.4,"Plutôt masculine (20-40 %)",IF(L282&lt;0.6,"Mixte (40-60 %)","À dominante féminine (≥60 %)"))))</f>
        <v>À dominante féminine (≥60 %)</v>
      </c>
    </row>
    <row r="283" customFormat="false" ht="15" hidden="false" customHeight="false" outlineLevel="0" collapsed="false">
      <c r="A283" s="9" t="s">
        <v>842</v>
      </c>
      <c r="B283" s="9" t="s">
        <v>832</v>
      </c>
      <c r="C283" s="9" t="s">
        <v>289</v>
      </c>
      <c r="D283" s="9" t="s">
        <v>155</v>
      </c>
      <c r="E283" s="9" t="s">
        <v>155</v>
      </c>
      <c r="F283" s="9" t="s">
        <v>197</v>
      </c>
      <c r="G283" s="10" t="n">
        <v>108</v>
      </c>
      <c r="H283" s="10" t="n">
        <v>129</v>
      </c>
      <c r="I283" s="10" t="n">
        <v>22</v>
      </c>
      <c r="J283" s="10" t="n">
        <v>1</v>
      </c>
      <c r="K283" s="10" t="n">
        <f aca="false">G283+H283</f>
        <v>237</v>
      </c>
      <c r="L283" s="11" t="n">
        <f aca="false">IF(K283&gt;0,G283/K283,"")</f>
        <v>0.455696202531646</v>
      </c>
      <c r="M283" s="9" t="str">
        <f aca="false">IF(K283=0,"",IF(L283&lt;0.2,"Très masculine (&lt;20 % F)",IF(L283&lt;0.4,"Plutôt masculine (20-40 %)",IF(L283&lt;0.6,"Mixte (40-60 %)","À dominante féminine (≥60 %)"))))</f>
        <v>Mixte (40-60 %)</v>
      </c>
    </row>
    <row r="284" customFormat="false" ht="15" hidden="false" customHeight="false" outlineLevel="0" collapsed="false">
      <c r="A284" s="9" t="s">
        <v>843</v>
      </c>
      <c r="B284" s="9" t="s">
        <v>832</v>
      </c>
      <c r="C284" s="9" t="s">
        <v>289</v>
      </c>
      <c r="D284" s="9" t="s">
        <v>155</v>
      </c>
      <c r="E284" s="9" t="s">
        <v>155</v>
      </c>
      <c r="F284" s="9" t="s">
        <v>197</v>
      </c>
      <c r="G284" s="10" t="n">
        <v>42</v>
      </c>
      <c r="H284" s="10" t="n">
        <v>181</v>
      </c>
      <c r="I284" s="10" t="n">
        <v>8</v>
      </c>
      <c r="J284" s="10" t="n">
        <v>1</v>
      </c>
      <c r="K284" s="10" t="n">
        <f aca="false">G284+H284</f>
        <v>223</v>
      </c>
      <c r="L284" s="11" t="n">
        <f aca="false">IF(K284&gt;0,G284/K284,"")</f>
        <v>0.188340807174888</v>
      </c>
      <c r="M284" s="9" t="str">
        <f aca="false">IF(K284=0,"",IF(L284&lt;0.2,"Très masculine (&lt;20 % F)",IF(L284&lt;0.4,"Plutôt masculine (20-40 %)",IF(L284&lt;0.6,"Mixte (40-60 %)","À dominante féminine (≥60 %)"))))</f>
        <v>Très masculine (&lt;20 % F)</v>
      </c>
    </row>
    <row r="285" customFormat="false" ht="15" hidden="false" customHeight="false" outlineLevel="0" collapsed="false">
      <c r="A285" s="9" t="s">
        <v>844</v>
      </c>
      <c r="B285" s="9" t="s">
        <v>832</v>
      </c>
      <c r="C285" s="9" t="s">
        <v>289</v>
      </c>
      <c r="D285" s="9" t="s">
        <v>155</v>
      </c>
      <c r="E285" s="9" t="s">
        <v>155</v>
      </c>
      <c r="F285" s="9" t="s">
        <v>197</v>
      </c>
      <c r="G285" s="10" t="n">
        <v>159</v>
      </c>
      <c r="H285" s="10" t="n">
        <v>128</v>
      </c>
      <c r="I285" s="10" t="n">
        <v>21</v>
      </c>
      <c r="J285" s="10" t="n">
        <v>0</v>
      </c>
      <c r="K285" s="10" t="n">
        <f aca="false">G285+H285</f>
        <v>287</v>
      </c>
      <c r="L285" s="11" t="n">
        <f aca="false">IF(K285&gt;0,G285/K285,"")</f>
        <v>0.554006968641115</v>
      </c>
      <c r="M285" s="9" t="str">
        <f aca="false">IF(K285=0,"",IF(L285&lt;0.2,"Très masculine (&lt;20 % F)",IF(L285&lt;0.4,"Plutôt masculine (20-40 %)",IF(L285&lt;0.6,"Mixte (40-60 %)","À dominante féminine (≥60 %)"))))</f>
        <v>Mixte (40-60 %)</v>
      </c>
    </row>
    <row r="286" customFormat="false" ht="15" hidden="false" customHeight="false" outlineLevel="0" collapsed="false">
      <c r="A286" s="9" t="s">
        <v>845</v>
      </c>
      <c r="B286" s="9" t="s">
        <v>832</v>
      </c>
      <c r="C286" s="9" t="s">
        <v>289</v>
      </c>
      <c r="D286" s="9" t="s">
        <v>155</v>
      </c>
      <c r="E286" s="9" t="s">
        <v>155</v>
      </c>
      <c r="F286" s="9" t="s">
        <v>197</v>
      </c>
      <c r="G286" s="10" t="n">
        <v>20</v>
      </c>
      <c r="H286" s="10" t="n">
        <v>98</v>
      </c>
      <c r="I286" s="10" t="n">
        <v>5</v>
      </c>
      <c r="J286" s="10" t="n">
        <v>9</v>
      </c>
      <c r="K286" s="10" t="n">
        <f aca="false">G286+H286</f>
        <v>118</v>
      </c>
      <c r="L286" s="11" t="n">
        <f aca="false">IF(K286&gt;0,G286/K286,"")</f>
        <v>0.169491525423729</v>
      </c>
      <c r="M286" s="9" t="str">
        <f aca="false">IF(K286=0,"",IF(L286&lt;0.2,"Très masculine (&lt;20 % F)",IF(L286&lt;0.4,"Plutôt masculine (20-40 %)",IF(L286&lt;0.6,"Mixte (40-60 %)","À dominante féminine (≥60 %)"))))</f>
        <v>Très masculine (&lt;20 % F)</v>
      </c>
    </row>
    <row r="287" customFormat="false" ht="15" hidden="false" customHeight="false" outlineLevel="0" collapsed="false">
      <c r="A287" s="9" t="s">
        <v>846</v>
      </c>
      <c r="B287" s="9" t="s">
        <v>832</v>
      </c>
      <c r="C287" s="9" t="s">
        <v>289</v>
      </c>
      <c r="D287" s="9" t="s">
        <v>155</v>
      </c>
      <c r="E287" s="9" t="s">
        <v>155</v>
      </c>
      <c r="F287" s="9" t="s">
        <v>197</v>
      </c>
      <c r="G287" s="10" t="n">
        <v>57</v>
      </c>
      <c r="H287" s="10" t="n">
        <v>31</v>
      </c>
      <c r="I287" s="10" t="n">
        <v>10</v>
      </c>
      <c r="J287" s="10" t="n">
        <v>0</v>
      </c>
      <c r="K287" s="10" t="n">
        <f aca="false">G287+H287</f>
        <v>88</v>
      </c>
      <c r="L287" s="11" t="n">
        <f aca="false">IF(K287&gt;0,G287/K287,"")</f>
        <v>0.647727272727273</v>
      </c>
      <c r="M287" s="9" t="str">
        <f aca="false">IF(K287=0,"",IF(L287&lt;0.2,"Très masculine (&lt;20 % F)",IF(L287&lt;0.4,"Plutôt masculine (20-40 %)",IF(L287&lt;0.6,"Mixte (40-60 %)","À dominante féminine (≥60 %)"))))</f>
        <v>À dominante féminine (≥60 %)</v>
      </c>
    </row>
    <row r="288" customFormat="false" ht="15" hidden="false" customHeight="false" outlineLevel="0" collapsed="false">
      <c r="A288" s="9" t="s">
        <v>847</v>
      </c>
      <c r="B288" s="9" t="s">
        <v>832</v>
      </c>
      <c r="C288" s="9" t="s">
        <v>289</v>
      </c>
      <c r="D288" s="9" t="s">
        <v>155</v>
      </c>
      <c r="E288" s="9" t="s">
        <v>155</v>
      </c>
      <c r="F288" s="9" t="s">
        <v>197</v>
      </c>
      <c r="G288" s="10" t="n">
        <v>19</v>
      </c>
      <c r="H288" s="10" t="n">
        <v>263</v>
      </c>
      <c r="I288" s="10" t="n">
        <v>33</v>
      </c>
      <c r="J288" s="10" t="n">
        <v>0</v>
      </c>
      <c r="K288" s="10" t="n">
        <f aca="false">G288+H288</f>
        <v>282</v>
      </c>
      <c r="L288" s="11" t="n">
        <f aca="false">IF(K288&gt;0,G288/K288,"")</f>
        <v>0.0673758865248227</v>
      </c>
      <c r="M288" s="9" t="str">
        <f aca="false">IF(K288=0,"",IF(L288&lt;0.2,"Très masculine (&lt;20 % F)",IF(L288&lt;0.4,"Plutôt masculine (20-40 %)",IF(L288&lt;0.6,"Mixte (40-60 %)","À dominante féminine (≥60 %)"))))</f>
        <v>Très masculine (&lt;20 % F)</v>
      </c>
    </row>
    <row r="289" customFormat="false" ht="15" hidden="false" customHeight="false" outlineLevel="0" collapsed="false">
      <c r="A289" s="9" t="s">
        <v>848</v>
      </c>
      <c r="B289" s="9" t="s">
        <v>832</v>
      </c>
      <c r="C289" s="9" t="s">
        <v>289</v>
      </c>
      <c r="D289" s="9" t="s">
        <v>155</v>
      </c>
      <c r="E289" s="9" t="s">
        <v>155</v>
      </c>
      <c r="F289" s="9" t="s">
        <v>197</v>
      </c>
      <c r="G289" s="10" t="n">
        <v>6</v>
      </c>
      <c r="H289" s="10" t="n">
        <v>33</v>
      </c>
      <c r="I289" s="10" t="n">
        <v>12</v>
      </c>
      <c r="J289" s="10" t="n">
        <v>0</v>
      </c>
      <c r="K289" s="10" t="n">
        <f aca="false">G289+H289</f>
        <v>39</v>
      </c>
      <c r="L289" s="11" t="n">
        <f aca="false">IF(K289&gt;0,G289/K289,"")</f>
        <v>0.153846153846154</v>
      </c>
      <c r="M289" s="9" t="str">
        <f aca="false">IF(K289=0,"",IF(L289&lt;0.2,"Très masculine (&lt;20 % F)",IF(L289&lt;0.4,"Plutôt masculine (20-40 %)",IF(L289&lt;0.6,"Mixte (40-60 %)","À dominante féminine (≥60 %)"))))</f>
        <v>Très masculine (&lt;20 % F)</v>
      </c>
    </row>
    <row r="290" customFormat="false" ht="15" hidden="false" customHeight="false" outlineLevel="0" collapsed="false">
      <c r="A290" s="9" t="s">
        <v>849</v>
      </c>
      <c r="B290" s="9" t="s">
        <v>850</v>
      </c>
      <c r="C290" s="9" t="s">
        <v>292</v>
      </c>
      <c r="D290" s="9" t="s">
        <v>293</v>
      </c>
      <c r="E290" s="9" t="s">
        <v>278</v>
      </c>
      <c r="F290" s="9" t="s">
        <v>152</v>
      </c>
      <c r="G290" s="10" t="n">
        <v>27</v>
      </c>
      <c r="H290" s="10" t="n">
        <v>48</v>
      </c>
      <c r="I290" s="10" t="n">
        <v>3</v>
      </c>
      <c r="J290" s="10" t="n">
        <v>1</v>
      </c>
      <c r="K290" s="10" t="n">
        <f aca="false">G290+H290</f>
        <v>75</v>
      </c>
      <c r="L290" s="11" t="n">
        <f aca="false">IF(K290&gt;0,G290/K290,"")</f>
        <v>0.36</v>
      </c>
      <c r="M290" s="9" t="str">
        <f aca="false">IF(K290=0,"",IF(L290&lt;0.2,"Très masculine (&lt;20 % F)",IF(L290&lt;0.4,"Plutôt masculine (20-40 %)",IF(L290&lt;0.6,"Mixte (40-60 %)","À dominante féminine (≥60 %)"))))</f>
        <v>Plutôt masculine (20-40 %)</v>
      </c>
    </row>
    <row r="291" customFormat="false" ht="15" hidden="false" customHeight="false" outlineLevel="0" collapsed="false">
      <c r="A291" s="9" t="s">
        <v>851</v>
      </c>
      <c r="B291" s="9" t="s">
        <v>850</v>
      </c>
      <c r="C291" s="9" t="s">
        <v>292</v>
      </c>
      <c r="D291" s="9" t="s">
        <v>293</v>
      </c>
      <c r="E291" s="9" t="s">
        <v>278</v>
      </c>
      <c r="F291" s="9" t="s">
        <v>152</v>
      </c>
      <c r="G291" s="10" t="n">
        <v>45</v>
      </c>
      <c r="H291" s="10" t="n">
        <v>39</v>
      </c>
      <c r="I291" s="10" t="n">
        <v>8</v>
      </c>
      <c r="J291" s="10" t="n">
        <v>0</v>
      </c>
      <c r="K291" s="10" t="n">
        <f aca="false">G291+H291</f>
        <v>84</v>
      </c>
      <c r="L291" s="11" t="n">
        <f aca="false">IF(K291&gt;0,G291/K291,"")</f>
        <v>0.535714285714286</v>
      </c>
      <c r="M291" s="9" t="str">
        <f aca="false">IF(K291=0,"",IF(L291&lt;0.2,"Très masculine (&lt;20 % F)",IF(L291&lt;0.4,"Plutôt masculine (20-40 %)",IF(L291&lt;0.6,"Mixte (40-60 %)","À dominante féminine (≥60 %)"))))</f>
        <v>Mixte (40-60 %)</v>
      </c>
    </row>
    <row r="292" customFormat="false" ht="15" hidden="false" customHeight="false" outlineLevel="0" collapsed="false">
      <c r="A292" s="9" t="s">
        <v>852</v>
      </c>
      <c r="B292" s="9" t="s">
        <v>850</v>
      </c>
      <c r="C292" s="9" t="s">
        <v>292</v>
      </c>
      <c r="D292" s="9" t="s">
        <v>293</v>
      </c>
      <c r="E292" s="9" t="s">
        <v>278</v>
      </c>
      <c r="F292" s="9" t="s">
        <v>152</v>
      </c>
      <c r="G292" s="10" t="n">
        <v>26</v>
      </c>
      <c r="H292" s="10" t="n">
        <v>58</v>
      </c>
      <c r="I292" s="10" t="n">
        <v>15</v>
      </c>
      <c r="J292" s="10" t="n">
        <v>0</v>
      </c>
      <c r="K292" s="10" t="n">
        <f aca="false">G292+H292</f>
        <v>84</v>
      </c>
      <c r="L292" s="11" t="n">
        <f aca="false">IF(K292&gt;0,G292/K292,"")</f>
        <v>0.30952380952381</v>
      </c>
      <c r="M292" s="9" t="str">
        <f aca="false">IF(K292=0,"",IF(L292&lt;0.2,"Très masculine (&lt;20 % F)",IF(L292&lt;0.4,"Plutôt masculine (20-40 %)",IF(L292&lt;0.6,"Mixte (40-60 %)","À dominante féminine (≥60 %)"))))</f>
        <v>Plutôt masculine (20-40 %)</v>
      </c>
    </row>
    <row r="293" customFormat="false" ht="15" hidden="false" customHeight="false" outlineLevel="0" collapsed="false">
      <c r="A293" s="9" t="s">
        <v>853</v>
      </c>
      <c r="B293" s="9" t="s">
        <v>850</v>
      </c>
      <c r="C293" s="9" t="s">
        <v>292</v>
      </c>
      <c r="D293" s="9" t="s">
        <v>293</v>
      </c>
      <c r="E293" s="9" t="s">
        <v>278</v>
      </c>
      <c r="F293" s="9" t="s">
        <v>152</v>
      </c>
      <c r="G293" s="10" t="n">
        <v>288</v>
      </c>
      <c r="H293" s="10" t="n">
        <v>116</v>
      </c>
      <c r="I293" s="10" t="n">
        <v>10</v>
      </c>
      <c r="J293" s="10" t="n">
        <v>4</v>
      </c>
      <c r="K293" s="10" t="n">
        <f aca="false">G293+H293</f>
        <v>404</v>
      </c>
      <c r="L293" s="11" t="n">
        <f aca="false">IF(K293&gt;0,G293/K293,"")</f>
        <v>0.712871287128713</v>
      </c>
      <c r="M293" s="9" t="str">
        <f aca="false">IF(K293=0,"",IF(L293&lt;0.2,"Très masculine (&lt;20 % F)",IF(L293&lt;0.4,"Plutôt masculine (20-40 %)",IF(L293&lt;0.6,"Mixte (40-60 %)","À dominante féminine (≥60 %)"))))</f>
        <v>À dominante féminine (≥60 %)</v>
      </c>
    </row>
    <row r="294" customFormat="false" ht="15" hidden="false" customHeight="false" outlineLevel="0" collapsed="false">
      <c r="A294" s="9" t="s">
        <v>854</v>
      </c>
      <c r="B294" s="9" t="s">
        <v>855</v>
      </c>
      <c r="C294" s="9" t="s">
        <v>304</v>
      </c>
      <c r="D294" s="9" t="s">
        <v>305</v>
      </c>
      <c r="E294" s="9" t="s">
        <v>133</v>
      </c>
      <c r="F294" s="9" t="s">
        <v>125</v>
      </c>
      <c r="G294" s="10" t="n">
        <v>19</v>
      </c>
      <c r="H294" s="10" t="n">
        <v>4</v>
      </c>
      <c r="I294" s="10" t="n">
        <v>3</v>
      </c>
      <c r="J294" s="10" t="n">
        <v>1</v>
      </c>
      <c r="K294" s="10" t="n">
        <f aca="false">G294+H294</f>
        <v>23</v>
      </c>
      <c r="L294" s="11" t="n">
        <f aca="false">IF(K294&gt;0,G294/K294,"")</f>
        <v>0.826086956521739</v>
      </c>
      <c r="M294" s="9" t="str">
        <f aca="false">IF(K294=0,"",IF(L294&lt;0.2,"Très masculine (&lt;20 % F)",IF(L294&lt;0.4,"Plutôt masculine (20-40 %)",IF(L294&lt;0.6,"Mixte (40-60 %)","À dominante féminine (≥60 %)"))))</f>
        <v>À dominante féminine (≥60 %)</v>
      </c>
    </row>
    <row r="295" customFormat="false" ht="15" hidden="false" customHeight="false" outlineLevel="0" collapsed="false">
      <c r="A295" s="9" t="s">
        <v>856</v>
      </c>
      <c r="B295" s="9" t="s">
        <v>857</v>
      </c>
      <c r="C295" s="9" t="s">
        <v>308</v>
      </c>
      <c r="D295" s="9" t="s">
        <v>309</v>
      </c>
      <c r="E295" s="9" t="s">
        <v>146</v>
      </c>
      <c r="F295" s="9" t="s">
        <v>152</v>
      </c>
      <c r="G295" s="10" t="n">
        <v>46</v>
      </c>
      <c r="H295" s="10" t="n">
        <v>159</v>
      </c>
      <c r="I295" s="10" t="n">
        <v>17</v>
      </c>
      <c r="J295" s="10" t="n">
        <v>2</v>
      </c>
      <c r="K295" s="10" t="n">
        <f aca="false">G295+H295</f>
        <v>205</v>
      </c>
      <c r="L295" s="11" t="n">
        <f aca="false">IF(K295&gt;0,G295/K295,"")</f>
        <v>0.224390243902439</v>
      </c>
      <c r="M295" s="9" t="str">
        <f aca="false">IF(K295=0,"",IF(L295&lt;0.2,"Très masculine (&lt;20 % F)",IF(L295&lt;0.4,"Plutôt masculine (20-40 %)",IF(L295&lt;0.6,"Mixte (40-60 %)","À dominante féminine (≥60 %)"))))</f>
        <v>Plutôt masculine (20-40 %)</v>
      </c>
    </row>
    <row r="296" customFormat="false" ht="15" hidden="false" customHeight="false" outlineLevel="0" collapsed="false">
      <c r="A296" s="9" t="s">
        <v>858</v>
      </c>
      <c r="B296" s="9" t="s">
        <v>857</v>
      </c>
      <c r="C296" s="9" t="s">
        <v>308</v>
      </c>
      <c r="D296" s="9" t="s">
        <v>309</v>
      </c>
      <c r="E296" s="9" t="s">
        <v>146</v>
      </c>
      <c r="F296" s="9" t="s">
        <v>152</v>
      </c>
      <c r="G296" s="10" t="n">
        <v>431</v>
      </c>
      <c r="H296" s="10" t="n">
        <v>4</v>
      </c>
      <c r="I296" s="10" t="n">
        <v>6</v>
      </c>
      <c r="J296" s="10" t="n">
        <v>15</v>
      </c>
      <c r="K296" s="10" t="n">
        <f aca="false">G296+H296</f>
        <v>435</v>
      </c>
      <c r="L296" s="11" t="n">
        <f aca="false">IF(K296&gt;0,G296/K296,"")</f>
        <v>0.990804597701149</v>
      </c>
      <c r="M296" s="9" t="str">
        <f aca="false">IF(K296=0,"",IF(L296&lt;0.2,"Très masculine (&lt;20 % F)",IF(L296&lt;0.4,"Plutôt masculine (20-40 %)",IF(L296&lt;0.6,"Mixte (40-60 %)","À dominante féminine (≥60 %)"))))</f>
        <v>À dominante féminine (≥60 %)</v>
      </c>
    </row>
    <row r="297" customFormat="false" ht="15" hidden="false" customHeight="false" outlineLevel="0" collapsed="false">
      <c r="A297" s="9" t="s">
        <v>859</v>
      </c>
      <c r="B297" s="9" t="s">
        <v>857</v>
      </c>
      <c r="C297" s="9" t="s">
        <v>308</v>
      </c>
      <c r="D297" s="9" t="s">
        <v>309</v>
      </c>
      <c r="E297" s="9" t="s">
        <v>146</v>
      </c>
      <c r="F297" s="9" t="s">
        <v>152</v>
      </c>
      <c r="G297" s="10" t="n">
        <v>25</v>
      </c>
      <c r="H297" s="10" t="n">
        <v>35</v>
      </c>
      <c r="I297" s="10" t="n">
        <v>10</v>
      </c>
      <c r="J297" s="10" t="n">
        <v>0</v>
      </c>
      <c r="K297" s="10" t="n">
        <f aca="false">G297+H297</f>
        <v>60</v>
      </c>
      <c r="L297" s="11" t="n">
        <f aca="false">IF(K297&gt;0,G297/K297,"")</f>
        <v>0.416666666666667</v>
      </c>
      <c r="M297" s="9" t="str">
        <f aca="false">IF(K297=0,"",IF(L297&lt;0.2,"Très masculine (&lt;20 % F)",IF(L297&lt;0.4,"Plutôt masculine (20-40 %)",IF(L297&lt;0.6,"Mixte (40-60 %)","À dominante féminine (≥60 %)"))))</f>
        <v>Mixte (40-60 %)</v>
      </c>
    </row>
    <row r="298" customFormat="false" ht="15" hidden="false" customHeight="false" outlineLevel="0" collapsed="false">
      <c r="A298" s="9" t="s">
        <v>860</v>
      </c>
      <c r="B298" s="9" t="s">
        <v>857</v>
      </c>
      <c r="C298" s="9" t="s">
        <v>308</v>
      </c>
      <c r="D298" s="9" t="s">
        <v>309</v>
      </c>
      <c r="E298" s="9" t="s">
        <v>146</v>
      </c>
      <c r="F298" s="9" t="s">
        <v>152</v>
      </c>
      <c r="G298" s="10" t="n">
        <v>345</v>
      </c>
      <c r="H298" s="10" t="n">
        <v>162</v>
      </c>
      <c r="I298" s="10" t="n">
        <v>60</v>
      </c>
      <c r="J298" s="10" t="n">
        <v>0</v>
      </c>
      <c r="K298" s="10" t="n">
        <f aca="false">G298+H298</f>
        <v>507</v>
      </c>
      <c r="L298" s="11" t="n">
        <f aca="false">IF(K298&gt;0,G298/K298,"")</f>
        <v>0.680473372781065</v>
      </c>
      <c r="M298" s="9" t="str">
        <f aca="false">IF(K298=0,"",IF(L298&lt;0.2,"Très masculine (&lt;20 % F)",IF(L298&lt;0.4,"Plutôt masculine (20-40 %)",IF(L298&lt;0.6,"Mixte (40-60 %)","À dominante féminine (≥60 %)"))))</f>
        <v>À dominante féminine (≥60 %)</v>
      </c>
    </row>
    <row r="299" customFormat="false" ht="15" hidden="false" customHeight="false" outlineLevel="0" collapsed="false">
      <c r="A299" s="9" t="s">
        <v>861</v>
      </c>
      <c r="B299" s="9" t="s">
        <v>857</v>
      </c>
      <c r="C299" s="9" t="s">
        <v>308</v>
      </c>
      <c r="D299" s="9" t="s">
        <v>309</v>
      </c>
      <c r="E299" s="9" t="s">
        <v>146</v>
      </c>
      <c r="F299" s="9" t="s">
        <v>152</v>
      </c>
      <c r="G299" s="10" t="n">
        <v>99</v>
      </c>
      <c r="H299" s="10" t="n">
        <v>101</v>
      </c>
      <c r="I299" s="10" t="n">
        <v>5</v>
      </c>
      <c r="J299" s="10" t="n">
        <v>0</v>
      </c>
      <c r="K299" s="10" t="n">
        <f aca="false">G299+H299</f>
        <v>200</v>
      </c>
      <c r="L299" s="11" t="n">
        <f aca="false">IF(K299&gt;0,G299/K299,"")</f>
        <v>0.495</v>
      </c>
      <c r="M299" s="9" t="str">
        <f aca="false">IF(K299=0,"",IF(L299&lt;0.2,"Très masculine (&lt;20 % F)",IF(L299&lt;0.4,"Plutôt masculine (20-40 %)",IF(L299&lt;0.6,"Mixte (40-60 %)","À dominante féminine (≥60 %)"))))</f>
        <v>Mixte (40-60 %)</v>
      </c>
    </row>
    <row r="300" customFormat="false" ht="15" hidden="false" customHeight="false" outlineLevel="0" collapsed="false">
      <c r="A300" s="9" t="s">
        <v>862</v>
      </c>
      <c r="B300" s="9" t="s">
        <v>857</v>
      </c>
      <c r="C300" s="9" t="s">
        <v>308</v>
      </c>
      <c r="D300" s="9" t="s">
        <v>309</v>
      </c>
      <c r="E300" s="9" t="s">
        <v>146</v>
      </c>
      <c r="F300" s="9" t="s">
        <v>152</v>
      </c>
      <c r="G300" s="10" t="n">
        <v>57</v>
      </c>
      <c r="H300" s="10" t="n">
        <v>145</v>
      </c>
      <c r="I300" s="10" t="n">
        <v>5</v>
      </c>
      <c r="J300" s="10" t="n">
        <v>4</v>
      </c>
      <c r="K300" s="10" t="n">
        <f aca="false">G300+H300</f>
        <v>202</v>
      </c>
      <c r="L300" s="11" t="n">
        <f aca="false">IF(K300&gt;0,G300/K300,"")</f>
        <v>0.282178217821782</v>
      </c>
      <c r="M300" s="9" t="str">
        <f aca="false">IF(K300=0,"",IF(L300&lt;0.2,"Très masculine (&lt;20 % F)",IF(L300&lt;0.4,"Plutôt masculine (20-40 %)",IF(L300&lt;0.6,"Mixte (40-60 %)","À dominante féminine (≥60 %)"))))</f>
        <v>Plutôt masculine (20-40 %)</v>
      </c>
    </row>
    <row r="301" customFormat="false" ht="15" hidden="false" customHeight="false" outlineLevel="0" collapsed="false">
      <c r="A301" s="9" t="s">
        <v>863</v>
      </c>
      <c r="B301" s="9" t="s">
        <v>864</v>
      </c>
      <c r="C301" s="9" t="s">
        <v>312</v>
      </c>
      <c r="D301" s="9" t="s">
        <v>313</v>
      </c>
      <c r="E301" s="9" t="s">
        <v>133</v>
      </c>
      <c r="F301" s="9" t="s">
        <v>134</v>
      </c>
      <c r="G301" s="10" t="n">
        <v>22</v>
      </c>
      <c r="H301" s="10" t="n">
        <v>83</v>
      </c>
      <c r="I301" s="10" t="n">
        <v>7</v>
      </c>
      <c r="J301" s="10" t="n">
        <v>0</v>
      </c>
      <c r="K301" s="10" t="n">
        <f aca="false">G301+H301</f>
        <v>105</v>
      </c>
      <c r="L301" s="11" t="n">
        <f aca="false">IF(K301&gt;0,G301/K301,"")</f>
        <v>0.20952380952381</v>
      </c>
      <c r="M301" s="9" t="str">
        <f aca="false">IF(K301=0,"",IF(L301&lt;0.2,"Très masculine (&lt;20 % F)",IF(L301&lt;0.4,"Plutôt masculine (20-40 %)",IF(L301&lt;0.6,"Mixte (40-60 %)","À dominante féminine (≥60 %)"))))</f>
        <v>Plutôt masculine (20-40 %)</v>
      </c>
    </row>
    <row r="302" customFormat="false" ht="15" hidden="false" customHeight="false" outlineLevel="0" collapsed="false">
      <c r="A302" s="9" t="s">
        <v>865</v>
      </c>
      <c r="B302" s="9" t="s">
        <v>866</v>
      </c>
      <c r="C302" s="9" t="s">
        <v>314</v>
      </c>
      <c r="D302" s="9" t="s">
        <v>315</v>
      </c>
      <c r="E302" s="9" t="s">
        <v>182</v>
      </c>
      <c r="F302" s="9" t="s">
        <v>125</v>
      </c>
      <c r="G302" s="10" t="n">
        <v>28</v>
      </c>
      <c r="H302" s="10" t="n">
        <v>39</v>
      </c>
      <c r="I302" s="10" t="n">
        <v>67</v>
      </c>
      <c r="J302" s="10" t="n">
        <v>0</v>
      </c>
      <c r="K302" s="10" t="n">
        <f aca="false">G302+H302</f>
        <v>67</v>
      </c>
      <c r="L302" s="11" t="n">
        <f aca="false">IF(K302&gt;0,G302/K302,"")</f>
        <v>0.417910447761194</v>
      </c>
      <c r="M302" s="9" t="str">
        <f aca="false">IF(K302=0,"",IF(L302&lt;0.2,"Très masculine (&lt;20 % F)",IF(L302&lt;0.4,"Plutôt masculine (20-40 %)",IF(L302&lt;0.6,"Mixte (40-60 %)","À dominante féminine (≥60 %)"))))</f>
        <v>Mixte (40-60 %)</v>
      </c>
    </row>
    <row r="303" customFormat="false" ht="15" hidden="false" customHeight="false" outlineLevel="0" collapsed="false">
      <c r="A303" s="9" t="s">
        <v>867</v>
      </c>
      <c r="B303" s="9" t="s">
        <v>866</v>
      </c>
      <c r="C303" s="9" t="s">
        <v>314</v>
      </c>
      <c r="D303" s="9" t="s">
        <v>315</v>
      </c>
      <c r="E303" s="9" t="s">
        <v>182</v>
      </c>
      <c r="F303" s="9" t="s">
        <v>125</v>
      </c>
      <c r="G303" s="10" t="n">
        <v>24</v>
      </c>
      <c r="H303" s="10" t="n">
        <v>26</v>
      </c>
      <c r="I303" s="10" t="n">
        <v>6</v>
      </c>
      <c r="J303" s="10" t="n">
        <v>0</v>
      </c>
      <c r="K303" s="10" t="n">
        <f aca="false">G303+H303</f>
        <v>50</v>
      </c>
      <c r="L303" s="11" t="n">
        <f aca="false">IF(K303&gt;0,G303/K303,"")</f>
        <v>0.48</v>
      </c>
      <c r="M303" s="9" t="str">
        <f aca="false">IF(K303=0,"",IF(L303&lt;0.2,"Très masculine (&lt;20 % F)",IF(L303&lt;0.4,"Plutôt masculine (20-40 %)",IF(L303&lt;0.6,"Mixte (40-60 %)","À dominante féminine (≥60 %)"))))</f>
        <v>Mixte (40-60 %)</v>
      </c>
    </row>
    <row r="304" customFormat="false" ht="15" hidden="false" customHeight="false" outlineLevel="0" collapsed="false">
      <c r="A304" s="9" t="s">
        <v>868</v>
      </c>
      <c r="B304" s="9" t="s">
        <v>869</v>
      </c>
      <c r="C304" s="9" t="s">
        <v>320</v>
      </c>
      <c r="D304" s="9" t="s">
        <v>321</v>
      </c>
      <c r="E304" s="9" t="s">
        <v>216</v>
      </c>
      <c r="F304" s="9" t="s">
        <v>125</v>
      </c>
      <c r="G304" s="10" t="n">
        <v>149</v>
      </c>
      <c r="H304" s="10" t="n">
        <v>150</v>
      </c>
      <c r="I304" s="10" t="n">
        <v>25</v>
      </c>
      <c r="J304" s="10" t="n">
        <v>0</v>
      </c>
      <c r="K304" s="10" t="n">
        <f aca="false">G304+H304</f>
        <v>299</v>
      </c>
      <c r="L304" s="11" t="n">
        <f aca="false">IF(K304&gt;0,G304/K304,"")</f>
        <v>0.498327759197324</v>
      </c>
      <c r="M304" s="9" t="str">
        <f aca="false">IF(K304=0,"",IF(L304&lt;0.2,"Très masculine (&lt;20 % F)",IF(L304&lt;0.4,"Plutôt masculine (20-40 %)",IF(L304&lt;0.6,"Mixte (40-60 %)","À dominante féminine (≥60 %)"))))</f>
        <v>Mixte (40-60 %)</v>
      </c>
    </row>
    <row r="305" customFormat="false" ht="15" hidden="false" customHeight="false" outlineLevel="0" collapsed="false">
      <c r="A305" s="9" t="s">
        <v>870</v>
      </c>
      <c r="B305" s="9" t="s">
        <v>869</v>
      </c>
      <c r="C305" s="9" t="s">
        <v>320</v>
      </c>
      <c r="D305" s="9" t="s">
        <v>321</v>
      </c>
      <c r="E305" s="9" t="s">
        <v>216</v>
      </c>
      <c r="F305" s="9" t="s">
        <v>125</v>
      </c>
      <c r="G305" s="10" t="n">
        <v>5</v>
      </c>
      <c r="H305" s="10" t="n">
        <v>22</v>
      </c>
      <c r="I305" s="10" t="n">
        <v>9</v>
      </c>
      <c r="J305" s="10" t="n">
        <v>0</v>
      </c>
      <c r="K305" s="10" t="n">
        <f aca="false">G305+H305</f>
        <v>27</v>
      </c>
      <c r="L305" s="11" t="n">
        <f aca="false">IF(K305&gt;0,G305/K305,"")</f>
        <v>0.185185185185185</v>
      </c>
      <c r="M305" s="9" t="str">
        <f aca="false">IF(K305=0,"",IF(L305&lt;0.2,"Très masculine (&lt;20 % F)",IF(L305&lt;0.4,"Plutôt masculine (20-40 %)",IF(L305&lt;0.6,"Mixte (40-60 %)","À dominante féminine (≥60 %)"))))</f>
        <v>Très masculine (&lt;20 % F)</v>
      </c>
    </row>
    <row r="306" customFormat="false" ht="15" hidden="false" customHeight="false" outlineLevel="0" collapsed="false">
      <c r="A306" s="9" t="s">
        <v>871</v>
      </c>
      <c r="B306" s="9" t="s">
        <v>869</v>
      </c>
      <c r="C306" s="9" t="s">
        <v>320</v>
      </c>
      <c r="D306" s="9" t="s">
        <v>321</v>
      </c>
      <c r="E306" s="9" t="s">
        <v>216</v>
      </c>
      <c r="F306" s="9" t="s">
        <v>125</v>
      </c>
      <c r="G306" s="10" t="n">
        <v>292</v>
      </c>
      <c r="H306" s="10" t="n">
        <v>12</v>
      </c>
      <c r="I306" s="10" t="n">
        <v>10</v>
      </c>
      <c r="J306" s="10" t="n">
        <v>2</v>
      </c>
      <c r="K306" s="10" t="n">
        <f aca="false">G306+H306</f>
        <v>304</v>
      </c>
      <c r="L306" s="11" t="n">
        <f aca="false">IF(K306&gt;0,G306/K306,"")</f>
        <v>0.960526315789474</v>
      </c>
      <c r="M306" s="9" t="str">
        <f aca="false">IF(K306=0,"",IF(L306&lt;0.2,"Très masculine (&lt;20 % F)",IF(L306&lt;0.4,"Plutôt masculine (20-40 %)",IF(L306&lt;0.6,"Mixte (40-60 %)","À dominante féminine (≥60 %)"))))</f>
        <v>À dominante féminine (≥60 %)</v>
      </c>
    </row>
    <row r="307" customFormat="false" ht="15" hidden="false" customHeight="false" outlineLevel="0" collapsed="false">
      <c r="A307" s="9" t="s">
        <v>872</v>
      </c>
      <c r="B307" s="9" t="s">
        <v>873</v>
      </c>
      <c r="C307" s="9" t="s">
        <v>322</v>
      </c>
      <c r="D307" s="9" t="s">
        <v>323</v>
      </c>
      <c r="E307" s="9" t="s">
        <v>133</v>
      </c>
      <c r="F307" s="9" t="s">
        <v>134</v>
      </c>
      <c r="G307" s="10" t="n">
        <v>119</v>
      </c>
      <c r="H307" s="10" t="n">
        <v>290</v>
      </c>
      <c r="I307" s="10" t="n">
        <v>23</v>
      </c>
      <c r="J307" s="10" t="n">
        <v>0</v>
      </c>
      <c r="K307" s="10" t="n">
        <f aca="false">G307+H307</f>
        <v>409</v>
      </c>
      <c r="L307" s="11" t="n">
        <f aca="false">IF(K307&gt;0,G307/K307,"")</f>
        <v>0.290953545232274</v>
      </c>
      <c r="M307" s="9" t="str">
        <f aca="false">IF(K307=0,"",IF(L307&lt;0.2,"Très masculine (&lt;20 % F)",IF(L307&lt;0.4,"Plutôt masculine (20-40 %)",IF(L307&lt;0.6,"Mixte (40-60 %)","À dominante féminine (≥60 %)"))))</f>
        <v>Plutôt masculine (20-40 %)</v>
      </c>
    </row>
    <row r="308" customFormat="false" ht="15" hidden="false" customHeight="false" outlineLevel="0" collapsed="false">
      <c r="A308" s="9" t="s">
        <v>874</v>
      </c>
      <c r="B308" s="9" t="s">
        <v>873</v>
      </c>
      <c r="C308" s="9" t="s">
        <v>322</v>
      </c>
      <c r="D308" s="9" t="s">
        <v>323</v>
      </c>
      <c r="E308" s="9" t="s">
        <v>133</v>
      </c>
      <c r="F308" s="9" t="s">
        <v>134</v>
      </c>
      <c r="G308" s="10" t="n">
        <v>87</v>
      </c>
      <c r="H308" s="10" t="n">
        <v>41</v>
      </c>
      <c r="I308" s="10" t="n">
        <v>31</v>
      </c>
      <c r="J308" s="10" t="n">
        <v>0</v>
      </c>
      <c r="K308" s="10" t="n">
        <f aca="false">G308+H308</f>
        <v>128</v>
      </c>
      <c r="L308" s="11" t="n">
        <f aca="false">IF(K308&gt;0,G308/K308,"")</f>
        <v>0.6796875</v>
      </c>
      <c r="M308" s="9" t="str">
        <f aca="false">IF(K308=0,"",IF(L308&lt;0.2,"Très masculine (&lt;20 % F)",IF(L308&lt;0.4,"Plutôt masculine (20-40 %)",IF(L308&lt;0.6,"Mixte (40-60 %)","À dominante féminine (≥60 %)"))))</f>
        <v>À dominante féminine (≥60 %)</v>
      </c>
    </row>
    <row r="309" customFormat="false" ht="15" hidden="false" customHeight="false" outlineLevel="0" collapsed="false">
      <c r="A309" s="9" t="s">
        <v>875</v>
      </c>
      <c r="B309" s="9" t="s">
        <v>873</v>
      </c>
      <c r="C309" s="9" t="s">
        <v>322</v>
      </c>
      <c r="D309" s="9" t="s">
        <v>323</v>
      </c>
      <c r="E309" s="9" t="s">
        <v>133</v>
      </c>
      <c r="F309" s="9" t="s">
        <v>134</v>
      </c>
      <c r="G309" s="10" t="n">
        <v>30</v>
      </c>
      <c r="H309" s="10" t="n">
        <v>76</v>
      </c>
      <c r="I309" s="10" t="n">
        <v>6</v>
      </c>
      <c r="J309" s="10" t="n">
        <v>1</v>
      </c>
      <c r="K309" s="10" t="n">
        <f aca="false">G309+H309</f>
        <v>106</v>
      </c>
      <c r="L309" s="11" t="n">
        <f aca="false">IF(K309&gt;0,G309/K309,"")</f>
        <v>0.283018867924528</v>
      </c>
      <c r="M309" s="9" t="str">
        <f aca="false">IF(K309=0,"",IF(L309&lt;0.2,"Très masculine (&lt;20 % F)",IF(L309&lt;0.4,"Plutôt masculine (20-40 %)",IF(L309&lt;0.6,"Mixte (40-60 %)","À dominante féminine (≥60 %)"))))</f>
        <v>Plutôt masculine (20-40 %)</v>
      </c>
    </row>
    <row r="310" customFormat="false" ht="15" hidden="false" customHeight="false" outlineLevel="0" collapsed="false">
      <c r="A310" s="9" t="s">
        <v>876</v>
      </c>
      <c r="B310" s="9" t="s">
        <v>877</v>
      </c>
      <c r="C310" s="9" t="s">
        <v>324</v>
      </c>
      <c r="D310" s="9" t="s">
        <v>325</v>
      </c>
      <c r="E310" s="9" t="s">
        <v>133</v>
      </c>
      <c r="F310" s="9" t="s">
        <v>134</v>
      </c>
      <c r="G310" s="10" t="n">
        <v>301</v>
      </c>
      <c r="H310" s="10" t="n">
        <v>48</v>
      </c>
      <c r="I310" s="10" t="n">
        <v>12</v>
      </c>
      <c r="J310" s="10" t="n">
        <v>9</v>
      </c>
      <c r="K310" s="10" t="n">
        <f aca="false">G310+H310</f>
        <v>349</v>
      </c>
      <c r="L310" s="11" t="n">
        <f aca="false">IF(K310&gt;0,G310/K310,"")</f>
        <v>0.862464183381089</v>
      </c>
      <c r="M310" s="9" t="str">
        <f aca="false">IF(K310=0,"",IF(L310&lt;0.2,"Très masculine (&lt;20 % F)",IF(L310&lt;0.4,"Plutôt masculine (20-40 %)",IF(L310&lt;0.6,"Mixte (40-60 %)","À dominante féminine (≥60 %)"))))</f>
        <v>À dominante féminine (≥60 %)</v>
      </c>
    </row>
    <row r="311" customFormat="false" ht="15" hidden="false" customHeight="false" outlineLevel="0" collapsed="false">
      <c r="A311" s="9" t="s">
        <v>878</v>
      </c>
      <c r="B311" s="9" t="s">
        <v>879</v>
      </c>
      <c r="C311" s="9" t="s">
        <v>326</v>
      </c>
      <c r="D311" s="9" t="s">
        <v>327</v>
      </c>
      <c r="E311" s="9" t="s">
        <v>106</v>
      </c>
      <c r="F311" s="9" t="s">
        <v>108</v>
      </c>
      <c r="G311" s="10" t="n">
        <v>6</v>
      </c>
      <c r="H311" s="10" t="n">
        <v>30</v>
      </c>
      <c r="I311" s="10" t="n">
        <v>6</v>
      </c>
      <c r="J311" s="10" t="n">
        <v>0</v>
      </c>
      <c r="K311" s="10" t="n">
        <f aca="false">G311+H311</f>
        <v>36</v>
      </c>
      <c r="L311" s="11" t="n">
        <f aca="false">IF(K311&gt;0,G311/K311,"")</f>
        <v>0.166666666666667</v>
      </c>
      <c r="M311" s="9" t="str">
        <f aca="false">IF(K311=0,"",IF(L311&lt;0.2,"Très masculine (&lt;20 % F)",IF(L311&lt;0.4,"Plutôt masculine (20-40 %)",IF(L311&lt;0.6,"Mixte (40-60 %)","À dominante féminine (≥60 %)"))))</f>
        <v>Très masculine (&lt;20 % F)</v>
      </c>
    </row>
    <row r="312" customFormat="false" ht="15" hidden="false" customHeight="false" outlineLevel="0" collapsed="false">
      <c r="A312" s="9" t="s">
        <v>880</v>
      </c>
      <c r="B312" s="9" t="s">
        <v>879</v>
      </c>
      <c r="C312" s="9" t="s">
        <v>326</v>
      </c>
      <c r="D312" s="9" t="s">
        <v>327</v>
      </c>
      <c r="E312" s="9" t="s">
        <v>106</v>
      </c>
      <c r="F312" s="9" t="s">
        <v>108</v>
      </c>
      <c r="G312" s="10" t="n">
        <v>146</v>
      </c>
      <c r="H312" s="10" t="n">
        <v>7</v>
      </c>
      <c r="I312" s="10" t="n">
        <v>6</v>
      </c>
      <c r="J312" s="10" t="n">
        <v>4</v>
      </c>
      <c r="K312" s="10" t="n">
        <f aca="false">G312+H312</f>
        <v>153</v>
      </c>
      <c r="L312" s="11" t="n">
        <f aca="false">IF(K312&gt;0,G312/K312,"")</f>
        <v>0.954248366013072</v>
      </c>
      <c r="M312" s="9" t="str">
        <f aca="false">IF(K312=0,"",IF(L312&lt;0.2,"Très masculine (&lt;20 % F)",IF(L312&lt;0.4,"Plutôt masculine (20-40 %)",IF(L312&lt;0.6,"Mixte (40-60 %)","À dominante féminine (≥60 %)"))))</f>
        <v>À dominante féminine (≥60 %)</v>
      </c>
    </row>
    <row r="313" customFormat="false" ht="15" hidden="false" customHeight="false" outlineLevel="0" collapsed="false">
      <c r="A313" s="9" t="s">
        <v>881</v>
      </c>
      <c r="B313" s="9" t="s">
        <v>882</v>
      </c>
      <c r="C313" s="9" t="s">
        <v>330</v>
      </c>
      <c r="D313" s="9" t="s">
        <v>331</v>
      </c>
      <c r="E313" s="9" t="s">
        <v>115</v>
      </c>
      <c r="F313" s="9" t="s">
        <v>116</v>
      </c>
      <c r="G313" s="10" t="n">
        <v>35</v>
      </c>
      <c r="H313" s="10" t="n">
        <v>62</v>
      </c>
      <c r="I313" s="10" t="n">
        <v>97</v>
      </c>
      <c r="J313" s="10" t="n">
        <v>0</v>
      </c>
      <c r="K313" s="10" t="n">
        <f aca="false">G313+H313</f>
        <v>97</v>
      </c>
      <c r="L313" s="11" t="n">
        <f aca="false">IF(K313&gt;0,G313/K313,"")</f>
        <v>0.360824742268041</v>
      </c>
      <c r="M313" s="9" t="str">
        <f aca="false">IF(K313=0,"",IF(L313&lt;0.2,"Très masculine (&lt;20 % F)",IF(L313&lt;0.4,"Plutôt masculine (20-40 %)",IF(L313&lt;0.6,"Mixte (40-60 %)","À dominante féminine (≥60 %)"))))</f>
        <v>Plutôt masculine (20-40 %)</v>
      </c>
    </row>
    <row r="314" customFormat="false" ht="15" hidden="false" customHeight="false" outlineLevel="0" collapsed="false">
      <c r="A314" s="9" t="s">
        <v>883</v>
      </c>
      <c r="B314" s="9" t="s">
        <v>882</v>
      </c>
      <c r="C314" s="9" t="s">
        <v>330</v>
      </c>
      <c r="D314" s="9" t="s">
        <v>331</v>
      </c>
      <c r="E314" s="9" t="s">
        <v>115</v>
      </c>
      <c r="F314" s="9" t="s">
        <v>116</v>
      </c>
      <c r="G314" s="10" t="n">
        <v>91</v>
      </c>
      <c r="H314" s="10" t="n">
        <v>221</v>
      </c>
      <c r="I314" s="10" t="n">
        <v>10</v>
      </c>
      <c r="J314" s="10" t="n">
        <v>1</v>
      </c>
      <c r="K314" s="10" t="n">
        <f aca="false">G314+H314</f>
        <v>312</v>
      </c>
      <c r="L314" s="11" t="n">
        <f aca="false">IF(K314&gt;0,G314/K314,"")</f>
        <v>0.291666666666667</v>
      </c>
      <c r="M314" s="9" t="str">
        <f aca="false">IF(K314=0,"",IF(L314&lt;0.2,"Très masculine (&lt;20 % F)",IF(L314&lt;0.4,"Plutôt masculine (20-40 %)",IF(L314&lt;0.6,"Mixte (40-60 %)","À dominante féminine (≥60 %)"))))</f>
        <v>Plutôt masculine (20-40 %)</v>
      </c>
    </row>
    <row r="315" customFormat="false" ht="15" hidden="false" customHeight="false" outlineLevel="0" collapsed="false">
      <c r="A315" s="9" t="s">
        <v>884</v>
      </c>
      <c r="B315" s="9" t="s">
        <v>885</v>
      </c>
      <c r="C315" s="9" t="s">
        <v>332</v>
      </c>
      <c r="D315" s="9" t="s">
        <v>333</v>
      </c>
      <c r="E315" s="9" t="s">
        <v>100</v>
      </c>
      <c r="F315" s="9" t="s">
        <v>102</v>
      </c>
      <c r="G315" s="10" t="n">
        <v>82</v>
      </c>
      <c r="H315" s="10" t="n">
        <v>134</v>
      </c>
      <c r="I315" s="10" t="n">
        <v>4</v>
      </c>
      <c r="J315" s="10" t="n">
        <v>2</v>
      </c>
      <c r="K315" s="10" t="n">
        <f aca="false">G315+H315</f>
        <v>216</v>
      </c>
      <c r="L315" s="11" t="n">
        <f aca="false">IF(K315&gt;0,G315/K315,"")</f>
        <v>0.37962962962963</v>
      </c>
      <c r="M315" s="9" t="str">
        <f aca="false">IF(K315=0,"",IF(L315&lt;0.2,"Très masculine (&lt;20 % F)",IF(L315&lt;0.4,"Plutôt masculine (20-40 %)",IF(L315&lt;0.6,"Mixte (40-60 %)","À dominante féminine (≥60 %)"))))</f>
        <v>Plutôt masculine (20-40 %)</v>
      </c>
    </row>
    <row r="316" customFormat="false" ht="15" hidden="false" customHeight="false" outlineLevel="0" collapsed="false">
      <c r="A316" s="9" t="s">
        <v>886</v>
      </c>
      <c r="B316" s="9" t="s">
        <v>885</v>
      </c>
      <c r="C316" s="9" t="s">
        <v>332</v>
      </c>
      <c r="D316" s="9" t="s">
        <v>333</v>
      </c>
      <c r="E316" s="9" t="s">
        <v>100</v>
      </c>
      <c r="F316" s="9" t="s">
        <v>102</v>
      </c>
      <c r="G316" s="10" t="n">
        <v>10</v>
      </c>
      <c r="H316" s="10" t="n">
        <v>111</v>
      </c>
      <c r="I316" s="10" t="n">
        <v>12</v>
      </c>
      <c r="J316" s="10" t="n">
        <v>0</v>
      </c>
      <c r="K316" s="10" t="n">
        <f aca="false">G316+H316</f>
        <v>121</v>
      </c>
      <c r="L316" s="11" t="n">
        <f aca="false">IF(K316&gt;0,G316/K316,"")</f>
        <v>0.0826446280991736</v>
      </c>
      <c r="M316" s="9" t="str">
        <f aca="false">IF(K316=0,"",IF(L316&lt;0.2,"Très masculine (&lt;20 % F)",IF(L316&lt;0.4,"Plutôt masculine (20-40 %)",IF(L316&lt;0.6,"Mixte (40-60 %)","À dominante féminine (≥60 %)"))))</f>
        <v>Très masculine (&lt;20 % F)</v>
      </c>
    </row>
    <row r="317" customFormat="false" ht="15" hidden="false" customHeight="false" outlineLevel="0" collapsed="false">
      <c r="A317" s="9" t="s">
        <v>887</v>
      </c>
      <c r="B317" s="9" t="s">
        <v>885</v>
      </c>
      <c r="C317" s="9" t="s">
        <v>332</v>
      </c>
      <c r="D317" s="9" t="s">
        <v>333</v>
      </c>
      <c r="E317" s="9" t="s">
        <v>100</v>
      </c>
      <c r="F317" s="9" t="s">
        <v>102</v>
      </c>
      <c r="G317" s="10" t="n">
        <v>13</v>
      </c>
      <c r="H317" s="10" t="n">
        <v>38</v>
      </c>
      <c r="I317" s="10" t="n">
        <v>3</v>
      </c>
      <c r="J317" s="10" t="n">
        <v>0</v>
      </c>
      <c r="K317" s="10" t="n">
        <f aca="false">G317+H317</f>
        <v>51</v>
      </c>
      <c r="L317" s="11" t="n">
        <f aca="false">IF(K317&gt;0,G317/K317,"")</f>
        <v>0.254901960784314</v>
      </c>
      <c r="M317" s="9" t="str">
        <f aca="false">IF(K317=0,"",IF(L317&lt;0.2,"Très masculine (&lt;20 % F)",IF(L317&lt;0.4,"Plutôt masculine (20-40 %)",IF(L317&lt;0.6,"Mixte (40-60 %)","À dominante féminine (≥60 %)"))))</f>
        <v>Plutôt masculine (20-40 %)</v>
      </c>
    </row>
    <row r="318" customFormat="false" ht="15" hidden="false" customHeight="false" outlineLevel="0" collapsed="false">
      <c r="A318" s="9" t="s">
        <v>888</v>
      </c>
      <c r="B318" s="9" t="s">
        <v>885</v>
      </c>
      <c r="C318" s="9" t="s">
        <v>332</v>
      </c>
      <c r="D318" s="9" t="s">
        <v>333</v>
      </c>
      <c r="E318" s="9" t="s">
        <v>100</v>
      </c>
      <c r="F318" s="9" t="s">
        <v>102</v>
      </c>
      <c r="G318" s="10" t="n">
        <v>28</v>
      </c>
      <c r="H318" s="10" t="n">
        <v>20</v>
      </c>
      <c r="I318" s="10" t="n">
        <v>6</v>
      </c>
      <c r="J318" s="10" t="n">
        <v>0</v>
      </c>
      <c r="K318" s="10" t="n">
        <f aca="false">G318+H318</f>
        <v>48</v>
      </c>
      <c r="L318" s="11" t="n">
        <f aca="false">IF(K318&gt;0,G318/K318,"")</f>
        <v>0.583333333333333</v>
      </c>
      <c r="M318" s="9" t="str">
        <f aca="false">IF(K318=0,"",IF(L318&lt;0.2,"Très masculine (&lt;20 % F)",IF(L318&lt;0.4,"Plutôt masculine (20-40 %)",IF(L318&lt;0.6,"Mixte (40-60 %)","À dominante féminine (≥60 %)"))))</f>
        <v>Mixte (40-60 %)</v>
      </c>
    </row>
    <row r="319" customFormat="false" ht="15" hidden="false" customHeight="false" outlineLevel="0" collapsed="false">
      <c r="A319" s="9" t="s">
        <v>889</v>
      </c>
      <c r="B319" s="9" t="s">
        <v>885</v>
      </c>
      <c r="C319" s="9" t="s">
        <v>332</v>
      </c>
      <c r="D319" s="9" t="s">
        <v>333</v>
      </c>
      <c r="E319" s="9" t="s">
        <v>100</v>
      </c>
      <c r="F319" s="9" t="s">
        <v>102</v>
      </c>
      <c r="G319" s="10" t="n">
        <v>17</v>
      </c>
      <c r="H319" s="10" t="n">
        <v>101</v>
      </c>
      <c r="I319" s="10" t="n">
        <v>7</v>
      </c>
      <c r="J319" s="10" t="n">
        <v>0</v>
      </c>
      <c r="K319" s="10" t="n">
        <f aca="false">G319+H319</f>
        <v>118</v>
      </c>
      <c r="L319" s="11" t="n">
        <f aca="false">IF(K319&gt;0,G319/K319,"")</f>
        <v>0.14406779661017</v>
      </c>
      <c r="M319" s="9" t="str">
        <f aca="false">IF(K319=0,"",IF(L319&lt;0.2,"Très masculine (&lt;20 % F)",IF(L319&lt;0.4,"Plutôt masculine (20-40 %)",IF(L319&lt;0.6,"Mixte (40-60 %)","À dominante féminine (≥60 %)"))))</f>
        <v>Très masculine (&lt;20 % F)</v>
      </c>
    </row>
    <row r="320" customFormat="false" ht="15" hidden="false" customHeight="false" outlineLevel="0" collapsed="false">
      <c r="A320" s="9" t="s">
        <v>890</v>
      </c>
      <c r="B320" s="9" t="s">
        <v>885</v>
      </c>
      <c r="C320" s="9" t="s">
        <v>332</v>
      </c>
      <c r="D320" s="9" t="s">
        <v>333</v>
      </c>
      <c r="E320" s="9" t="s">
        <v>100</v>
      </c>
      <c r="F320" s="9" t="s">
        <v>102</v>
      </c>
      <c r="G320" s="10" t="n">
        <v>28</v>
      </c>
      <c r="H320" s="10" t="n">
        <v>52</v>
      </c>
      <c r="I320" s="10" t="n">
        <v>24</v>
      </c>
      <c r="J320" s="10" t="n">
        <v>0</v>
      </c>
      <c r="K320" s="10" t="n">
        <f aca="false">G320+H320</f>
        <v>80</v>
      </c>
      <c r="L320" s="11" t="n">
        <f aca="false">IF(K320&gt;0,G320/K320,"")</f>
        <v>0.35</v>
      </c>
      <c r="M320" s="9" t="str">
        <f aca="false">IF(K320=0,"",IF(L320&lt;0.2,"Très masculine (&lt;20 % F)",IF(L320&lt;0.4,"Plutôt masculine (20-40 %)",IF(L320&lt;0.6,"Mixte (40-60 %)","À dominante féminine (≥60 %)"))))</f>
        <v>Plutôt masculine (20-40 %)</v>
      </c>
    </row>
    <row r="321" customFormat="false" ht="15" hidden="false" customHeight="false" outlineLevel="0" collapsed="false">
      <c r="A321" s="9" t="s">
        <v>891</v>
      </c>
      <c r="B321" s="9" t="s">
        <v>885</v>
      </c>
      <c r="C321" s="9" t="s">
        <v>332</v>
      </c>
      <c r="D321" s="9" t="s">
        <v>333</v>
      </c>
      <c r="E321" s="9" t="s">
        <v>100</v>
      </c>
      <c r="F321" s="9" t="s">
        <v>102</v>
      </c>
      <c r="G321" s="10" t="n">
        <v>52</v>
      </c>
      <c r="H321" s="10" t="n">
        <v>163</v>
      </c>
      <c r="I321" s="10" t="n">
        <v>6</v>
      </c>
      <c r="J321" s="10" t="n">
        <v>1</v>
      </c>
      <c r="K321" s="10" t="n">
        <f aca="false">G321+H321</f>
        <v>215</v>
      </c>
      <c r="L321" s="11" t="n">
        <f aca="false">IF(K321&gt;0,G321/K321,"")</f>
        <v>0.241860465116279</v>
      </c>
      <c r="M321" s="9" t="str">
        <f aca="false">IF(K321=0,"",IF(L321&lt;0.2,"Très masculine (&lt;20 % F)",IF(L321&lt;0.4,"Plutôt masculine (20-40 %)",IF(L321&lt;0.6,"Mixte (40-60 %)","À dominante féminine (≥60 %)"))))</f>
        <v>Plutôt masculine (20-40 %)</v>
      </c>
    </row>
    <row r="322" customFormat="false" ht="15" hidden="false" customHeight="false" outlineLevel="0" collapsed="false">
      <c r="A322" s="9" t="s">
        <v>892</v>
      </c>
      <c r="B322" s="9" t="s">
        <v>885</v>
      </c>
      <c r="C322" s="9" t="s">
        <v>332</v>
      </c>
      <c r="D322" s="9" t="s">
        <v>333</v>
      </c>
      <c r="E322" s="9" t="s">
        <v>100</v>
      </c>
      <c r="F322" s="9" t="s">
        <v>102</v>
      </c>
      <c r="G322" s="10" t="n">
        <v>9</v>
      </c>
      <c r="H322" s="10" t="n">
        <v>74</v>
      </c>
      <c r="I322" s="10" t="n">
        <v>5</v>
      </c>
      <c r="J322" s="10" t="n">
        <v>1</v>
      </c>
      <c r="K322" s="10" t="n">
        <f aca="false">G322+H322</f>
        <v>83</v>
      </c>
      <c r="L322" s="11" t="n">
        <f aca="false">IF(K322&gt;0,G322/K322,"")</f>
        <v>0.108433734939759</v>
      </c>
      <c r="M322" s="9" t="str">
        <f aca="false">IF(K322=0,"",IF(L322&lt;0.2,"Très masculine (&lt;20 % F)",IF(L322&lt;0.4,"Plutôt masculine (20-40 %)",IF(L322&lt;0.6,"Mixte (40-60 %)","À dominante féminine (≥60 %)"))))</f>
        <v>Très masculine (&lt;20 % F)</v>
      </c>
    </row>
    <row r="323" customFormat="false" ht="15" hidden="false" customHeight="false" outlineLevel="0" collapsed="false">
      <c r="A323" s="9" t="s">
        <v>893</v>
      </c>
      <c r="B323" s="9" t="s">
        <v>894</v>
      </c>
      <c r="C323" s="9" t="s">
        <v>334</v>
      </c>
      <c r="D323" s="9" t="s">
        <v>335</v>
      </c>
      <c r="E323" s="9" t="s">
        <v>216</v>
      </c>
      <c r="F323" s="9" t="s">
        <v>125</v>
      </c>
      <c r="G323" s="10" t="n">
        <v>58</v>
      </c>
      <c r="H323" s="10" t="n">
        <v>23</v>
      </c>
      <c r="I323" s="10" t="n">
        <v>10</v>
      </c>
      <c r="J323" s="10" t="n">
        <v>0</v>
      </c>
      <c r="K323" s="10" t="n">
        <f aca="false">G323+H323</f>
        <v>81</v>
      </c>
      <c r="L323" s="11" t="n">
        <f aca="false">IF(K323&gt;0,G323/K323,"")</f>
        <v>0.716049382716049</v>
      </c>
      <c r="M323" s="9" t="str">
        <f aca="false">IF(K323=0,"",IF(L323&lt;0.2,"Très masculine (&lt;20 % F)",IF(L323&lt;0.4,"Plutôt masculine (20-40 %)",IF(L323&lt;0.6,"Mixte (40-60 %)","À dominante féminine (≥60 %)"))))</f>
        <v>À dominante féminine (≥60 %)</v>
      </c>
    </row>
    <row r="324" customFormat="false" ht="15" hidden="false" customHeight="false" outlineLevel="0" collapsed="false">
      <c r="A324" s="9" t="s">
        <v>895</v>
      </c>
      <c r="B324" s="9" t="s">
        <v>894</v>
      </c>
      <c r="C324" s="9" t="s">
        <v>334</v>
      </c>
      <c r="D324" s="9" t="s">
        <v>335</v>
      </c>
      <c r="E324" s="9" t="s">
        <v>216</v>
      </c>
      <c r="F324" s="9" t="s">
        <v>125</v>
      </c>
      <c r="G324" s="10" t="n">
        <v>34</v>
      </c>
      <c r="H324" s="10" t="n">
        <v>59</v>
      </c>
      <c r="I324" s="10" t="n">
        <v>30</v>
      </c>
      <c r="J324" s="10" t="n">
        <v>0</v>
      </c>
      <c r="K324" s="10" t="n">
        <f aca="false">G324+H324</f>
        <v>93</v>
      </c>
      <c r="L324" s="11" t="n">
        <f aca="false">IF(K324&gt;0,G324/K324,"")</f>
        <v>0.365591397849462</v>
      </c>
      <c r="M324" s="9" t="str">
        <f aca="false">IF(K324=0,"",IF(L324&lt;0.2,"Très masculine (&lt;20 % F)",IF(L324&lt;0.4,"Plutôt masculine (20-40 %)",IF(L324&lt;0.6,"Mixte (40-60 %)","À dominante féminine (≥60 %)"))))</f>
        <v>Plutôt masculine (20-40 %)</v>
      </c>
    </row>
    <row r="325" customFormat="false" ht="15" hidden="false" customHeight="false" outlineLevel="0" collapsed="false">
      <c r="A325" s="9" t="s">
        <v>896</v>
      </c>
      <c r="B325" s="9" t="s">
        <v>894</v>
      </c>
      <c r="C325" s="9" t="s">
        <v>334</v>
      </c>
      <c r="D325" s="9" t="s">
        <v>335</v>
      </c>
      <c r="E325" s="9" t="s">
        <v>216</v>
      </c>
      <c r="F325" s="9" t="s">
        <v>125</v>
      </c>
      <c r="G325" s="10" t="n">
        <v>42</v>
      </c>
      <c r="H325" s="10" t="n">
        <v>50</v>
      </c>
      <c r="I325" s="10" t="n">
        <v>3</v>
      </c>
      <c r="J325" s="10" t="n">
        <v>1</v>
      </c>
      <c r="K325" s="10" t="n">
        <f aca="false">G325+H325</f>
        <v>92</v>
      </c>
      <c r="L325" s="11" t="n">
        <f aca="false">IF(K325&gt;0,G325/K325,"")</f>
        <v>0.456521739130435</v>
      </c>
      <c r="M325" s="9" t="str">
        <f aca="false">IF(K325=0,"",IF(L325&lt;0.2,"Très masculine (&lt;20 % F)",IF(L325&lt;0.4,"Plutôt masculine (20-40 %)",IF(L325&lt;0.6,"Mixte (40-60 %)","À dominante féminine (≥60 %)"))))</f>
        <v>Mixte (40-60 %)</v>
      </c>
    </row>
    <row r="326" customFormat="false" ht="15" hidden="false" customHeight="false" outlineLevel="0" collapsed="false">
      <c r="A326" s="9" t="s">
        <v>897</v>
      </c>
      <c r="B326" s="9" t="s">
        <v>894</v>
      </c>
      <c r="C326" s="9" t="s">
        <v>334</v>
      </c>
      <c r="D326" s="9" t="s">
        <v>335</v>
      </c>
      <c r="E326" s="9" t="s">
        <v>216</v>
      </c>
      <c r="F326" s="9" t="s">
        <v>125</v>
      </c>
      <c r="G326" s="10" t="n">
        <v>24</v>
      </c>
      <c r="H326" s="10" t="n">
        <v>34</v>
      </c>
      <c r="I326" s="10" t="n">
        <v>10</v>
      </c>
      <c r="J326" s="10" t="n">
        <v>0</v>
      </c>
      <c r="K326" s="10" t="n">
        <f aca="false">G326+H326</f>
        <v>58</v>
      </c>
      <c r="L326" s="11" t="n">
        <f aca="false">IF(K326&gt;0,G326/K326,"")</f>
        <v>0.413793103448276</v>
      </c>
      <c r="M326" s="9" t="str">
        <f aca="false">IF(K326=0,"",IF(L326&lt;0.2,"Très masculine (&lt;20 % F)",IF(L326&lt;0.4,"Plutôt masculine (20-40 %)",IF(L326&lt;0.6,"Mixte (40-60 %)","À dominante féminine (≥60 %)"))))</f>
        <v>Mixte (40-60 %)</v>
      </c>
    </row>
    <row r="327" customFormat="false" ht="15" hidden="false" customHeight="false" outlineLevel="0" collapsed="false">
      <c r="A327" s="9" t="s">
        <v>898</v>
      </c>
      <c r="B327" s="9" t="s">
        <v>894</v>
      </c>
      <c r="C327" s="9" t="s">
        <v>334</v>
      </c>
      <c r="D327" s="9" t="s">
        <v>335</v>
      </c>
      <c r="E327" s="9" t="s">
        <v>216</v>
      </c>
      <c r="F327" s="9" t="s">
        <v>125</v>
      </c>
      <c r="G327" s="10" t="n">
        <v>13</v>
      </c>
      <c r="H327" s="10" t="n">
        <v>476</v>
      </c>
      <c r="I327" s="10" t="n">
        <v>43</v>
      </c>
      <c r="J327" s="10" t="n">
        <v>0</v>
      </c>
      <c r="K327" s="10" t="n">
        <f aca="false">G327+H327</f>
        <v>489</v>
      </c>
      <c r="L327" s="11" t="n">
        <f aca="false">IF(K327&gt;0,G327/K327,"")</f>
        <v>0.0265848670756646</v>
      </c>
      <c r="M327" s="9" t="str">
        <f aca="false">IF(K327=0,"",IF(L327&lt;0.2,"Très masculine (&lt;20 % F)",IF(L327&lt;0.4,"Plutôt masculine (20-40 %)",IF(L327&lt;0.6,"Mixte (40-60 %)","À dominante féminine (≥60 %)"))))</f>
        <v>Très masculine (&lt;20 % F)</v>
      </c>
    </row>
    <row r="328" customFormat="false" ht="15" hidden="false" customHeight="false" outlineLevel="0" collapsed="false">
      <c r="A328" s="9" t="s">
        <v>899</v>
      </c>
      <c r="B328" s="9" t="s">
        <v>900</v>
      </c>
      <c r="C328" s="9" t="s">
        <v>336</v>
      </c>
      <c r="D328" s="9" t="s">
        <v>337</v>
      </c>
      <c r="E328" s="9" t="s">
        <v>106</v>
      </c>
      <c r="F328" s="9" t="s">
        <v>108</v>
      </c>
      <c r="G328" s="10" t="n">
        <v>65</v>
      </c>
      <c r="H328" s="10" t="n">
        <v>147</v>
      </c>
      <c r="I328" s="10" t="n">
        <v>2</v>
      </c>
      <c r="J328" s="10" t="n">
        <v>1</v>
      </c>
      <c r="K328" s="10" t="n">
        <f aca="false">G328+H328</f>
        <v>212</v>
      </c>
      <c r="L328" s="11" t="n">
        <f aca="false">IF(K328&gt;0,G328/K328,"")</f>
        <v>0.306603773584906</v>
      </c>
      <c r="M328" s="9" t="str">
        <f aca="false">IF(K328=0,"",IF(L328&lt;0.2,"Très masculine (&lt;20 % F)",IF(L328&lt;0.4,"Plutôt masculine (20-40 %)",IF(L328&lt;0.6,"Mixte (40-60 %)","À dominante féminine (≥60 %)"))))</f>
        <v>Plutôt masculine (20-40 %)</v>
      </c>
    </row>
    <row r="329" customFormat="false" ht="15" hidden="false" customHeight="false" outlineLevel="0" collapsed="false">
      <c r="A329" s="9" t="s">
        <v>901</v>
      </c>
      <c r="B329" s="9" t="s">
        <v>902</v>
      </c>
      <c r="C329" s="9" t="s">
        <v>340</v>
      </c>
      <c r="D329" s="9" t="s">
        <v>341</v>
      </c>
      <c r="E329" s="9" t="s">
        <v>106</v>
      </c>
      <c r="F329" s="9" t="s">
        <v>173</v>
      </c>
      <c r="G329" s="10" t="n">
        <v>8</v>
      </c>
      <c r="H329" s="10" t="n">
        <v>407</v>
      </c>
      <c r="I329" s="10" t="n">
        <v>48</v>
      </c>
      <c r="J329" s="10" t="n">
        <v>0</v>
      </c>
      <c r="K329" s="10" t="n">
        <f aca="false">G329+H329</f>
        <v>415</v>
      </c>
      <c r="L329" s="11" t="n">
        <f aca="false">IF(K329&gt;0,G329/K329,"")</f>
        <v>0.0192771084337349</v>
      </c>
      <c r="M329" s="9" t="str">
        <f aca="false">IF(K329=0,"",IF(L329&lt;0.2,"Très masculine (&lt;20 % F)",IF(L329&lt;0.4,"Plutôt masculine (20-40 %)",IF(L329&lt;0.6,"Mixte (40-60 %)","À dominante féminine (≥60 %)"))))</f>
        <v>Très masculine (&lt;20 % F)</v>
      </c>
    </row>
    <row r="330" customFormat="false" ht="15" hidden="false" customHeight="false" outlineLevel="0" collapsed="false">
      <c r="A330" s="9" t="s">
        <v>903</v>
      </c>
      <c r="B330" s="9" t="s">
        <v>902</v>
      </c>
      <c r="C330" s="9" t="s">
        <v>340</v>
      </c>
      <c r="D330" s="9" t="s">
        <v>341</v>
      </c>
      <c r="E330" s="9" t="s">
        <v>106</v>
      </c>
      <c r="F330" s="9" t="s">
        <v>173</v>
      </c>
      <c r="G330" s="10" t="n">
        <v>31</v>
      </c>
      <c r="H330" s="10" t="n">
        <v>116</v>
      </c>
      <c r="I330" s="10" t="n">
        <v>4</v>
      </c>
      <c r="J330" s="10" t="n">
        <v>0</v>
      </c>
      <c r="K330" s="10" t="n">
        <f aca="false">G330+H330</f>
        <v>147</v>
      </c>
      <c r="L330" s="11" t="n">
        <f aca="false">IF(K330&gt;0,G330/K330,"")</f>
        <v>0.210884353741497</v>
      </c>
      <c r="M330" s="9" t="str">
        <f aca="false">IF(K330=0,"",IF(L330&lt;0.2,"Très masculine (&lt;20 % F)",IF(L330&lt;0.4,"Plutôt masculine (20-40 %)",IF(L330&lt;0.6,"Mixte (40-60 %)","À dominante féminine (≥60 %)"))))</f>
        <v>Plutôt masculine (20-40 %)</v>
      </c>
    </row>
    <row r="331" customFormat="false" ht="15" hidden="false" customHeight="false" outlineLevel="0" collapsed="false">
      <c r="A331" s="9" t="s">
        <v>904</v>
      </c>
      <c r="B331" s="9" t="s">
        <v>902</v>
      </c>
      <c r="C331" s="9" t="s">
        <v>340</v>
      </c>
      <c r="D331" s="9" t="s">
        <v>341</v>
      </c>
      <c r="E331" s="9" t="s">
        <v>106</v>
      </c>
      <c r="F331" s="9" t="s">
        <v>173</v>
      </c>
      <c r="G331" s="10" t="n">
        <v>25</v>
      </c>
      <c r="H331" s="10" t="n">
        <v>49</v>
      </c>
      <c r="I331" s="10" t="n">
        <v>8</v>
      </c>
      <c r="J331" s="10" t="n">
        <v>1</v>
      </c>
      <c r="K331" s="10" t="n">
        <f aca="false">G331+H331</f>
        <v>74</v>
      </c>
      <c r="L331" s="11" t="n">
        <f aca="false">IF(K331&gt;0,G331/K331,"")</f>
        <v>0.337837837837838</v>
      </c>
      <c r="M331" s="9" t="str">
        <f aca="false">IF(K331=0,"",IF(L331&lt;0.2,"Très masculine (&lt;20 % F)",IF(L331&lt;0.4,"Plutôt masculine (20-40 %)",IF(L331&lt;0.6,"Mixte (40-60 %)","À dominante féminine (≥60 %)"))))</f>
        <v>Plutôt masculine (20-40 %)</v>
      </c>
    </row>
    <row r="332" customFormat="false" ht="15" hidden="false" customHeight="false" outlineLevel="0" collapsed="false">
      <c r="A332" s="9" t="s">
        <v>905</v>
      </c>
      <c r="B332" s="9" t="s">
        <v>902</v>
      </c>
      <c r="C332" s="9" t="s">
        <v>340</v>
      </c>
      <c r="D332" s="9" t="s">
        <v>341</v>
      </c>
      <c r="E332" s="9" t="s">
        <v>106</v>
      </c>
      <c r="F332" s="9" t="s">
        <v>173</v>
      </c>
      <c r="G332" s="10" t="n">
        <v>9</v>
      </c>
      <c r="H332" s="10" t="n">
        <v>20</v>
      </c>
      <c r="I332" s="10" t="n">
        <v>29</v>
      </c>
      <c r="J332" s="10" t="n">
        <v>0</v>
      </c>
      <c r="K332" s="10" t="n">
        <f aca="false">G332+H332</f>
        <v>29</v>
      </c>
      <c r="L332" s="11" t="n">
        <f aca="false">IF(K332&gt;0,G332/K332,"")</f>
        <v>0.310344827586207</v>
      </c>
      <c r="M332" s="9" t="str">
        <f aca="false">IF(K332=0,"",IF(L332&lt;0.2,"Très masculine (&lt;20 % F)",IF(L332&lt;0.4,"Plutôt masculine (20-40 %)",IF(L332&lt;0.6,"Mixte (40-60 %)","À dominante féminine (≥60 %)"))))</f>
        <v>Plutôt masculine (20-40 %)</v>
      </c>
    </row>
    <row r="333" customFormat="false" ht="15" hidden="false" customHeight="false" outlineLevel="0" collapsed="false">
      <c r="A333" s="9" t="s">
        <v>906</v>
      </c>
      <c r="B333" s="9" t="s">
        <v>907</v>
      </c>
      <c r="C333" s="9" t="s">
        <v>346</v>
      </c>
      <c r="D333" s="9" t="s">
        <v>347</v>
      </c>
      <c r="E333" s="9" t="s">
        <v>278</v>
      </c>
      <c r="F333" s="9" t="s">
        <v>152</v>
      </c>
      <c r="G333" s="10" t="n">
        <v>14</v>
      </c>
      <c r="H333" s="10" t="n">
        <v>71</v>
      </c>
      <c r="I333" s="10" t="n">
        <v>3</v>
      </c>
      <c r="J333" s="10" t="n">
        <v>1</v>
      </c>
      <c r="K333" s="10" t="n">
        <f aca="false">G333+H333</f>
        <v>85</v>
      </c>
      <c r="L333" s="11" t="n">
        <f aca="false">IF(K333&gt;0,G333/K333,"")</f>
        <v>0.164705882352941</v>
      </c>
      <c r="M333" s="9" t="str">
        <f aca="false">IF(K333=0,"",IF(L333&lt;0.2,"Très masculine (&lt;20 % F)",IF(L333&lt;0.4,"Plutôt masculine (20-40 %)",IF(L333&lt;0.6,"Mixte (40-60 %)","À dominante féminine (≥60 %)"))))</f>
        <v>Très masculine (&lt;20 % F)</v>
      </c>
    </row>
    <row r="334" customFormat="false" ht="15" hidden="false" customHeight="false" outlineLevel="0" collapsed="false">
      <c r="A334" s="9" t="s">
        <v>908</v>
      </c>
      <c r="B334" s="9" t="s">
        <v>907</v>
      </c>
      <c r="C334" s="9" t="s">
        <v>346</v>
      </c>
      <c r="D334" s="9" t="s">
        <v>347</v>
      </c>
      <c r="E334" s="9" t="s">
        <v>278</v>
      </c>
      <c r="F334" s="9" t="s">
        <v>152</v>
      </c>
      <c r="G334" s="10" t="n">
        <v>82</v>
      </c>
      <c r="H334" s="10" t="n">
        <v>11</v>
      </c>
      <c r="I334" s="10" t="n">
        <v>5</v>
      </c>
      <c r="J334" s="10" t="n">
        <v>2</v>
      </c>
      <c r="K334" s="10" t="n">
        <f aca="false">G334+H334</f>
        <v>93</v>
      </c>
      <c r="L334" s="11" t="n">
        <f aca="false">IF(K334&gt;0,G334/K334,"")</f>
        <v>0.881720430107527</v>
      </c>
      <c r="M334" s="9" t="str">
        <f aca="false">IF(K334=0,"",IF(L334&lt;0.2,"Très masculine (&lt;20 % F)",IF(L334&lt;0.4,"Plutôt masculine (20-40 %)",IF(L334&lt;0.6,"Mixte (40-60 %)","À dominante féminine (≥60 %)"))))</f>
        <v>À dominante féminine (≥60 %)</v>
      </c>
    </row>
    <row r="335" customFormat="false" ht="15" hidden="false" customHeight="false" outlineLevel="0" collapsed="false">
      <c r="A335" s="9" t="s">
        <v>909</v>
      </c>
      <c r="B335" s="9" t="s">
        <v>907</v>
      </c>
      <c r="C335" s="9" t="s">
        <v>346</v>
      </c>
      <c r="D335" s="9" t="s">
        <v>347</v>
      </c>
      <c r="E335" s="9" t="s">
        <v>278</v>
      </c>
      <c r="F335" s="9" t="s">
        <v>152</v>
      </c>
      <c r="G335" s="10" t="n">
        <v>28</v>
      </c>
      <c r="H335" s="10" t="n">
        <v>26</v>
      </c>
      <c r="I335" s="10" t="n">
        <v>4</v>
      </c>
      <c r="J335" s="10" t="n">
        <v>2</v>
      </c>
      <c r="K335" s="10" t="n">
        <f aca="false">G335+H335</f>
        <v>54</v>
      </c>
      <c r="L335" s="11" t="n">
        <f aca="false">IF(K335&gt;0,G335/K335,"")</f>
        <v>0.518518518518519</v>
      </c>
      <c r="M335" s="9" t="str">
        <f aca="false">IF(K335=0,"",IF(L335&lt;0.2,"Très masculine (&lt;20 % F)",IF(L335&lt;0.4,"Plutôt masculine (20-40 %)",IF(L335&lt;0.6,"Mixte (40-60 %)","À dominante féminine (≥60 %)"))))</f>
        <v>Mixte (40-60 %)</v>
      </c>
    </row>
    <row r="336" customFormat="false" ht="15" hidden="false" customHeight="false" outlineLevel="0" collapsed="false">
      <c r="A336" s="9" t="s">
        <v>910</v>
      </c>
      <c r="B336" s="9" t="s">
        <v>907</v>
      </c>
      <c r="C336" s="9" t="s">
        <v>346</v>
      </c>
      <c r="D336" s="9" t="s">
        <v>347</v>
      </c>
      <c r="E336" s="9" t="s">
        <v>278</v>
      </c>
      <c r="F336" s="9" t="s">
        <v>152</v>
      </c>
      <c r="G336" s="10" t="n">
        <v>14</v>
      </c>
      <c r="H336" s="10" t="n">
        <v>24</v>
      </c>
      <c r="I336" s="10" t="n">
        <v>8</v>
      </c>
      <c r="J336" s="10" t="n">
        <v>0</v>
      </c>
      <c r="K336" s="10" t="n">
        <f aca="false">G336+H336</f>
        <v>38</v>
      </c>
      <c r="L336" s="11" t="n">
        <f aca="false">IF(K336&gt;0,G336/K336,"")</f>
        <v>0.368421052631579</v>
      </c>
      <c r="M336" s="9" t="str">
        <f aca="false">IF(K336=0,"",IF(L336&lt;0.2,"Très masculine (&lt;20 % F)",IF(L336&lt;0.4,"Plutôt masculine (20-40 %)",IF(L336&lt;0.6,"Mixte (40-60 %)","À dominante féminine (≥60 %)"))))</f>
        <v>Plutôt masculine (20-40 %)</v>
      </c>
    </row>
    <row r="337" customFormat="false" ht="15" hidden="false" customHeight="false" outlineLevel="0" collapsed="false">
      <c r="A337" s="9" t="s">
        <v>911</v>
      </c>
      <c r="B337" s="9" t="s">
        <v>907</v>
      </c>
      <c r="C337" s="9" t="s">
        <v>346</v>
      </c>
      <c r="D337" s="9" t="s">
        <v>347</v>
      </c>
      <c r="E337" s="9" t="s">
        <v>278</v>
      </c>
      <c r="F337" s="9" t="s">
        <v>152</v>
      </c>
      <c r="G337" s="10" t="n">
        <v>38</v>
      </c>
      <c r="H337" s="10" t="n">
        <v>59</v>
      </c>
      <c r="I337" s="10" t="n">
        <v>25</v>
      </c>
      <c r="J337" s="10" t="n">
        <v>1</v>
      </c>
      <c r="K337" s="10" t="n">
        <f aca="false">G337+H337</f>
        <v>97</v>
      </c>
      <c r="L337" s="11" t="n">
        <f aca="false">IF(K337&gt;0,G337/K337,"")</f>
        <v>0.391752577319588</v>
      </c>
      <c r="M337" s="9" t="str">
        <f aca="false">IF(K337=0,"",IF(L337&lt;0.2,"Très masculine (&lt;20 % F)",IF(L337&lt;0.4,"Plutôt masculine (20-40 %)",IF(L337&lt;0.6,"Mixte (40-60 %)","À dominante féminine (≥60 %)"))))</f>
        <v>Plutôt masculine (20-40 %)</v>
      </c>
    </row>
    <row r="338" customFormat="false" ht="15" hidden="false" customHeight="false" outlineLevel="0" collapsed="false">
      <c r="A338" s="9" t="s">
        <v>912</v>
      </c>
      <c r="B338" s="9" t="s">
        <v>907</v>
      </c>
      <c r="C338" s="9" t="s">
        <v>346</v>
      </c>
      <c r="D338" s="9" t="s">
        <v>347</v>
      </c>
      <c r="E338" s="9" t="s">
        <v>278</v>
      </c>
      <c r="F338" s="9" t="s">
        <v>152</v>
      </c>
      <c r="G338" s="10" t="n">
        <v>145</v>
      </c>
      <c r="H338" s="10" t="n">
        <v>78</v>
      </c>
      <c r="I338" s="10" t="n">
        <v>19</v>
      </c>
      <c r="J338" s="10" t="n">
        <v>1</v>
      </c>
      <c r="K338" s="10" t="n">
        <f aca="false">G338+H338</f>
        <v>223</v>
      </c>
      <c r="L338" s="11" t="n">
        <f aca="false">IF(K338&gt;0,G338/K338,"")</f>
        <v>0.650224215246637</v>
      </c>
      <c r="M338" s="9" t="str">
        <f aca="false">IF(K338=0,"",IF(L338&lt;0.2,"Très masculine (&lt;20 % F)",IF(L338&lt;0.4,"Plutôt masculine (20-40 %)",IF(L338&lt;0.6,"Mixte (40-60 %)","À dominante féminine (≥60 %)"))))</f>
        <v>À dominante féminine (≥60 %)</v>
      </c>
    </row>
    <row r="339" customFormat="false" ht="15" hidden="false" customHeight="false" outlineLevel="0" collapsed="false">
      <c r="A339" s="9" t="s">
        <v>913</v>
      </c>
      <c r="B339" s="9" t="s">
        <v>907</v>
      </c>
      <c r="C339" s="9" t="s">
        <v>346</v>
      </c>
      <c r="D339" s="9" t="s">
        <v>347</v>
      </c>
      <c r="E339" s="9" t="s">
        <v>278</v>
      </c>
      <c r="F339" s="9" t="s">
        <v>152</v>
      </c>
      <c r="G339" s="10" t="n">
        <v>73</v>
      </c>
      <c r="H339" s="10" t="n">
        <v>129</v>
      </c>
      <c r="I339" s="10" t="n">
        <v>5</v>
      </c>
      <c r="J339" s="10" t="n">
        <v>2</v>
      </c>
      <c r="K339" s="10" t="n">
        <f aca="false">G339+H339</f>
        <v>202</v>
      </c>
      <c r="L339" s="11" t="n">
        <f aca="false">IF(K339&gt;0,G339/K339,"")</f>
        <v>0.361386138613861</v>
      </c>
      <c r="M339" s="9" t="str">
        <f aca="false">IF(K339=0,"",IF(L339&lt;0.2,"Très masculine (&lt;20 % F)",IF(L339&lt;0.4,"Plutôt masculine (20-40 %)",IF(L339&lt;0.6,"Mixte (40-60 %)","À dominante féminine (≥60 %)"))))</f>
        <v>Plutôt masculine (20-40 %)</v>
      </c>
    </row>
    <row r="340" customFormat="false" ht="15" hidden="false" customHeight="false" outlineLevel="0" collapsed="false">
      <c r="A340" s="9" t="s">
        <v>914</v>
      </c>
      <c r="B340" s="9" t="s">
        <v>915</v>
      </c>
      <c r="C340" s="9" t="s">
        <v>350</v>
      </c>
      <c r="D340" s="9" t="s">
        <v>351</v>
      </c>
      <c r="E340" s="9" t="s">
        <v>237</v>
      </c>
      <c r="F340" s="9" t="s">
        <v>116</v>
      </c>
      <c r="G340" s="10" t="n">
        <v>13</v>
      </c>
      <c r="H340" s="10" t="n">
        <v>21</v>
      </c>
      <c r="I340" s="10" t="n">
        <v>6</v>
      </c>
      <c r="J340" s="10" t="n">
        <v>0</v>
      </c>
      <c r="K340" s="10" t="n">
        <f aca="false">G340+H340</f>
        <v>34</v>
      </c>
      <c r="L340" s="11" t="n">
        <f aca="false">IF(K340&gt;0,G340/K340,"")</f>
        <v>0.382352941176471</v>
      </c>
      <c r="M340" s="9" t="str">
        <f aca="false">IF(K340=0,"",IF(L340&lt;0.2,"Très masculine (&lt;20 % F)",IF(L340&lt;0.4,"Plutôt masculine (20-40 %)",IF(L340&lt;0.6,"Mixte (40-60 %)","À dominante féminine (≥60 %)"))))</f>
        <v>Plutôt masculine (20-40 %)</v>
      </c>
    </row>
    <row r="341" customFormat="false" ht="15" hidden="false" customHeight="false" outlineLevel="0" collapsed="false">
      <c r="A341" s="9" t="s">
        <v>916</v>
      </c>
      <c r="B341" s="9" t="s">
        <v>915</v>
      </c>
      <c r="C341" s="9" t="s">
        <v>350</v>
      </c>
      <c r="D341" s="9" t="s">
        <v>351</v>
      </c>
      <c r="E341" s="9" t="s">
        <v>237</v>
      </c>
      <c r="F341" s="9" t="s">
        <v>116</v>
      </c>
      <c r="G341" s="10" t="n">
        <v>72</v>
      </c>
      <c r="H341" s="10" t="n">
        <v>169</v>
      </c>
      <c r="I341" s="10" t="n">
        <v>10</v>
      </c>
      <c r="J341" s="10" t="n">
        <v>2</v>
      </c>
      <c r="K341" s="10" t="n">
        <f aca="false">G341+H341</f>
        <v>241</v>
      </c>
      <c r="L341" s="11" t="n">
        <f aca="false">IF(K341&gt;0,G341/K341,"")</f>
        <v>0.298755186721992</v>
      </c>
      <c r="M341" s="9" t="str">
        <f aca="false">IF(K341=0,"",IF(L341&lt;0.2,"Très masculine (&lt;20 % F)",IF(L341&lt;0.4,"Plutôt masculine (20-40 %)",IF(L341&lt;0.6,"Mixte (40-60 %)","À dominante féminine (≥60 %)"))))</f>
        <v>Plutôt masculine (20-40 %)</v>
      </c>
    </row>
    <row r="342" customFormat="false" ht="15" hidden="false" customHeight="false" outlineLevel="0" collapsed="false">
      <c r="A342" s="9" t="s">
        <v>917</v>
      </c>
      <c r="B342" s="9" t="s">
        <v>918</v>
      </c>
      <c r="C342" s="9" t="s">
        <v>352</v>
      </c>
      <c r="D342" s="9" t="s">
        <v>115</v>
      </c>
      <c r="E342" s="9" t="s">
        <v>115</v>
      </c>
      <c r="F342" s="9" t="s">
        <v>116</v>
      </c>
      <c r="G342" s="10" t="n">
        <v>55</v>
      </c>
      <c r="H342" s="10" t="n">
        <v>27</v>
      </c>
      <c r="I342" s="10" t="n">
        <v>10</v>
      </c>
      <c r="J342" s="10" t="n">
        <v>1</v>
      </c>
      <c r="K342" s="10" t="n">
        <f aca="false">G342+H342</f>
        <v>82</v>
      </c>
      <c r="L342" s="11" t="n">
        <f aca="false">IF(K342&gt;0,G342/K342,"")</f>
        <v>0.670731707317073</v>
      </c>
      <c r="M342" s="9" t="str">
        <f aca="false">IF(K342=0,"",IF(L342&lt;0.2,"Très masculine (&lt;20 % F)",IF(L342&lt;0.4,"Plutôt masculine (20-40 %)",IF(L342&lt;0.6,"Mixte (40-60 %)","À dominante féminine (≥60 %)"))))</f>
        <v>À dominante féminine (≥60 %)</v>
      </c>
    </row>
    <row r="343" customFormat="false" ht="15" hidden="false" customHeight="false" outlineLevel="0" collapsed="false">
      <c r="A343" s="9" t="s">
        <v>919</v>
      </c>
      <c r="B343" s="9" t="s">
        <v>918</v>
      </c>
      <c r="C343" s="9" t="s">
        <v>352</v>
      </c>
      <c r="D343" s="9" t="s">
        <v>115</v>
      </c>
      <c r="E343" s="9" t="s">
        <v>115</v>
      </c>
      <c r="F343" s="9" t="s">
        <v>116</v>
      </c>
      <c r="G343" s="10" t="n">
        <v>38</v>
      </c>
      <c r="H343" s="10" t="n">
        <v>69</v>
      </c>
      <c r="I343" s="10" t="n">
        <v>31</v>
      </c>
      <c r="J343" s="10" t="n">
        <v>0</v>
      </c>
      <c r="K343" s="10" t="n">
        <f aca="false">G343+H343</f>
        <v>107</v>
      </c>
      <c r="L343" s="11" t="n">
        <f aca="false">IF(K343&gt;0,G343/K343,"")</f>
        <v>0.355140186915888</v>
      </c>
      <c r="M343" s="9" t="str">
        <f aca="false">IF(K343=0,"",IF(L343&lt;0.2,"Très masculine (&lt;20 % F)",IF(L343&lt;0.4,"Plutôt masculine (20-40 %)",IF(L343&lt;0.6,"Mixte (40-60 %)","À dominante féminine (≥60 %)"))))</f>
        <v>Plutôt masculine (20-40 %)</v>
      </c>
    </row>
    <row r="344" customFormat="false" ht="15" hidden="false" customHeight="false" outlineLevel="0" collapsed="false">
      <c r="A344" s="9" t="s">
        <v>920</v>
      </c>
      <c r="B344" s="9" t="s">
        <v>918</v>
      </c>
      <c r="C344" s="9" t="s">
        <v>352</v>
      </c>
      <c r="D344" s="9" t="s">
        <v>115</v>
      </c>
      <c r="E344" s="9" t="s">
        <v>115</v>
      </c>
      <c r="F344" s="9" t="s">
        <v>116</v>
      </c>
      <c r="G344" s="10" t="n">
        <v>19</v>
      </c>
      <c r="H344" s="10" t="n">
        <v>35</v>
      </c>
      <c r="I344" s="10" t="n">
        <v>13</v>
      </c>
      <c r="J344" s="10" t="n">
        <v>0</v>
      </c>
      <c r="K344" s="10" t="n">
        <f aca="false">G344+H344</f>
        <v>54</v>
      </c>
      <c r="L344" s="11" t="n">
        <f aca="false">IF(K344&gt;0,G344/K344,"")</f>
        <v>0.351851851851852</v>
      </c>
      <c r="M344" s="9" t="str">
        <f aca="false">IF(K344=0,"",IF(L344&lt;0.2,"Très masculine (&lt;20 % F)",IF(L344&lt;0.4,"Plutôt masculine (20-40 %)",IF(L344&lt;0.6,"Mixte (40-60 %)","À dominante féminine (≥60 %)"))))</f>
        <v>Plutôt masculine (20-40 %)</v>
      </c>
    </row>
    <row r="345" customFormat="false" ht="15" hidden="false" customHeight="false" outlineLevel="0" collapsed="false">
      <c r="A345" s="9" t="s">
        <v>921</v>
      </c>
      <c r="B345" s="9" t="s">
        <v>918</v>
      </c>
      <c r="C345" s="9" t="s">
        <v>352</v>
      </c>
      <c r="D345" s="9" t="s">
        <v>115</v>
      </c>
      <c r="E345" s="9" t="s">
        <v>115</v>
      </c>
      <c r="F345" s="9" t="s">
        <v>116</v>
      </c>
      <c r="G345" s="10" t="n">
        <v>85</v>
      </c>
      <c r="H345" s="10" t="n">
        <v>128</v>
      </c>
      <c r="I345" s="10" t="n">
        <v>2</v>
      </c>
      <c r="J345" s="10" t="n">
        <v>3</v>
      </c>
      <c r="K345" s="10" t="n">
        <f aca="false">G345+H345</f>
        <v>213</v>
      </c>
      <c r="L345" s="11" t="n">
        <f aca="false">IF(K345&gt;0,G345/K345,"")</f>
        <v>0.39906103286385</v>
      </c>
      <c r="M345" s="9" t="str">
        <f aca="false">IF(K345=0,"",IF(L345&lt;0.2,"Très masculine (&lt;20 % F)",IF(L345&lt;0.4,"Plutôt masculine (20-40 %)",IF(L345&lt;0.6,"Mixte (40-60 %)","À dominante féminine (≥60 %)"))))</f>
        <v>Plutôt masculine (20-40 %)</v>
      </c>
    </row>
    <row r="346" customFormat="false" ht="15" hidden="false" customHeight="false" outlineLevel="0" collapsed="false">
      <c r="A346" s="9" t="s">
        <v>922</v>
      </c>
      <c r="B346" s="9" t="s">
        <v>918</v>
      </c>
      <c r="C346" s="9" t="s">
        <v>352</v>
      </c>
      <c r="D346" s="9" t="s">
        <v>115</v>
      </c>
      <c r="E346" s="9" t="s">
        <v>115</v>
      </c>
      <c r="F346" s="9" t="s">
        <v>116</v>
      </c>
      <c r="G346" s="10" t="n">
        <v>58</v>
      </c>
      <c r="H346" s="10" t="n">
        <v>44</v>
      </c>
      <c r="I346" s="10" t="n">
        <v>24</v>
      </c>
      <c r="J346" s="10" t="n">
        <v>0</v>
      </c>
      <c r="K346" s="10" t="n">
        <f aca="false">G346+H346</f>
        <v>102</v>
      </c>
      <c r="L346" s="11" t="n">
        <f aca="false">IF(K346&gt;0,G346/K346,"")</f>
        <v>0.568627450980392</v>
      </c>
      <c r="M346" s="9" t="str">
        <f aca="false">IF(K346=0,"",IF(L346&lt;0.2,"Très masculine (&lt;20 % F)",IF(L346&lt;0.4,"Plutôt masculine (20-40 %)",IF(L346&lt;0.6,"Mixte (40-60 %)","À dominante féminine (≥60 %)"))))</f>
        <v>Mixte (40-60 %)</v>
      </c>
    </row>
    <row r="347" customFormat="false" ht="15" hidden="false" customHeight="false" outlineLevel="0" collapsed="false">
      <c r="A347" s="9" t="s">
        <v>923</v>
      </c>
      <c r="B347" s="9" t="s">
        <v>918</v>
      </c>
      <c r="C347" s="9" t="s">
        <v>352</v>
      </c>
      <c r="D347" s="9" t="s">
        <v>115</v>
      </c>
      <c r="E347" s="9" t="s">
        <v>115</v>
      </c>
      <c r="F347" s="9" t="s">
        <v>116</v>
      </c>
      <c r="G347" s="10" t="n">
        <v>103</v>
      </c>
      <c r="H347" s="10" t="n">
        <v>295</v>
      </c>
      <c r="I347" s="10" t="n">
        <v>6</v>
      </c>
      <c r="J347" s="10" t="n">
        <v>5</v>
      </c>
      <c r="K347" s="10" t="n">
        <f aca="false">G347+H347</f>
        <v>398</v>
      </c>
      <c r="L347" s="11" t="n">
        <f aca="false">IF(K347&gt;0,G347/K347,"")</f>
        <v>0.258793969849246</v>
      </c>
      <c r="M347" s="9" t="str">
        <f aca="false">IF(K347=0,"",IF(L347&lt;0.2,"Très masculine (&lt;20 % F)",IF(L347&lt;0.4,"Plutôt masculine (20-40 %)",IF(L347&lt;0.6,"Mixte (40-60 %)","À dominante féminine (≥60 %)"))))</f>
        <v>Plutôt masculine (20-40 %)</v>
      </c>
    </row>
    <row r="348" customFormat="false" ht="15" hidden="false" customHeight="false" outlineLevel="0" collapsed="false">
      <c r="A348" s="9" t="s">
        <v>924</v>
      </c>
      <c r="B348" s="9" t="s">
        <v>918</v>
      </c>
      <c r="C348" s="9" t="s">
        <v>352</v>
      </c>
      <c r="D348" s="9" t="s">
        <v>115</v>
      </c>
      <c r="E348" s="9" t="s">
        <v>115</v>
      </c>
      <c r="F348" s="9" t="s">
        <v>116</v>
      </c>
      <c r="G348" s="10" t="n">
        <v>31</v>
      </c>
      <c r="H348" s="10" t="n">
        <v>307</v>
      </c>
      <c r="I348" s="10" t="n">
        <v>46</v>
      </c>
      <c r="J348" s="10" t="n">
        <v>0</v>
      </c>
      <c r="K348" s="10" t="n">
        <f aca="false">G348+H348</f>
        <v>338</v>
      </c>
      <c r="L348" s="11" t="n">
        <f aca="false">IF(K348&gt;0,G348/K348,"")</f>
        <v>0.0917159763313609</v>
      </c>
      <c r="M348" s="9" t="str">
        <f aca="false">IF(K348=0,"",IF(L348&lt;0.2,"Très masculine (&lt;20 % F)",IF(L348&lt;0.4,"Plutôt masculine (20-40 %)",IF(L348&lt;0.6,"Mixte (40-60 %)","À dominante féminine (≥60 %)"))))</f>
        <v>Très masculine (&lt;20 % F)</v>
      </c>
    </row>
    <row r="349" customFormat="false" ht="15" hidden="false" customHeight="false" outlineLevel="0" collapsed="false">
      <c r="A349" s="9" t="s">
        <v>925</v>
      </c>
      <c r="B349" s="9" t="s">
        <v>926</v>
      </c>
      <c r="C349" s="9" t="s">
        <v>355</v>
      </c>
      <c r="D349" s="9" t="s">
        <v>356</v>
      </c>
      <c r="E349" s="9" t="s">
        <v>146</v>
      </c>
      <c r="F349" s="9" t="s">
        <v>134</v>
      </c>
      <c r="G349" s="10" t="n">
        <v>579</v>
      </c>
      <c r="H349" s="10" t="n">
        <v>1046</v>
      </c>
      <c r="I349" s="10" t="n">
        <v>90</v>
      </c>
      <c r="J349" s="10" t="n">
        <v>5</v>
      </c>
      <c r="K349" s="10" t="n">
        <f aca="false">G349+H349</f>
        <v>1625</v>
      </c>
      <c r="L349" s="11" t="n">
        <f aca="false">IF(K349&gt;0,G349/K349,"")</f>
        <v>0.356307692307692</v>
      </c>
      <c r="M349" s="9" t="str">
        <f aca="false">IF(K349=0,"",IF(L349&lt;0.2,"Très masculine (&lt;20 % F)",IF(L349&lt;0.4,"Plutôt masculine (20-40 %)",IF(L349&lt;0.6,"Mixte (40-60 %)","À dominante féminine (≥60 %)"))))</f>
        <v>Plutôt masculine (20-40 %)</v>
      </c>
    </row>
    <row r="350" customFormat="false" ht="15" hidden="false" customHeight="false" outlineLevel="0" collapsed="false">
      <c r="A350" s="9" t="s">
        <v>927</v>
      </c>
      <c r="B350" s="9" t="s">
        <v>928</v>
      </c>
      <c r="C350" s="9" t="s">
        <v>361</v>
      </c>
      <c r="D350" s="9" t="s">
        <v>362</v>
      </c>
      <c r="E350" s="9" t="s">
        <v>140</v>
      </c>
      <c r="F350" s="9" t="s">
        <v>197</v>
      </c>
      <c r="G350" s="10" t="n">
        <v>68</v>
      </c>
      <c r="H350" s="10" t="n">
        <v>168</v>
      </c>
      <c r="I350" s="10" t="n">
        <v>14</v>
      </c>
      <c r="J350" s="10" t="n">
        <v>4</v>
      </c>
      <c r="K350" s="10" t="n">
        <f aca="false">G350+H350</f>
        <v>236</v>
      </c>
      <c r="L350" s="11" t="n">
        <f aca="false">IF(K350&gt;0,G350/K350,"")</f>
        <v>0.288135593220339</v>
      </c>
      <c r="M350" s="9" t="str">
        <f aca="false">IF(K350=0,"",IF(L350&lt;0.2,"Très masculine (&lt;20 % F)",IF(L350&lt;0.4,"Plutôt masculine (20-40 %)",IF(L350&lt;0.6,"Mixte (40-60 %)","À dominante féminine (≥60 %)"))))</f>
        <v>Plutôt masculine (20-40 %)</v>
      </c>
    </row>
    <row r="351" customFormat="false" ht="15" hidden="false" customHeight="false" outlineLevel="0" collapsed="false">
      <c r="A351" s="9" t="s">
        <v>929</v>
      </c>
      <c r="B351" s="9" t="s">
        <v>928</v>
      </c>
      <c r="C351" s="9" t="s">
        <v>361</v>
      </c>
      <c r="D351" s="9" t="s">
        <v>362</v>
      </c>
      <c r="E351" s="9" t="s">
        <v>140</v>
      </c>
      <c r="F351" s="9" t="s">
        <v>197</v>
      </c>
      <c r="G351" s="10" t="n">
        <v>7</v>
      </c>
      <c r="H351" s="10" t="n">
        <v>11</v>
      </c>
      <c r="I351" s="10" t="n">
        <v>18</v>
      </c>
      <c r="J351" s="10" t="n">
        <v>0</v>
      </c>
      <c r="K351" s="10" t="n">
        <f aca="false">G351+H351</f>
        <v>18</v>
      </c>
      <c r="L351" s="11" t="n">
        <f aca="false">IF(K351&gt;0,G351/K351,"")</f>
        <v>0.388888888888889</v>
      </c>
      <c r="M351" s="9" t="str">
        <f aca="false">IF(K351=0,"",IF(L351&lt;0.2,"Très masculine (&lt;20 % F)",IF(L351&lt;0.4,"Plutôt masculine (20-40 %)",IF(L351&lt;0.6,"Mixte (40-60 %)","À dominante féminine (≥60 %)"))))</f>
        <v>Plutôt masculine (20-40 %)</v>
      </c>
    </row>
    <row r="352" customFormat="false" ht="15" hidden="false" customHeight="false" outlineLevel="0" collapsed="false">
      <c r="A352" s="9" t="s">
        <v>930</v>
      </c>
      <c r="B352" s="9" t="s">
        <v>928</v>
      </c>
      <c r="C352" s="9" t="s">
        <v>361</v>
      </c>
      <c r="D352" s="9" t="s">
        <v>362</v>
      </c>
      <c r="E352" s="9" t="s">
        <v>140</v>
      </c>
      <c r="F352" s="9" t="s">
        <v>197</v>
      </c>
      <c r="G352" s="10" t="n">
        <v>136</v>
      </c>
      <c r="H352" s="10" t="n">
        <v>292</v>
      </c>
      <c r="I352" s="10" t="n">
        <v>30</v>
      </c>
      <c r="J352" s="10" t="n">
        <v>0</v>
      </c>
      <c r="K352" s="10" t="n">
        <f aca="false">G352+H352</f>
        <v>428</v>
      </c>
      <c r="L352" s="11" t="n">
        <f aca="false">IF(K352&gt;0,G352/K352,"")</f>
        <v>0.317757009345794</v>
      </c>
      <c r="M352" s="9" t="str">
        <f aca="false">IF(K352=0,"",IF(L352&lt;0.2,"Très masculine (&lt;20 % F)",IF(L352&lt;0.4,"Plutôt masculine (20-40 %)",IF(L352&lt;0.6,"Mixte (40-60 %)","À dominante féminine (≥60 %)"))))</f>
        <v>Plutôt masculine (20-40 %)</v>
      </c>
    </row>
    <row r="353" customFormat="false" ht="15" hidden="false" customHeight="false" outlineLevel="0" collapsed="false">
      <c r="A353" s="9" t="s">
        <v>931</v>
      </c>
      <c r="B353" s="9" t="s">
        <v>928</v>
      </c>
      <c r="C353" s="9" t="s">
        <v>361</v>
      </c>
      <c r="D353" s="9" t="s">
        <v>362</v>
      </c>
      <c r="E353" s="9" t="s">
        <v>140</v>
      </c>
      <c r="F353" s="9" t="s">
        <v>197</v>
      </c>
      <c r="G353" s="10" t="n">
        <v>239</v>
      </c>
      <c r="H353" s="10" t="n">
        <v>32</v>
      </c>
      <c r="I353" s="10" t="n">
        <v>13</v>
      </c>
      <c r="J353" s="10" t="n">
        <v>8</v>
      </c>
      <c r="K353" s="10" t="n">
        <f aca="false">G353+H353</f>
        <v>271</v>
      </c>
      <c r="L353" s="11" t="n">
        <f aca="false">IF(K353&gt;0,G353/K353,"")</f>
        <v>0.881918819188192</v>
      </c>
      <c r="M353" s="9" t="str">
        <f aca="false">IF(K353=0,"",IF(L353&lt;0.2,"Très masculine (&lt;20 % F)",IF(L353&lt;0.4,"Plutôt masculine (20-40 %)",IF(L353&lt;0.6,"Mixte (40-60 %)","À dominante féminine (≥60 %)"))))</f>
        <v>À dominante féminine (≥60 %)</v>
      </c>
    </row>
    <row r="354" customFormat="false" ht="15" hidden="false" customHeight="false" outlineLevel="0" collapsed="false">
      <c r="A354" s="9" t="s">
        <v>932</v>
      </c>
      <c r="B354" s="9" t="s">
        <v>933</v>
      </c>
      <c r="C354" s="9" t="s">
        <v>363</v>
      </c>
      <c r="D354" s="9" t="s">
        <v>364</v>
      </c>
      <c r="E354" s="9" t="s">
        <v>140</v>
      </c>
      <c r="F354" s="9" t="s">
        <v>197</v>
      </c>
      <c r="G354" s="10" t="n">
        <v>113</v>
      </c>
      <c r="H354" s="10" t="n">
        <v>559</v>
      </c>
      <c r="I354" s="10" t="n">
        <v>25</v>
      </c>
      <c r="J354" s="10" t="n">
        <v>2</v>
      </c>
      <c r="K354" s="10" t="n">
        <f aca="false">G354+H354</f>
        <v>672</v>
      </c>
      <c r="L354" s="11" t="n">
        <f aca="false">IF(K354&gt;0,G354/K354,"")</f>
        <v>0.168154761904762</v>
      </c>
      <c r="M354" s="9" t="str">
        <f aca="false">IF(K354=0,"",IF(L354&lt;0.2,"Très masculine (&lt;20 % F)",IF(L354&lt;0.4,"Plutôt masculine (20-40 %)",IF(L354&lt;0.6,"Mixte (40-60 %)","À dominante féminine (≥60 %)"))))</f>
        <v>Très masculine (&lt;20 % F)</v>
      </c>
    </row>
    <row r="355" customFormat="false" ht="15" hidden="false" customHeight="false" outlineLevel="0" collapsed="false">
      <c r="A355" s="9" t="s">
        <v>934</v>
      </c>
      <c r="B355" s="9" t="s">
        <v>933</v>
      </c>
      <c r="C355" s="9" t="s">
        <v>363</v>
      </c>
      <c r="D355" s="9" t="s">
        <v>364</v>
      </c>
      <c r="E355" s="9" t="s">
        <v>140</v>
      </c>
      <c r="F355" s="9" t="s">
        <v>197</v>
      </c>
      <c r="G355" s="10" t="n">
        <v>29</v>
      </c>
      <c r="H355" s="10" t="n">
        <v>43</v>
      </c>
      <c r="I355" s="10" t="n">
        <v>11</v>
      </c>
      <c r="J355" s="10" t="n">
        <v>0</v>
      </c>
      <c r="K355" s="10" t="n">
        <f aca="false">G355+H355</f>
        <v>72</v>
      </c>
      <c r="L355" s="11" t="n">
        <f aca="false">IF(K355&gt;0,G355/K355,"")</f>
        <v>0.402777777777778</v>
      </c>
      <c r="M355" s="9" t="str">
        <f aca="false">IF(K355=0,"",IF(L355&lt;0.2,"Très masculine (&lt;20 % F)",IF(L355&lt;0.4,"Plutôt masculine (20-40 %)",IF(L355&lt;0.6,"Mixte (40-60 %)","À dominante féminine (≥60 %)"))))</f>
        <v>Mixte (40-60 %)</v>
      </c>
    </row>
    <row r="356" customFormat="false" ht="15" hidden="false" customHeight="false" outlineLevel="0" collapsed="false">
      <c r="A356" s="9" t="s">
        <v>935</v>
      </c>
      <c r="B356" s="9" t="s">
        <v>933</v>
      </c>
      <c r="C356" s="9" t="s">
        <v>363</v>
      </c>
      <c r="D356" s="9" t="s">
        <v>364</v>
      </c>
      <c r="E356" s="9" t="s">
        <v>140</v>
      </c>
      <c r="F356" s="9" t="s">
        <v>197</v>
      </c>
      <c r="G356" s="10" t="n">
        <v>1400</v>
      </c>
      <c r="H356" s="10" t="n">
        <v>2450</v>
      </c>
      <c r="I356" s="10" t="n">
        <v>56</v>
      </c>
      <c r="J356" s="10" t="n">
        <v>0</v>
      </c>
      <c r="K356" s="10" t="n">
        <f aca="false">G356+H356</f>
        <v>3850</v>
      </c>
      <c r="L356" s="11" t="n">
        <f aca="false">IF(K356&gt;0,G356/K356,"")</f>
        <v>0.363636363636364</v>
      </c>
      <c r="M356" s="9" t="str">
        <f aca="false">IF(K356=0,"",IF(L356&lt;0.2,"Très masculine (&lt;20 % F)",IF(L356&lt;0.4,"Plutôt masculine (20-40 %)",IF(L356&lt;0.6,"Mixte (40-60 %)","À dominante féminine (≥60 %)"))))</f>
        <v>Plutôt masculine (20-40 %)</v>
      </c>
    </row>
    <row r="357" customFormat="false" ht="15" hidden="false" customHeight="false" outlineLevel="0" collapsed="false">
      <c r="A357" s="9" t="s">
        <v>936</v>
      </c>
      <c r="B357" s="9" t="s">
        <v>933</v>
      </c>
      <c r="C357" s="9" t="s">
        <v>363</v>
      </c>
      <c r="D357" s="9" t="s">
        <v>364</v>
      </c>
      <c r="E357" s="9" t="s">
        <v>140</v>
      </c>
      <c r="F357" s="9" t="s">
        <v>197</v>
      </c>
      <c r="G357" s="10" t="n">
        <v>85</v>
      </c>
      <c r="H357" s="10" t="n">
        <v>209</v>
      </c>
      <c r="I357" s="10" t="n">
        <v>9</v>
      </c>
      <c r="J357" s="10" t="n">
        <v>7</v>
      </c>
      <c r="K357" s="10" t="n">
        <f aca="false">G357+H357</f>
        <v>294</v>
      </c>
      <c r="L357" s="11" t="n">
        <f aca="false">IF(K357&gt;0,G357/K357,"")</f>
        <v>0.289115646258503</v>
      </c>
      <c r="M357" s="9" t="str">
        <f aca="false">IF(K357=0,"",IF(L357&lt;0.2,"Très masculine (&lt;20 % F)",IF(L357&lt;0.4,"Plutôt masculine (20-40 %)",IF(L357&lt;0.6,"Mixte (40-60 %)","À dominante féminine (≥60 %)"))))</f>
        <v>Plutôt masculine (20-40 %)</v>
      </c>
    </row>
    <row r="358" customFormat="false" ht="15" hidden="false" customHeight="false" outlineLevel="0" collapsed="false">
      <c r="A358" s="9" t="s">
        <v>937</v>
      </c>
      <c r="B358" s="9" t="s">
        <v>933</v>
      </c>
      <c r="C358" s="9" t="s">
        <v>363</v>
      </c>
      <c r="D358" s="9" t="s">
        <v>364</v>
      </c>
      <c r="E358" s="9" t="s">
        <v>140</v>
      </c>
      <c r="F358" s="9" t="s">
        <v>197</v>
      </c>
      <c r="G358" s="10" t="n">
        <v>73</v>
      </c>
      <c r="H358" s="10" t="n">
        <v>75</v>
      </c>
      <c r="I358" s="10" t="n">
        <v>14</v>
      </c>
      <c r="J358" s="10" t="n">
        <v>0</v>
      </c>
      <c r="K358" s="10" t="n">
        <f aca="false">G358+H358</f>
        <v>148</v>
      </c>
      <c r="L358" s="11" t="n">
        <f aca="false">IF(K358&gt;0,G358/K358,"")</f>
        <v>0.493243243243243</v>
      </c>
      <c r="M358" s="9" t="str">
        <f aca="false">IF(K358=0,"",IF(L358&lt;0.2,"Très masculine (&lt;20 % F)",IF(L358&lt;0.4,"Plutôt masculine (20-40 %)",IF(L358&lt;0.6,"Mixte (40-60 %)","À dominante féminine (≥60 %)"))))</f>
        <v>Mixte (40-60 %)</v>
      </c>
    </row>
    <row r="359" customFormat="false" ht="15" hidden="false" customHeight="false" outlineLevel="0" collapsed="false">
      <c r="A359" s="9" t="s">
        <v>938</v>
      </c>
      <c r="B359" s="9" t="s">
        <v>933</v>
      </c>
      <c r="C359" s="9" t="s">
        <v>363</v>
      </c>
      <c r="D359" s="9" t="s">
        <v>364</v>
      </c>
      <c r="E359" s="9" t="s">
        <v>140</v>
      </c>
      <c r="F359" s="9" t="s">
        <v>197</v>
      </c>
      <c r="G359" s="10" t="n">
        <v>9</v>
      </c>
      <c r="H359" s="10" t="n">
        <v>35</v>
      </c>
      <c r="I359" s="10" t="n">
        <v>12</v>
      </c>
      <c r="J359" s="10" t="n">
        <v>0</v>
      </c>
      <c r="K359" s="10" t="n">
        <f aca="false">G359+H359</f>
        <v>44</v>
      </c>
      <c r="L359" s="11" t="n">
        <f aca="false">IF(K359&gt;0,G359/K359,"")</f>
        <v>0.204545454545455</v>
      </c>
      <c r="M359" s="9" t="str">
        <f aca="false">IF(K359=0,"",IF(L359&lt;0.2,"Très masculine (&lt;20 % F)",IF(L359&lt;0.4,"Plutôt masculine (20-40 %)",IF(L359&lt;0.6,"Mixte (40-60 %)","À dominante féminine (≥60 %)"))))</f>
        <v>Plutôt masculine (20-40 %)</v>
      </c>
    </row>
    <row r="360" customFormat="false" ht="15" hidden="false" customHeight="false" outlineLevel="0" collapsed="false">
      <c r="A360" s="9" t="s">
        <v>939</v>
      </c>
      <c r="B360" s="9" t="s">
        <v>933</v>
      </c>
      <c r="C360" s="9" t="s">
        <v>363</v>
      </c>
      <c r="D360" s="9" t="s">
        <v>364</v>
      </c>
      <c r="E360" s="9" t="s">
        <v>140</v>
      </c>
      <c r="F360" s="9" t="s">
        <v>197</v>
      </c>
      <c r="G360" s="10" t="n">
        <v>33</v>
      </c>
      <c r="H360" s="10" t="n">
        <v>22</v>
      </c>
      <c r="I360" s="10" t="n">
        <v>6</v>
      </c>
      <c r="J360" s="10" t="n">
        <v>0</v>
      </c>
      <c r="K360" s="10" t="n">
        <f aca="false">G360+H360</f>
        <v>55</v>
      </c>
      <c r="L360" s="11" t="n">
        <f aca="false">IF(K360&gt;0,G360/K360,"")</f>
        <v>0.6</v>
      </c>
      <c r="M360" s="9" t="str">
        <f aca="false">IF(K360=0,"",IF(L360&lt;0.2,"Très masculine (&lt;20 % F)",IF(L360&lt;0.4,"Plutôt masculine (20-40 %)",IF(L360&lt;0.6,"Mixte (40-60 %)","À dominante féminine (≥60 %)"))))</f>
        <v>À dominante féminine (≥60 %)</v>
      </c>
    </row>
    <row r="361" customFormat="false" ht="15" hidden="false" customHeight="false" outlineLevel="0" collapsed="false">
      <c r="A361" s="9" t="s">
        <v>940</v>
      </c>
      <c r="B361" s="9" t="s">
        <v>941</v>
      </c>
      <c r="C361" s="9" t="s">
        <v>365</v>
      </c>
      <c r="D361" s="9" t="s">
        <v>366</v>
      </c>
      <c r="E361" s="9" t="s">
        <v>155</v>
      </c>
      <c r="F361" s="9" t="s">
        <v>197</v>
      </c>
      <c r="G361" s="10" t="n">
        <v>30</v>
      </c>
      <c r="H361" s="10" t="n">
        <v>1</v>
      </c>
      <c r="I361" s="10" t="n">
        <v>0</v>
      </c>
      <c r="J361" s="10" t="n">
        <v>0</v>
      </c>
      <c r="K361" s="10" t="n">
        <f aca="false">G361+H361</f>
        <v>31</v>
      </c>
      <c r="L361" s="11" t="n">
        <f aca="false">IF(K361&gt;0,G361/K361,"")</f>
        <v>0.967741935483871</v>
      </c>
      <c r="M361" s="9" t="str">
        <f aca="false">IF(K361=0,"",IF(L361&lt;0.2,"Très masculine (&lt;20 % F)",IF(L361&lt;0.4,"Plutôt masculine (20-40 %)",IF(L361&lt;0.6,"Mixte (40-60 %)","À dominante féminine (≥60 %)"))))</f>
        <v>À dominante féminine (≥60 %)</v>
      </c>
    </row>
    <row r="362" customFormat="false" ht="15" hidden="false" customHeight="false" outlineLevel="0" collapsed="false">
      <c r="A362" s="9" t="s">
        <v>942</v>
      </c>
      <c r="B362" s="9" t="s">
        <v>943</v>
      </c>
      <c r="C362" s="9" t="s">
        <v>367</v>
      </c>
      <c r="D362" s="9" t="s">
        <v>368</v>
      </c>
      <c r="E362" s="9" t="s">
        <v>140</v>
      </c>
      <c r="F362" s="9" t="s">
        <v>128</v>
      </c>
      <c r="G362" s="10" t="n">
        <v>4</v>
      </c>
      <c r="H362" s="10" t="n">
        <v>12</v>
      </c>
      <c r="I362" s="10" t="n">
        <v>4</v>
      </c>
      <c r="J362" s="10" t="n">
        <v>0</v>
      </c>
      <c r="K362" s="10" t="n">
        <f aca="false">G362+H362</f>
        <v>16</v>
      </c>
      <c r="L362" s="11" t="n">
        <f aca="false">IF(K362&gt;0,G362/K362,"")</f>
        <v>0.25</v>
      </c>
      <c r="M362" s="9" t="str">
        <f aca="false">IF(K362=0,"",IF(L362&lt;0.2,"Très masculine (&lt;20 % F)",IF(L362&lt;0.4,"Plutôt masculine (20-40 %)",IF(L362&lt;0.6,"Mixte (40-60 %)","À dominante féminine (≥60 %)"))))</f>
        <v>Plutôt masculine (20-40 %)</v>
      </c>
    </row>
    <row r="363" customFormat="false" ht="15" hidden="false" customHeight="false" outlineLevel="0" collapsed="false">
      <c r="A363" s="9" t="s">
        <v>944</v>
      </c>
      <c r="B363" s="9" t="s">
        <v>943</v>
      </c>
      <c r="C363" s="9" t="s">
        <v>367</v>
      </c>
      <c r="D363" s="9" t="s">
        <v>368</v>
      </c>
      <c r="E363" s="9" t="s">
        <v>140</v>
      </c>
      <c r="F363" s="9" t="s">
        <v>128</v>
      </c>
      <c r="G363" s="10" t="n">
        <v>47</v>
      </c>
      <c r="H363" s="10" t="n">
        <v>89</v>
      </c>
      <c r="I363" s="10" t="n">
        <v>17</v>
      </c>
      <c r="J363" s="10" t="n">
        <v>3</v>
      </c>
      <c r="K363" s="10" t="n">
        <f aca="false">G363+H363</f>
        <v>136</v>
      </c>
      <c r="L363" s="11" t="n">
        <f aca="false">IF(K363&gt;0,G363/K363,"")</f>
        <v>0.345588235294118</v>
      </c>
      <c r="M363" s="9" t="str">
        <f aca="false">IF(K363=0,"",IF(L363&lt;0.2,"Très masculine (&lt;20 % F)",IF(L363&lt;0.4,"Plutôt masculine (20-40 %)",IF(L363&lt;0.6,"Mixte (40-60 %)","À dominante féminine (≥60 %)"))))</f>
        <v>Plutôt masculine (20-40 %)</v>
      </c>
    </row>
    <row r="364" customFormat="false" ht="15" hidden="false" customHeight="false" outlineLevel="0" collapsed="false">
      <c r="A364" s="9" t="s">
        <v>945</v>
      </c>
      <c r="B364" s="9" t="s">
        <v>946</v>
      </c>
      <c r="C364" s="9" t="s">
        <v>371</v>
      </c>
      <c r="D364" s="9" t="s">
        <v>372</v>
      </c>
      <c r="E364" s="9" t="s">
        <v>200</v>
      </c>
      <c r="F364" s="9" t="s">
        <v>173</v>
      </c>
      <c r="G364" s="10" t="n">
        <v>10</v>
      </c>
      <c r="H364" s="10" t="n">
        <v>335</v>
      </c>
      <c r="I364" s="10" t="n">
        <v>44</v>
      </c>
      <c r="J364" s="10" t="n">
        <v>0</v>
      </c>
      <c r="K364" s="10" t="n">
        <f aca="false">G364+H364</f>
        <v>345</v>
      </c>
      <c r="L364" s="11" t="n">
        <f aca="false">IF(K364&gt;0,G364/K364,"")</f>
        <v>0.0289855072463768</v>
      </c>
      <c r="M364" s="9" t="str">
        <f aca="false">IF(K364=0,"",IF(L364&lt;0.2,"Très masculine (&lt;20 % F)",IF(L364&lt;0.4,"Plutôt masculine (20-40 %)",IF(L364&lt;0.6,"Mixte (40-60 %)","À dominante féminine (≥60 %)"))))</f>
        <v>Très masculine (&lt;20 % F)</v>
      </c>
    </row>
    <row r="365" customFormat="false" ht="15" hidden="false" customHeight="false" outlineLevel="0" collapsed="false">
      <c r="A365" s="9" t="s">
        <v>947</v>
      </c>
      <c r="B365" s="9" t="s">
        <v>946</v>
      </c>
      <c r="C365" s="9" t="s">
        <v>371</v>
      </c>
      <c r="D365" s="9" t="s">
        <v>372</v>
      </c>
      <c r="E365" s="9" t="s">
        <v>200</v>
      </c>
      <c r="F365" s="9" t="s">
        <v>173</v>
      </c>
      <c r="G365" s="10" t="n">
        <v>17</v>
      </c>
      <c r="H365" s="10" t="n">
        <v>26</v>
      </c>
      <c r="I365" s="10" t="n">
        <v>4</v>
      </c>
      <c r="J365" s="10" t="n">
        <v>1</v>
      </c>
      <c r="K365" s="10" t="n">
        <f aca="false">G365+H365</f>
        <v>43</v>
      </c>
      <c r="L365" s="11" t="n">
        <f aca="false">IF(K365&gt;0,G365/K365,"")</f>
        <v>0.395348837209302</v>
      </c>
      <c r="M365" s="9" t="str">
        <f aca="false">IF(K365=0,"",IF(L365&lt;0.2,"Très masculine (&lt;20 % F)",IF(L365&lt;0.4,"Plutôt masculine (20-40 %)",IF(L365&lt;0.6,"Mixte (40-60 %)","À dominante féminine (≥60 %)"))))</f>
        <v>Plutôt masculine (20-40 %)</v>
      </c>
    </row>
    <row r="366" customFormat="false" ht="15" hidden="false" customHeight="false" outlineLevel="0" collapsed="false">
      <c r="A366" s="9" t="s">
        <v>948</v>
      </c>
      <c r="B366" s="9" t="s">
        <v>949</v>
      </c>
      <c r="C366" s="9" t="s">
        <v>381</v>
      </c>
      <c r="D366" s="9" t="s">
        <v>382</v>
      </c>
      <c r="E366" s="9" t="s">
        <v>200</v>
      </c>
      <c r="F366" s="9" t="s">
        <v>173</v>
      </c>
      <c r="G366" s="10" t="n">
        <v>120</v>
      </c>
      <c r="H366" s="10" t="n">
        <v>124</v>
      </c>
      <c r="I366" s="10" t="n">
        <v>6</v>
      </c>
      <c r="J366" s="10" t="n">
        <v>1</v>
      </c>
      <c r="K366" s="10" t="n">
        <f aca="false">G366+H366</f>
        <v>244</v>
      </c>
      <c r="L366" s="11" t="n">
        <f aca="false">IF(K366&gt;0,G366/K366,"")</f>
        <v>0.491803278688525</v>
      </c>
      <c r="M366" s="9" t="str">
        <f aca="false">IF(K366=0,"",IF(L366&lt;0.2,"Très masculine (&lt;20 % F)",IF(L366&lt;0.4,"Plutôt masculine (20-40 %)",IF(L366&lt;0.6,"Mixte (40-60 %)","À dominante féminine (≥60 %)"))))</f>
        <v>Mixte (40-60 %)</v>
      </c>
    </row>
    <row r="367" customFormat="false" ht="15" hidden="false" customHeight="false" outlineLevel="0" collapsed="false">
      <c r="A367" s="9" t="s">
        <v>950</v>
      </c>
      <c r="B367" s="9" t="s">
        <v>949</v>
      </c>
      <c r="C367" s="9" t="s">
        <v>381</v>
      </c>
      <c r="D367" s="9" t="s">
        <v>382</v>
      </c>
      <c r="E367" s="9" t="s">
        <v>200</v>
      </c>
      <c r="F367" s="9" t="s">
        <v>173</v>
      </c>
      <c r="G367" s="10" t="n">
        <v>24</v>
      </c>
      <c r="H367" s="10" t="n">
        <v>41</v>
      </c>
      <c r="I367" s="10" t="n">
        <v>10</v>
      </c>
      <c r="J367" s="10" t="n">
        <v>0</v>
      </c>
      <c r="K367" s="10" t="n">
        <f aca="false">G367+H367</f>
        <v>65</v>
      </c>
      <c r="L367" s="11" t="n">
        <f aca="false">IF(K367&gt;0,G367/K367,"")</f>
        <v>0.369230769230769</v>
      </c>
      <c r="M367" s="9" t="str">
        <f aca="false">IF(K367=0,"",IF(L367&lt;0.2,"Très masculine (&lt;20 % F)",IF(L367&lt;0.4,"Plutôt masculine (20-40 %)",IF(L367&lt;0.6,"Mixte (40-60 %)","À dominante féminine (≥60 %)"))))</f>
        <v>Plutôt masculine (20-40 %)</v>
      </c>
    </row>
    <row r="368" customFormat="false" ht="15" hidden="false" customHeight="false" outlineLevel="0" collapsed="false">
      <c r="A368" s="9" t="s">
        <v>951</v>
      </c>
      <c r="B368" s="9" t="s">
        <v>949</v>
      </c>
      <c r="C368" s="9" t="s">
        <v>381</v>
      </c>
      <c r="D368" s="9" t="s">
        <v>382</v>
      </c>
      <c r="E368" s="9" t="s">
        <v>200</v>
      </c>
      <c r="F368" s="9" t="s">
        <v>173</v>
      </c>
      <c r="G368" s="10" t="n">
        <v>15</v>
      </c>
      <c r="H368" s="10" t="n">
        <v>152</v>
      </c>
      <c r="I368" s="10" t="n">
        <v>9</v>
      </c>
      <c r="J368" s="10" t="n">
        <v>0</v>
      </c>
      <c r="K368" s="10" t="n">
        <f aca="false">G368+H368</f>
        <v>167</v>
      </c>
      <c r="L368" s="11" t="n">
        <f aca="false">IF(K368&gt;0,G368/K368,"")</f>
        <v>0.0898203592814371</v>
      </c>
      <c r="M368" s="9" t="str">
        <f aca="false">IF(K368=0,"",IF(L368&lt;0.2,"Très masculine (&lt;20 % F)",IF(L368&lt;0.4,"Plutôt masculine (20-40 %)",IF(L368&lt;0.6,"Mixte (40-60 %)","À dominante féminine (≥60 %)"))))</f>
        <v>Très masculine (&lt;20 % F)</v>
      </c>
    </row>
    <row r="369" customFormat="false" ht="15" hidden="false" customHeight="false" outlineLevel="0" collapsed="false">
      <c r="A369" s="9" t="s">
        <v>952</v>
      </c>
      <c r="B369" s="9" t="s">
        <v>949</v>
      </c>
      <c r="C369" s="9" t="s">
        <v>381</v>
      </c>
      <c r="D369" s="9" t="s">
        <v>382</v>
      </c>
      <c r="E369" s="9" t="s">
        <v>200</v>
      </c>
      <c r="F369" s="9" t="s">
        <v>173</v>
      </c>
      <c r="G369" s="10" t="n">
        <v>23</v>
      </c>
      <c r="H369" s="10" t="n">
        <v>671</v>
      </c>
      <c r="I369" s="10" t="n">
        <v>68</v>
      </c>
      <c r="J369" s="10" t="n">
        <v>0</v>
      </c>
      <c r="K369" s="10" t="n">
        <f aca="false">G369+H369</f>
        <v>694</v>
      </c>
      <c r="L369" s="11" t="n">
        <f aca="false">IF(K369&gt;0,G369/K369,"")</f>
        <v>0.0331412103746398</v>
      </c>
      <c r="M369" s="9" t="str">
        <f aca="false">IF(K369=0,"",IF(L369&lt;0.2,"Très masculine (&lt;20 % F)",IF(L369&lt;0.4,"Plutôt masculine (20-40 %)",IF(L369&lt;0.6,"Mixte (40-60 %)","À dominante féminine (≥60 %)"))))</f>
        <v>Très masculine (&lt;20 % F)</v>
      </c>
    </row>
    <row r="370" customFormat="false" ht="15" hidden="false" customHeight="false" outlineLevel="0" collapsed="false">
      <c r="A370" s="9" t="s">
        <v>953</v>
      </c>
      <c r="B370" s="9" t="s">
        <v>949</v>
      </c>
      <c r="C370" s="9" t="s">
        <v>381</v>
      </c>
      <c r="D370" s="9" t="s">
        <v>382</v>
      </c>
      <c r="E370" s="9" t="s">
        <v>200</v>
      </c>
      <c r="F370" s="9" t="s">
        <v>173</v>
      </c>
      <c r="G370" s="10" t="n">
        <v>30</v>
      </c>
      <c r="H370" s="10" t="n">
        <v>17</v>
      </c>
      <c r="I370" s="10" t="n">
        <v>12</v>
      </c>
      <c r="J370" s="10" t="n">
        <v>0</v>
      </c>
      <c r="K370" s="10" t="n">
        <f aca="false">G370+H370</f>
        <v>47</v>
      </c>
      <c r="L370" s="11" t="n">
        <f aca="false">IF(K370&gt;0,G370/K370,"")</f>
        <v>0.638297872340426</v>
      </c>
      <c r="M370" s="9" t="str">
        <f aca="false">IF(K370=0,"",IF(L370&lt;0.2,"Très masculine (&lt;20 % F)",IF(L370&lt;0.4,"Plutôt masculine (20-40 %)",IF(L370&lt;0.6,"Mixte (40-60 %)","À dominante féminine (≥60 %)"))))</f>
        <v>À dominante féminine (≥60 %)</v>
      </c>
    </row>
    <row r="371" customFormat="false" ht="15" hidden="false" customHeight="false" outlineLevel="0" collapsed="false">
      <c r="A371" s="9" t="s">
        <v>954</v>
      </c>
      <c r="B371" s="9" t="s">
        <v>949</v>
      </c>
      <c r="C371" s="9" t="s">
        <v>381</v>
      </c>
      <c r="D371" s="9" t="s">
        <v>382</v>
      </c>
      <c r="E371" s="9" t="s">
        <v>200</v>
      </c>
      <c r="F371" s="9" t="s">
        <v>173</v>
      </c>
      <c r="G371" s="10" t="n">
        <v>65</v>
      </c>
      <c r="H371" s="10" t="n">
        <v>159</v>
      </c>
      <c r="I371" s="10" t="n">
        <v>6</v>
      </c>
      <c r="J371" s="10" t="n">
        <v>3</v>
      </c>
      <c r="K371" s="10" t="n">
        <f aca="false">G371+H371</f>
        <v>224</v>
      </c>
      <c r="L371" s="11" t="n">
        <f aca="false">IF(K371&gt;0,G371/K371,"")</f>
        <v>0.290178571428571</v>
      </c>
      <c r="M371" s="9" t="str">
        <f aca="false">IF(K371=0,"",IF(L371&lt;0.2,"Très masculine (&lt;20 % F)",IF(L371&lt;0.4,"Plutôt masculine (20-40 %)",IF(L371&lt;0.6,"Mixte (40-60 %)","À dominante féminine (≥60 %)"))))</f>
        <v>Plutôt masculine (20-40 %)</v>
      </c>
    </row>
    <row r="372" customFormat="false" ht="15" hidden="false" customHeight="false" outlineLevel="0" collapsed="false">
      <c r="A372" s="9" t="s">
        <v>955</v>
      </c>
      <c r="B372" s="9" t="s">
        <v>956</v>
      </c>
      <c r="C372" s="9" t="s">
        <v>383</v>
      </c>
      <c r="D372" s="9" t="s">
        <v>384</v>
      </c>
      <c r="E372" s="9" t="s">
        <v>155</v>
      </c>
      <c r="F372" s="9" t="s">
        <v>197</v>
      </c>
      <c r="G372" s="10" t="n">
        <v>559</v>
      </c>
      <c r="H372" s="10" t="n">
        <v>212</v>
      </c>
      <c r="I372" s="10" t="n">
        <v>11</v>
      </c>
      <c r="J372" s="10" t="n">
        <v>5</v>
      </c>
      <c r="K372" s="10" t="n">
        <f aca="false">G372+H372</f>
        <v>771</v>
      </c>
      <c r="L372" s="11" t="n">
        <f aca="false">IF(K372&gt;0,G372/K372,"")</f>
        <v>0.725032425421531</v>
      </c>
      <c r="M372" s="9" t="str">
        <f aca="false">IF(K372=0,"",IF(L372&lt;0.2,"Très masculine (&lt;20 % F)",IF(L372&lt;0.4,"Plutôt masculine (20-40 %)",IF(L372&lt;0.6,"Mixte (40-60 %)","À dominante féminine (≥60 %)"))))</f>
        <v>À dominante féminine (≥60 %)</v>
      </c>
    </row>
    <row r="373" customFormat="false" ht="15" hidden="false" customHeight="false" outlineLevel="0" collapsed="false">
      <c r="A373" s="9" t="s">
        <v>957</v>
      </c>
      <c r="B373" s="9" t="s">
        <v>956</v>
      </c>
      <c r="C373" s="9" t="s">
        <v>383</v>
      </c>
      <c r="D373" s="9" t="s">
        <v>384</v>
      </c>
      <c r="E373" s="9" t="s">
        <v>155</v>
      </c>
      <c r="F373" s="9" t="s">
        <v>197</v>
      </c>
      <c r="G373" s="10" t="n">
        <v>4</v>
      </c>
      <c r="H373" s="10" t="n">
        <v>65</v>
      </c>
      <c r="I373" s="10" t="n">
        <v>12</v>
      </c>
      <c r="J373" s="10" t="n">
        <v>0</v>
      </c>
      <c r="K373" s="10" t="n">
        <f aca="false">G373+H373</f>
        <v>69</v>
      </c>
      <c r="L373" s="11" t="n">
        <f aca="false">IF(K373&gt;0,G373/K373,"")</f>
        <v>0.0579710144927536</v>
      </c>
      <c r="M373" s="9" t="str">
        <f aca="false">IF(K373=0,"",IF(L373&lt;0.2,"Très masculine (&lt;20 % F)",IF(L373&lt;0.4,"Plutôt masculine (20-40 %)",IF(L373&lt;0.6,"Mixte (40-60 %)","À dominante féminine (≥60 %)"))))</f>
        <v>Très masculine (&lt;20 % F)</v>
      </c>
    </row>
    <row r="374" customFormat="false" ht="15" hidden="false" customHeight="false" outlineLevel="0" collapsed="false">
      <c r="A374" s="9" t="s">
        <v>958</v>
      </c>
      <c r="B374" s="9" t="s">
        <v>959</v>
      </c>
      <c r="C374" s="9" t="s">
        <v>385</v>
      </c>
      <c r="D374" s="9" t="s">
        <v>386</v>
      </c>
      <c r="E374" s="9" t="s">
        <v>155</v>
      </c>
      <c r="F374" s="9" t="s">
        <v>156</v>
      </c>
      <c r="G374" s="10" t="n">
        <v>15</v>
      </c>
      <c r="H374" s="10" t="n">
        <v>153</v>
      </c>
      <c r="I374" s="10" t="n">
        <v>14</v>
      </c>
      <c r="J374" s="10" t="n">
        <v>0</v>
      </c>
      <c r="K374" s="10" t="n">
        <f aca="false">G374+H374</f>
        <v>168</v>
      </c>
      <c r="L374" s="11" t="n">
        <f aca="false">IF(K374&gt;0,G374/K374,"")</f>
        <v>0.0892857142857143</v>
      </c>
      <c r="M374" s="9" t="str">
        <f aca="false">IF(K374=0,"",IF(L374&lt;0.2,"Très masculine (&lt;20 % F)",IF(L374&lt;0.4,"Plutôt masculine (20-40 %)",IF(L374&lt;0.6,"Mixte (40-60 %)","À dominante féminine (≥60 %)"))))</f>
        <v>Très masculine (&lt;20 % F)</v>
      </c>
    </row>
    <row r="375" customFormat="false" ht="15" hidden="false" customHeight="false" outlineLevel="0" collapsed="false">
      <c r="A375" s="9" t="s">
        <v>960</v>
      </c>
      <c r="B375" s="9" t="s">
        <v>959</v>
      </c>
      <c r="C375" s="9" t="s">
        <v>385</v>
      </c>
      <c r="D375" s="9" t="s">
        <v>386</v>
      </c>
      <c r="E375" s="9" t="s">
        <v>155</v>
      </c>
      <c r="F375" s="9" t="s">
        <v>156</v>
      </c>
      <c r="G375" s="10" t="n">
        <v>77</v>
      </c>
      <c r="H375" s="10" t="n">
        <v>205</v>
      </c>
      <c r="I375" s="10" t="n">
        <v>31</v>
      </c>
      <c r="J375" s="10" t="n">
        <v>0</v>
      </c>
      <c r="K375" s="10" t="n">
        <f aca="false">G375+H375</f>
        <v>282</v>
      </c>
      <c r="L375" s="11" t="n">
        <f aca="false">IF(K375&gt;0,G375/K375,"")</f>
        <v>0.273049645390071</v>
      </c>
      <c r="M375" s="9" t="str">
        <f aca="false">IF(K375=0,"",IF(L375&lt;0.2,"Très masculine (&lt;20 % F)",IF(L375&lt;0.4,"Plutôt masculine (20-40 %)",IF(L375&lt;0.6,"Mixte (40-60 %)","À dominante féminine (≥60 %)"))))</f>
        <v>Plutôt masculine (20-40 %)</v>
      </c>
    </row>
    <row r="376" customFormat="false" ht="15" hidden="false" customHeight="false" outlineLevel="0" collapsed="false">
      <c r="A376" s="9" t="s">
        <v>961</v>
      </c>
      <c r="B376" s="9" t="s">
        <v>959</v>
      </c>
      <c r="C376" s="9" t="s">
        <v>385</v>
      </c>
      <c r="D376" s="9" t="s">
        <v>386</v>
      </c>
      <c r="E376" s="9" t="s">
        <v>155</v>
      </c>
      <c r="F376" s="9" t="s">
        <v>156</v>
      </c>
      <c r="G376" s="10" t="n">
        <v>3</v>
      </c>
      <c r="H376" s="10" t="n">
        <v>81</v>
      </c>
      <c r="I376" s="10" t="n">
        <v>11</v>
      </c>
      <c r="J376" s="10" t="n">
        <v>0</v>
      </c>
      <c r="K376" s="10" t="n">
        <f aca="false">G376+H376</f>
        <v>84</v>
      </c>
      <c r="L376" s="11" t="n">
        <f aca="false">IF(K376&gt;0,G376/K376,"")</f>
        <v>0.0357142857142857</v>
      </c>
      <c r="M376" s="9" t="str">
        <f aca="false">IF(K376=0,"",IF(L376&lt;0.2,"Très masculine (&lt;20 % F)",IF(L376&lt;0.4,"Plutôt masculine (20-40 %)",IF(L376&lt;0.6,"Mixte (40-60 %)","À dominante féminine (≥60 %)"))))</f>
        <v>Très masculine (&lt;20 % F)</v>
      </c>
    </row>
    <row r="377" customFormat="false" ht="15" hidden="false" customHeight="false" outlineLevel="0" collapsed="false">
      <c r="A377" s="9" t="s">
        <v>962</v>
      </c>
      <c r="B377" s="9" t="s">
        <v>959</v>
      </c>
      <c r="C377" s="9" t="s">
        <v>385</v>
      </c>
      <c r="D377" s="9" t="s">
        <v>386</v>
      </c>
      <c r="E377" s="9" t="s">
        <v>155</v>
      </c>
      <c r="F377" s="9" t="s">
        <v>156</v>
      </c>
      <c r="G377" s="10" t="n">
        <v>77</v>
      </c>
      <c r="H377" s="10" t="n">
        <v>154</v>
      </c>
      <c r="I377" s="10" t="n">
        <v>23</v>
      </c>
      <c r="J377" s="10" t="n">
        <v>0</v>
      </c>
      <c r="K377" s="10" t="n">
        <f aca="false">G377+H377</f>
        <v>231</v>
      </c>
      <c r="L377" s="11" t="n">
        <f aca="false">IF(K377&gt;0,G377/K377,"")</f>
        <v>0.333333333333333</v>
      </c>
      <c r="M377" s="9" t="str">
        <f aca="false">IF(K377=0,"",IF(L377&lt;0.2,"Très masculine (&lt;20 % F)",IF(L377&lt;0.4,"Plutôt masculine (20-40 %)",IF(L377&lt;0.6,"Mixte (40-60 %)","À dominante féminine (≥60 %)"))))</f>
        <v>Plutôt masculine (20-40 %)</v>
      </c>
    </row>
    <row r="378" customFormat="false" ht="15" hidden="false" customHeight="false" outlineLevel="0" collapsed="false">
      <c r="A378" s="9" t="s">
        <v>963</v>
      </c>
      <c r="B378" s="9" t="s">
        <v>959</v>
      </c>
      <c r="C378" s="9" t="s">
        <v>385</v>
      </c>
      <c r="D378" s="9" t="s">
        <v>386</v>
      </c>
      <c r="E378" s="9" t="s">
        <v>155</v>
      </c>
      <c r="F378" s="9" t="s">
        <v>156</v>
      </c>
      <c r="G378" s="10" t="n">
        <v>106</v>
      </c>
      <c r="H378" s="10" t="n">
        <v>119</v>
      </c>
      <c r="I378" s="10" t="n">
        <v>5</v>
      </c>
      <c r="J378" s="10" t="n">
        <v>0</v>
      </c>
      <c r="K378" s="10" t="n">
        <f aca="false">G378+H378</f>
        <v>225</v>
      </c>
      <c r="L378" s="11" t="n">
        <f aca="false">IF(K378&gt;0,G378/K378,"")</f>
        <v>0.471111111111111</v>
      </c>
      <c r="M378" s="9" t="str">
        <f aca="false">IF(K378=0,"",IF(L378&lt;0.2,"Très masculine (&lt;20 % F)",IF(L378&lt;0.4,"Plutôt masculine (20-40 %)",IF(L378&lt;0.6,"Mixte (40-60 %)","À dominante féminine (≥60 %)"))))</f>
        <v>Mixte (40-60 %)</v>
      </c>
    </row>
    <row r="379" customFormat="false" ht="15" hidden="false" customHeight="false" outlineLevel="0" collapsed="false">
      <c r="A379" s="9" t="s">
        <v>964</v>
      </c>
      <c r="B379" s="9" t="s">
        <v>959</v>
      </c>
      <c r="C379" s="9" t="s">
        <v>385</v>
      </c>
      <c r="D379" s="9" t="s">
        <v>386</v>
      </c>
      <c r="E379" s="9" t="s">
        <v>155</v>
      </c>
      <c r="F379" s="9" t="s">
        <v>156</v>
      </c>
      <c r="G379" s="10" t="n">
        <v>34</v>
      </c>
      <c r="H379" s="10" t="n">
        <v>15</v>
      </c>
      <c r="I379" s="10" t="n">
        <v>10</v>
      </c>
      <c r="J379" s="10" t="n">
        <v>0</v>
      </c>
      <c r="K379" s="10" t="n">
        <f aca="false">G379+H379</f>
        <v>49</v>
      </c>
      <c r="L379" s="11" t="n">
        <f aca="false">IF(K379&gt;0,G379/K379,"")</f>
        <v>0.693877551020408</v>
      </c>
      <c r="M379" s="9" t="str">
        <f aca="false">IF(K379=0,"",IF(L379&lt;0.2,"Très masculine (&lt;20 % F)",IF(L379&lt;0.4,"Plutôt masculine (20-40 %)",IF(L379&lt;0.6,"Mixte (40-60 %)","À dominante féminine (≥60 %)"))))</f>
        <v>À dominante féminine (≥60 %)</v>
      </c>
    </row>
    <row r="380" customFormat="false" ht="15" hidden="false" customHeight="false" outlineLevel="0" collapsed="false">
      <c r="A380" s="9" t="s">
        <v>758</v>
      </c>
      <c r="B380" s="9" t="s">
        <v>959</v>
      </c>
      <c r="C380" s="9" t="s">
        <v>385</v>
      </c>
      <c r="D380" s="9" t="s">
        <v>386</v>
      </c>
      <c r="E380" s="9" t="s">
        <v>155</v>
      </c>
      <c r="F380" s="9" t="s">
        <v>156</v>
      </c>
      <c r="G380" s="10" t="n">
        <v>3</v>
      </c>
      <c r="H380" s="10" t="n">
        <v>31</v>
      </c>
      <c r="I380" s="10" t="n">
        <v>34</v>
      </c>
      <c r="J380" s="10" t="n">
        <v>0</v>
      </c>
      <c r="K380" s="10" t="n">
        <f aca="false">G380+H380</f>
        <v>34</v>
      </c>
      <c r="L380" s="11" t="n">
        <f aca="false">IF(K380&gt;0,G380/K380,"")</f>
        <v>0.0882352941176471</v>
      </c>
      <c r="M380" s="9" t="str">
        <f aca="false">IF(K380=0,"",IF(L380&lt;0.2,"Très masculine (&lt;20 % F)",IF(L380&lt;0.4,"Plutôt masculine (20-40 %)",IF(L380&lt;0.6,"Mixte (40-60 %)","À dominante féminine (≥60 %)"))))</f>
        <v>Très masculine (&lt;20 % F)</v>
      </c>
    </row>
    <row r="381" customFormat="false" ht="15" hidden="false" customHeight="false" outlineLevel="0" collapsed="false">
      <c r="A381" s="9" t="s">
        <v>965</v>
      </c>
      <c r="B381" s="9" t="s">
        <v>959</v>
      </c>
      <c r="C381" s="9" t="s">
        <v>385</v>
      </c>
      <c r="D381" s="9" t="s">
        <v>386</v>
      </c>
      <c r="E381" s="9" t="s">
        <v>155</v>
      </c>
      <c r="F381" s="9" t="s">
        <v>156</v>
      </c>
      <c r="G381" s="10" t="n">
        <v>19</v>
      </c>
      <c r="H381" s="10" t="n">
        <v>11</v>
      </c>
      <c r="I381" s="10" t="n">
        <v>15</v>
      </c>
      <c r="J381" s="10" t="n">
        <v>0</v>
      </c>
      <c r="K381" s="10" t="n">
        <f aca="false">G381+H381</f>
        <v>30</v>
      </c>
      <c r="L381" s="11" t="n">
        <f aca="false">IF(K381&gt;0,G381/K381,"")</f>
        <v>0.633333333333333</v>
      </c>
      <c r="M381" s="9" t="str">
        <f aca="false">IF(K381=0,"",IF(L381&lt;0.2,"Très masculine (&lt;20 % F)",IF(L381&lt;0.4,"Plutôt masculine (20-40 %)",IF(L381&lt;0.6,"Mixte (40-60 %)","À dominante féminine (≥60 %)"))))</f>
        <v>À dominante féminine (≥60 %)</v>
      </c>
    </row>
    <row r="382" customFormat="false" ht="15" hidden="false" customHeight="false" outlineLevel="0" collapsed="false">
      <c r="A382" s="9" t="s">
        <v>966</v>
      </c>
      <c r="B382" s="9" t="s">
        <v>967</v>
      </c>
      <c r="C382" s="9" t="s">
        <v>387</v>
      </c>
      <c r="D382" s="9" t="s">
        <v>388</v>
      </c>
      <c r="E382" s="9" t="s">
        <v>151</v>
      </c>
      <c r="F382" s="9" t="s">
        <v>152</v>
      </c>
      <c r="G382" s="10" t="n">
        <v>17</v>
      </c>
      <c r="H382" s="10" t="n">
        <v>119</v>
      </c>
      <c r="I382" s="10" t="n">
        <v>9</v>
      </c>
      <c r="J382" s="10" t="n">
        <v>0</v>
      </c>
      <c r="K382" s="10" t="n">
        <f aca="false">G382+H382</f>
        <v>136</v>
      </c>
      <c r="L382" s="11" t="n">
        <f aca="false">IF(K382&gt;0,G382/K382,"")</f>
        <v>0.125</v>
      </c>
      <c r="M382" s="9" t="str">
        <f aca="false">IF(K382=0,"",IF(L382&lt;0.2,"Très masculine (&lt;20 % F)",IF(L382&lt;0.4,"Plutôt masculine (20-40 %)",IF(L382&lt;0.6,"Mixte (40-60 %)","À dominante féminine (≥60 %)"))))</f>
        <v>Très masculine (&lt;20 % F)</v>
      </c>
    </row>
    <row r="383" customFormat="false" ht="15" hidden="false" customHeight="false" outlineLevel="0" collapsed="false">
      <c r="A383" s="9" t="s">
        <v>968</v>
      </c>
      <c r="B383" s="9" t="s">
        <v>967</v>
      </c>
      <c r="C383" s="9" t="s">
        <v>387</v>
      </c>
      <c r="D383" s="9" t="s">
        <v>388</v>
      </c>
      <c r="E383" s="9" t="s">
        <v>151</v>
      </c>
      <c r="F383" s="9" t="s">
        <v>152</v>
      </c>
      <c r="G383" s="10" t="n">
        <v>280</v>
      </c>
      <c r="H383" s="10" t="n">
        <v>334</v>
      </c>
      <c r="I383" s="10" t="n">
        <v>30</v>
      </c>
      <c r="J383" s="10" t="n">
        <v>7</v>
      </c>
      <c r="K383" s="10" t="n">
        <f aca="false">G383+H383</f>
        <v>614</v>
      </c>
      <c r="L383" s="11" t="n">
        <f aca="false">IF(K383&gt;0,G383/K383,"")</f>
        <v>0.456026058631922</v>
      </c>
      <c r="M383" s="9" t="str">
        <f aca="false">IF(K383=0,"",IF(L383&lt;0.2,"Très masculine (&lt;20 % F)",IF(L383&lt;0.4,"Plutôt masculine (20-40 %)",IF(L383&lt;0.6,"Mixte (40-60 %)","À dominante féminine (≥60 %)"))))</f>
        <v>Mixte (40-60 %)</v>
      </c>
    </row>
    <row r="384" customFormat="false" ht="15" hidden="false" customHeight="false" outlineLevel="0" collapsed="false">
      <c r="A384" s="9" t="s">
        <v>969</v>
      </c>
      <c r="B384" s="9" t="s">
        <v>967</v>
      </c>
      <c r="C384" s="9" t="s">
        <v>387</v>
      </c>
      <c r="D384" s="9" t="s">
        <v>388</v>
      </c>
      <c r="E384" s="9" t="s">
        <v>151</v>
      </c>
      <c r="F384" s="9" t="s">
        <v>152</v>
      </c>
      <c r="G384" s="10" t="n">
        <v>60</v>
      </c>
      <c r="H384" s="10" t="n">
        <v>39</v>
      </c>
      <c r="I384" s="10" t="n">
        <v>14</v>
      </c>
      <c r="J384" s="10" t="n">
        <v>0</v>
      </c>
      <c r="K384" s="10" t="n">
        <f aca="false">G384+H384</f>
        <v>99</v>
      </c>
      <c r="L384" s="11" t="n">
        <f aca="false">IF(K384&gt;0,G384/K384,"")</f>
        <v>0.606060606060606</v>
      </c>
      <c r="M384" s="9" t="str">
        <f aca="false">IF(K384=0,"",IF(L384&lt;0.2,"Très masculine (&lt;20 % F)",IF(L384&lt;0.4,"Plutôt masculine (20-40 %)",IF(L384&lt;0.6,"Mixte (40-60 %)","À dominante féminine (≥60 %)"))))</f>
        <v>À dominante féminine (≥60 %)</v>
      </c>
    </row>
    <row r="385" customFormat="false" ht="15" hidden="false" customHeight="false" outlineLevel="0" collapsed="false">
      <c r="A385" s="9" t="s">
        <v>970</v>
      </c>
      <c r="B385" s="9" t="s">
        <v>967</v>
      </c>
      <c r="C385" s="9" t="s">
        <v>387</v>
      </c>
      <c r="D385" s="9" t="s">
        <v>388</v>
      </c>
      <c r="E385" s="9" t="s">
        <v>151</v>
      </c>
      <c r="F385" s="9" t="s">
        <v>152</v>
      </c>
      <c r="G385" s="10" t="n">
        <v>83</v>
      </c>
      <c r="H385" s="10" t="n">
        <v>59</v>
      </c>
      <c r="I385" s="10" t="n">
        <v>6</v>
      </c>
      <c r="J385" s="10" t="n">
        <v>1</v>
      </c>
      <c r="K385" s="10" t="n">
        <f aca="false">G385+H385</f>
        <v>142</v>
      </c>
      <c r="L385" s="11" t="n">
        <f aca="false">IF(K385&gt;0,G385/K385,"")</f>
        <v>0.584507042253521</v>
      </c>
      <c r="M385" s="9" t="str">
        <f aca="false">IF(K385=0,"",IF(L385&lt;0.2,"Très masculine (&lt;20 % F)",IF(L385&lt;0.4,"Plutôt masculine (20-40 %)",IF(L385&lt;0.6,"Mixte (40-60 %)","À dominante féminine (≥60 %)"))))</f>
        <v>Mixte (40-60 %)</v>
      </c>
    </row>
    <row r="386" customFormat="false" ht="15" hidden="false" customHeight="false" outlineLevel="0" collapsed="false">
      <c r="A386" s="9" t="s">
        <v>971</v>
      </c>
      <c r="B386" s="9" t="s">
        <v>972</v>
      </c>
      <c r="C386" s="9" t="s">
        <v>391</v>
      </c>
      <c r="D386" s="9" t="s">
        <v>100</v>
      </c>
      <c r="E386" s="9" t="s">
        <v>100</v>
      </c>
      <c r="F386" s="9" t="s">
        <v>173</v>
      </c>
      <c r="G386" s="10" t="n">
        <v>598</v>
      </c>
      <c r="H386" s="10" t="n">
        <v>43</v>
      </c>
      <c r="I386" s="10" t="n">
        <v>14</v>
      </c>
      <c r="J386" s="10" t="n">
        <v>10</v>
      </c>
      <c r="K386" s="10" t="n">
        <f aca="false">G386+H386</f>
        <v>641</v>
      </c>
      <c r="L386" s="11" t="n">
        <f aca="false">IF(K386&gt;0,G386/K386,"")</f>
        <v>0.932917316692668</v>
      </c>
      <c r="M386" s="9" t="str">
        <f aca="false">IF(K386=0,"",IF(L386&lt;0.2,"Très masculine (&lt;20 % F)",IF(L386&lt;0.4,"Plutôt masculine (20-40 %)",IF(L386&lt;0.6,"Mixte (40-60 %)","À dominante féminine (≥60 %)"))))</f>
        <v>À dominante féminine (≥60 %)</v>
      </c>
    </row>
    <row r="387" customFormat="false" ht="15" hidden="false" customHeight="false" outlineLevel="0" collapsed="false">
      <c r="A387" s="9" t="s">
        <v>973</v>
      </c>
      <c r="B387" s="9" t="s">
        <v>972</v>
      </c>
      <c r="C387" s="9" t="s">
        <v>391</v>
      </c>
      <c r="D387" s="9" t="s">
        <v>100</v>
      </c>
      <c r="E387" s="9" t="s">
        <v>100</v>
      </c>
      <c r="F387" s="9" t="s">
        <v>173</v>
      </c>
      <c r="G387" s="10" t="n">
        <v>92</v>
      </c>
      <c r="H387" s="10" t="n">
        <v>168</v>
      </c>
      <c r="I387" s="10" t="n">
        <v>8</v>
      </c>
      <c r="J387" s="10" t="n">
        <v>2</v>
      </c>
      <c r="K387" s="10" t="n">
        <f aca="false">G387+H387</f>
        <v>260</v>
      </c>
      <c r="L387" s="11" t="n">
        <f aca="false">IF(K387&gt;0,G387/K387,"")</f>
        <v>0.353846153846154</v>
      </c>
      <c r="M387" s="9" t="str">
        <f aca="false">IF(K387=0,"",IF(L387&lt;0.2,"Très masculine (&lt;20 % F)",IF(L387&lt;0.4,"Plutôt masculine (20-40 %)",IF(L387&lt;0.6,"Mixte (40-60 %)","À dominante féminine (≥60 %)"))))</f>
        <v>Plutôt masculine (20-40 %)</v>
      </c>
    </row>
    <row r="388" customFormat="false" ht="15" hidden="false" customHeight="false" outlineLevel="0" collapsed="false">
      <c r="A388" s="9" t="s">
        <v>974</v>
      </c>
      <c r="B388" s="9" t="s">
        <v>972</v>
      </c>
      <c r="C388" s="9" t="s">
        <v>391</v>
      </c>
      <c r="D388" s="9" t="s">
        <v>100</v>
      </c>
      <c r="E388" s="9" t="s">
        <v>100</v>
      </c>
      <c r="F388" s="9" t="s">
        <v>173</v>
      </c>
      <c r="G388" s="10" t="n">
        <v>52</v>
      </c>
      <c r="H388" s="10" t="n">
        <v>98</v>
      </c>
      <c r="I388" s="10" t="n">
        <v>40</v>
      </c>
      <c r="J388" s="10" t="n">
        <v>0</v>
      </c>
      <c r="K388" s="10" t="n">
        <f aca="false">G388+H388</f>
        <v>150</v>
      </c>
      <c r="L388" s="11" t="n">
        <f aca="false">IF(K388&gt;0,G388/K388,"")</f>
        <v>0.346666666666667</v>
      </c>
      <c r="M388" s="9" t="str">
        <f aca="false">IF(K388=0,"",IF(L388&lt;0.2,"Très masculine (&lt;20 % F)",IF(L388&lt;0.4,"Plutôt masculine (20-40 %)",IF(L388&lt;0.6,"Mixte (40-60 %)","À dominante féminine (≥60 %)"))))</f>
        <v>Plutôt masculine (20-40 %)</v>
      </c>
    </row>
    <row r="389" customFormat="false" ht="15" hidden="false" customHeight="false" outlineLevel="0" collapsed="false">
      <c r="A389" s="9" t="s">
        <v>975</v>
      </c>
      <c r="B389" s="9" t="s">
        <v>972</v>
      </c>
      <c r="C389" s="9" t="s">
        <v>391</v>
      </c>
      <c r="D389" s="9" t="s">
        <v>100</v>
      </c>
      <c r="E389" s="9" t="s">
        <v>100</v>
      </c>
      <c r="F389" s="9" t="s">
        <v>173</v>
      </c>
      <c r="G389" s="10" t="n">
        <v>26</v>
      </c>
      <c r="H389" s="10" t="n">
        <v>29</v>
      </c>
      <c r="I389" s="10" t="n">
        <v>4</v>
      </c>
      <c r="J389" s="10" t="n">
        <v>0</v>
      </c>
      <c r="K389" s="10" t="n">
        <f aca="false">G389+H389</f>
        <v>55</v>
      </c>
      <c r="L389" s="11" t="n">
        <f aca="false">IF(K389&gt;0,G389/K389,"")</f>
        <v>0.472727272727273</v>
      </c>
      <c r="M389" s="9" t="str">
        <f aca="false">IF(K389=0,"",IF(L389&lt;0.2,"Très masculine (&lt;20 % F)",IF(L389&lt;0.4,"Plutôt masculine (20-40 %)",IF(L389&lt;0.6,"Mixte (40-60 %)","À dominante féminine (≥60 %)"))))</f>
        <v>Mixte (40-60 %)</v>
      </c>
    </row>
    <row r="390" customFormat="false" ht="15" hidden="false" customHeight="false" outlineLevel="0" collapsed="false">
      <c r="A390" s="9" t="s">
        <v>976</v>
      </c>
      <c r="B390" s="9" t="s">
        <v>972</v>
      </c>
      <c r="C390" s="9" t="s">
        <v>391</v>
      </c>
      <c r="D390" s="9" t="s">
        <v>100</v>
      </c>
      <c r="E390" s="9" t="s">
        <v>100</v>
      </c>
      <c r="F390" s="9" t="s">
        <v>173</v>
      </c>
      <c r="G390" s="10" t="n">
        <v>144</v>
      </c>
      <c r="H390" s="10" t="n">
        <v>136</v>
      </c>
      <c r="I390" s="10" t="n">
        <v>20</v>
      </c>
      <c r="J390" s="10" t="n">
        <v>0</v>
      </c>
      <c r="K390" s="10" t="n">
        <f aca="false">G390+H390</f>
        <v>280</v>
      </c>
      <c r="L390" s="11" t="n">
        <f aca="false">IF(K390&gt;0,G390/K390,"")</f>
        <v>0.514285714285714</v>
      </c>
      <c r="M390" s="9" t="str">
        <f aca="false">IF(K390=0,"",IF(L390&lt;0.2,"Très masculine (&lt;20 % F)",IF(L390&lt;0.4,"Plutôt masculine (20-40 %)",IF(L390&lt;0.6,"Mixte (40-60 %)","À dominante féminine (≥60 %)"))))</f>
        <v>Mixte (40-60 %)</v>
      </c>
    </row>
    <row r="391" customFormat="false" ht="15" hidden="false" customHeight="false" outlineLevel="0" collapsed="false">
      <c r="A391" s="9" t="s">
        <v>977</v>
      </c>
      <c r="B391" s="9" t="s">
        <v>972</v>
      </c>
      <c r="C391" s="9" t="s">
        <v>391</v>
      </c>
      <c r="D391" s="9" t="s">
        <v>100</v>
      </c>
      <c r="E391" s="9" t="s">
        <v>100</v>
      </c>
      <c r="F391" s="9" t="s">
        <v>173</v>
      </c>
      <c r="G391" s="10" t="n">
        <v>515</v>
      </c>
      <c r="H391" s="10" t="n">
        <v>14</v>
      </c>
      <c r="I391" s="10" t="n">
        <v>8</v>
      </c>
      <c r="J391" s="10" t="n">
        <v>18</v>
      </c>
      <c r="K391" s="10" t="n">
        <f aca="false">G391+H391</f>
        <v>529</v>
      </c>
      <c r="L391" s="11" t="n">
        <f aca="false">IF(K391&gt;0,G391/K391,"")</f>
        <v>0.973534971644612</v>
      </c>
      <c r="M391" s="9" t="str">
        <f aca="false">IF(K391=0,"",IF(L391&lt;0.2,"Très masculine (&lt;20 % F)",IF(L391&lt;0.4,"Plutôt masculine (20-40 %)",IF(L391&lt;0.6,"Mixte (40-60 %)","À dominante féminine (≥60 %)"))))</f>
        <v>À dominante féminine (≥60 %)</v>
      </c>
    </row>
    <row r="392" customFormat="false" ht="15" hidden="false" customHeight="false" outlineLevel="0" collapsed="false">
      <c r="A392" s="9" t="s">
        <v>978</v>
      </c>
      <c r="B392" s="9" t="s">
        <v>972</v>
      </c>
      <c r="C392" s="9" t="s">
        <v>391</v>
      </c>
      <c r="D392" s="9" t="s">
        <v>100</v>
      </c>
      <c r="E392" s="9" t="s">
        <v>100</v>
      </c>
      <c r="F392" s="9" t="s">
        <v>173</v>
      </c>
      <c r="G392" s="10" t="n">
        <v>220</v>
      </c>
      <c r="H392" s="10" t="n">
        <v>560</v>
      </c>
      <c r="I392" s="10" t="n">
        <v>50</v>
      </c>
      <c r="J392" s="10" t="n">
        <v>14</v>
      </c>
      <c r="K392" s="10" t="n">
        <f aca="false">G392+H392</f>
        <v>780</v>
      </c>
      <c r="L392" s="11" t="n">
        <f aca="false">IF(K392&gt;0,G392/K392,"")</f>
        <v>0.282051282051282</v>
      </c>
      <c r="M392" s="9" t="str">
        <f aca="false">IF(K392=0,"",IF(L392&lt;0.2,"Très masculine (&lt;20 % F)",IF(L392&lt;0.4,"Plutôt masculine (20-40 %)",IF(L392&lt;0.6,"Mixte (40-60 %)","À dominante féminine (≥60 %)"))))</f>
        <v>Plutôt masculine (20-40 %)</v>
      </c>
    </row>
    <row r="393" customFormat="false" ht="15" hidden="false" customHeight="false" outlineLevel="0" collapsed="false">
      <c r="A393" s="9" t="s">
        <v>979</v>
      </c>
      <c r="B393" s="9" t="s">
        <v>972</v>
      </c>
      <c r="C393" s="9" t="s">
        <v>391</v>
      </c>
      <c r="D393" s="9" t="s">
        <v>100</v>
      </c>
      <c r="E393" s="9" t="s">
        <v>100</v>
      </c>
      <c r="F393" s="9" t="s">
        <v>173</v>
      </c>
      <c r="G393" s="10" t="n">
        <v>36</v>
      </c>
      <c r="H393" s="10" t="n">
        <v>158</v>
      </c>
      <c r="I393" s="10" t="n">
        <v>14</v>
      </c>
      <c r="J393" s="10" t="n">
        <v>3</v>
      </c>
      <c r="K393" s="10" t="n">
        <f aca="false">G393+H393</f>
        <v>194</v>
      </c>
      <c r="L393" s="11" t="n">
        <f aca="false">IF(K393&gt;0,G393/K393,"")</f>
        <v>0.185567010309278</v>
      </c>
      <c r="M393" s="9" t="str">
        <f aca="false">IF(K393=0,"",IF(L393&lt;0.2,"Très masculine (&lt;20 % F)",IF(L393&lt;0.4,"Plutôt masculine (20-40 %)",IF(L393&lt;0.6,"Mixte (40-60 %)","À dominante féminine (≥60 %)"))))</f>
        <v>Très masculine (&lt;20 % F)</v>
      </c>
    </row>
    <row r="394" customFormat="false" ht="15" hidden="false" customHeight="false" outlineLevel="0" collapsed="false">
      <c r="A394" s="9" t="s">
        <v>980</v>
      </c>
      <c r="B394" s="9" t="s">
        <v>972</v>
      </c>
      <c r="C394" s="9" t="s">
        <v>391</v>
      </c>
      <c r="D394" s="9" t="s">
        <v>100</v>
      </c>
      <c r="E394" s="9" t="s">
        <v>100</v>
      </c>
      <c r="F394" s="9" t="s">
        <v>173</v>
      </c>
      <c r="G394" s="10" t="n">
        <v>310</v>
      </c>
      <c r="H394" s="10" t="n">
        <v>1340</v>
      </c>
      <c r="I394" s="10" t="n">
        <v>220</v>
      </c>
      <c r="J394" s="10" t="n">
        <v>5</v>
      </c>
      <c r="K394" s="10" t="n">
        <f aca="false">G394+H394</f>
        <v>1650</v>
      </c>
      <c r="L394" s="11" t="n">
        <f aca="false">IF(K394&gt;0,G394/K394,"")</f>
        <v>0.187878787878788</v>
      </c>
      <c r="M394" s="9" t="str">
        <f aca="false">IF(K394=0,"",IF(L394&lt;0.2,"Très masculine (&lt;20 % F)",IF(L394&lt;0.4,"Plutôt masculine (20-40 %)",IF(L394&lt;0.6,"Mixte (40-60 %)","À dominante féminine (≥60 %)"))))</f>
        <v>Très masculine (&lt;20 % F)</v>
      </c>
    </row>
    <row r="395" customFormat="false" ht="15" hidden="false" customHeight="false" outlineLevel="0" collapsed="false">
      <c r="A395" s="9" t="s">
        <v>981</v>
      </c>
      <c r="B395" s="9" t="s">
        <v>972</v>
      </c>
      <c r="C395" s="9" t="s">
        <v>391</v>
      </c>
      <c r="D395" s="9" t="s">
        <v>100</v>
      </c>
      <c r="E395" s="9" t="s">
        <v>100</v>
      </c>
      <c r="F395" s="9" t="s">
        <v>173</v>
      </c>
      <c r="G395" s="10" t="n">
        <v>514</v>
      </c>
      <c r="H395" s="10" t="n">
        <v>555</v>
      </c>
      <c r="I395" s="10" t="n">
        <v>40</v>
      </c>
      <c r="J395" s="10" t="n">
        <v>13</v>
      </c>
      <c r="K395" s="10" t="n">
        <f aca="false">G395+H395</f>
        <v>1069</v>
      </c>
      <c r="L395" s="11" t="n">
        <f aca="false">IF(K395&gt;0,G395/K395,"")</f>
        <v>0.480823199251637</v>
      </c>
      <c r="M395" s="9" t="str">
        <f aca="false">IF(K395=0,"",IF(L395&lt;0.2,"Très masculine (&lt;20 % F)",IF(L395&lt;0.4,"Plutôt masculine (20-40 %)",IF(L395&lt;0.6,"Mixte (40-60 %)","À dominante féminine (≥60 %)"))))</f>
        <v>Mixte (40-60 %)</v>
      </c>
    </row>
    <row r="396" customFormat="false" ht="15" hidden="false" customHeight="false" outlineLevel="0" collapsed="false">
      <c r="A396" s="9" t="s">
        <v>982</v>
      </c>
      <c r="B396" s="9" t="s">
        <v>972</v>
      </c>
      <c r="C396" s="9" t="s">
        <v>391</v>
      </c>
      <c r="D396" s="9" t="s">
        <v>100</v>
      </c>
      <c r="E396" s="9" t="s">
        <v>100</v>
      </c>
      <c r="F396" s="9" t="s">
        <v>173</v>
      </c>
      <c r="G396" s="10" t="n">
        <v>55</v>
      </c>
      <c r="H396" s="10" t="n">
        <v>76</v>
      </c>
      <c r="I396" s="10" t="n">
        <v>30</v>
      </c>
      <c r="J396" s="10" t="n">
        <v>0</v>
      </c>
      <c r="K396" s="10" t="n">
        <f aca="false">G396+H396</f>
        <v>131</v>
      </c>
      <c r="L396" s="11" t="n">
        <f aca="false">IF(K396&gt;0,G396/K396,"")</f>
        <v>0.419847328244275</v>
      </c>
      <c r="M396" s="9" t="str">
        <f aca="false">IF(K396=0,"",IF(L396&lt;0.2,"Très masculine (&lt;20 % F)",IF(L396&lt;0.4,"Plutôt masculine (20-40 %)",IF(L396&lt;0.6,"Mixte (40-60 %)","À dominante féminine (≥60 %)"))))</f>
        <v>Mixte (40-60 %)</v>
      </c>
    </row>
    <row r="397" customFormat="false" ht="15" hidden="false" customHeight="false" outlineLevel="0" collapsed="false">
      <c r="A397" s="9" t="s">
        <v>983</v>
      </c>
      <c r="B397" s="9" t="s">
        <v>972</v>
      </c>
      <c r="C397" s="9" t="s">
        <v>391</v>
      </c>
      <c r="D397" s="9" t="s">
        <v>100</v>
      </c>
      <c r="E397" s="9" t="s">
        <v>100</v>
      </c>
      <c r="F397" s="9" t="s">
        <v>173</v>
      </c>
      <c r="G397" s="10" t="n">
        <v>15</v>
      </c>
      <c r="H397" s="10" t="n">
        <v>105</v>
      </c>
      <c r="I397" s="10" t="n">
        <v>20</v>
      </c>
      <c r="J397" s="10" t="n">
        <v>0</v>
      </c>
      <c r="K397" s="10" t="n">
        <f aca="false">G397+H397</f>
        <v>120</v>
      </c>
      <c r="L397" s="11" t="n">
        <f aca="false">IF(K397&gt;0,G397/K397,"")</f>
        <v>0.125</v>
      </c>
      <c r="M397" s="9" t="str">
        <f aca="false">IF(K397=0,"",IF(L397&lt;0.2,"Très masculine (&lt;20 % F)",IF(L397&lt;0.4,"Plutôt masculine (20-40 %)",IF(L397&lt;0.6,"Mixte (40-60 %)","À dominante féminine (≥60 %)"))))</f>
        <v>Très masculine (&lt;20 % F)</v>
      </c>
    </row>
    <row r="398" customFormat="false" ht="15" hidden="false" customHeight="false" outlineLevel="0" collapsed="false">
      <c r="A398" s="9" t="s">
        <v>984</v>
      </c>
      <c r="B398" s="9" t="s">
        <v>972</v>
      </c>
      <c r="C398" s="9" t="s">
        <v>391</v>
      </c>
      <c r="D398" s="9" t="s">
        <v>100</v>
      </c>
      <c r="E398" s="9" t="s">
        <v>100</v>
      </c>
      <c r="F398" s="9" t="s">
        <v>173</v>
      </c>
      <c r="G398" s="10" t="n">
        <v>19</v>
      </c>
      <c r="H398" s="10" t="n">
        <v>350</v>
      </c>
      <c r="I398" s="10" t="n">
        <v>21</v>
      </c>
      <c r="J398" s="10" t="n">
        <v>1</v>
      </c>
      <c r="K398" s="10" t="n">
        <f aca="false">G398+H398</f>
        <v>369</v>
      </c>
      <c r="L398" s="11" t="n">
        <f aca="false">IF(K398&gt;0,G398/K398,"")</f>
        <v>0.0514905149051491</v>
      </c>
      <c r="M398" s="9" t="str">
        <f aca="false">IF(K398=0,"",IF(L398&lt;0.2,"Très masculine (&lt;20 % F)",IF(L398&lt;0.4,"Plutôt masculine (20-40 %)",IF(L398&lt;0.6,"Mixte (40-60 %)","À dominante féminine (≥60 %)"))))</f>
        <v>Très masculine (&lt;20 % F)</v>
      </c>
    </row>
    <row r="399" customFormat="false" ht="15" hidden="false" customHeight="false" outlineLevel="0" collapsed="false">
      <c r="A399" s="9" t="s">
        <v>985</v>
      </c>
      <c r="B399" s="9" t="s">
        <v>972</v>
      </c>
      <c r="C399" s="9" t="s">
        <v>391</v>
      </c>
      <c r="D399" s="9" t="s">
        <v>100</v>
      </c>
      <c r="E399" s="9" t="s">
        <v>100</v>
      </c>
      <c r="F399" s="9" t="s">
        <v>173</v>
      </c>
      <c r="G399" s="10" t="n">
        <v>7</v>
      </c>
      <c r="H399" s="10" t="n">
        <v>2</v>
      </c>
      <c r="I399" s="10" t="n">
        <v>5</v>
      </c>
      <c r="J399" s="10" t="n">
        <v>0</v>
      </c>
      <c r="K399" s="10" t="n">
        <f aca="false">G399+H399</f>
        <v>9</v>
      </c>
      <c r="L399" s="11" t="n">
        <f aca="false">IF(K399&gt;0,G399/K399,"")</f>
        <v>0.777777777777778</v>
      </c>
      <c r="M399" s="9" t="str">
        <f aca="false">IF(K399=0,"",IF(L399&lt;0.2,"Très masculine (&lt;20 % F)",IF(L399&lt;0.4,"Plutôt masculine (20-40 %)",IF(L399&lt;0.6,"Mixte (40-60 %)","À dominante féminine (≥60 %)"))))</f>
        <v>À dominante féminine (≥60 %)</v>
      </c>
    </row>
    <row r="400" customFormat="false" ht="15" hidden="false" customHeight="false" outlineLevel="0" collapsed="false">
      <c r="A400" s="9" t="s">
        <v>986</v>
      </c>
      <c r="B400" s="9" t="s">
        <v>972</v>
      </c>
      <c r="C400" s="9" t="s">
        <v>391</v>
      </c>
      <c r="D400" s="9" t="s">
        <v>100</v>
      </c>
      <c r="E400" s="9" t="s">
        <v>100</v>
      </c>
      <c r="F400" s="9" t="s">
        <v>173</v>
      </c>
      <c r="G400" s="10" t="n">
        <v>369</v>
      </c>
      <c r="H400" s="10" t="n">
        <v>44</v>
      </c>
      <c r="I400" s="10" t="n">
        <v>14</v>
      </c>
      <c r="J400" s="10" t="n">
        <v>3</v>
      </c>
      <c r="K400" s="10" t="n">
        <f aca="false">G400+H400</f>
        <v>413</v>
      </c>
      <c r="L400" s="11" t="n">
        <f aca="false">IF(K400&gt;0,G400/K400,"")</f>
        <v>0.893462469733656</v>
      </c>
      <c r="M400" s="9" t="str">
        <f aca="false">IF(K400=0,"",IF(L400&lt;0.2,"Très masculine (&lt;20 % F)",IF(L400&lt;0.4,"Plutôt masculine (20-40 %)",IF(L400&lt;0.6,"Mixte (40-60 %)","À dominante féminine (≥60 %)"))))</f>
        <v>À dominante féminine (≥60 %)</v>
      </c>
    </row>
    <row r="401" customFormat="false" ht="15" hidden="false" customHeight="false" outlineLevel="0" collapsed="false">
      <c r="A401" s="9" t="s">
        <v>987</v>
      </c>
      <c r="B401" s="9" t="s">
        <v>972</v>
      </c>
      <c r="C401" s="9" t="s">
        <v>391</v>
      </c>
      <c r="D401" s="9" t="s">
        <v>100</v>
      </c>
      <c r="E401" s="9" t="s">
        <v>100</v>
      </c>
      <c r="F401" s="9" t="s">
        <v>173</v>
      </c>
      <c r="G401" s="10" t="n">
        <v>150</v>
      </c>
      <c r="H401" s="10" t="n">
        <v>329</v>
      </c>
      <c r="I401" s="10" t="n">
        <v>12</v>
      </c>
      <c r="J401" s="10" t="n">
        <v>6</v>
      </c>
      <c r="K401" s="10" t="n">
        <f aca="false">G401+H401</f>
        <v>479</v>
      </c>
      <c r="L401" s="11" t="n">
        <f aca="false">IF(K401&gt;0,G401/K401,"")</f>
        <v>0.313152400835073</v>
      </c>
      <c r="M401" s="9" t="str">
        <f aca="false">IF(K401=0,"",IF(L401&lt;0.2,"Très masculine (&lt;20 % F)",IF(L401&lt;0.4,"Plutôt masculine (20-40 %)",IF(L401&lt;0.6,"Mixte (40-60 %)","À dominante féminine (≥60 %)"))))</f>
        <v>Plutôt masculine (20-40 %)</v>
      </c>
    </row>
    <row r="402" customFormat="false" ht="15" hidden="false" customHeight="false" outlineLevel="0" collapsed="false">
      <c r="A402" s="9" t="s">
        <v>988</v>
      </c>
      <c r="B402" s="9" t="s">
        <v>989</v>
      </c>
      <c r="C402" s="9" t="s">
        <v>392</v>
      </c>
      <c r="D402" s="9" t="s">
        <v>393</v>
      </c>
      <c r="E402" s="9" t="s">
        <v>155</v>
      </c>
      <c r="F402" s="9" t="s">
        <v>197</v>
      </c>
      <c r="G402" s="10" t="n">
        <v>103</v>
      </c>
      <c r="H402" s="10" t="n">
        <v>9</v>
      </c>
      <c r="I402" s="10" t="n">
        <v>10</v>
      </c>
      <c r="J402" s="10" t="n">
        <v>5</v>
      </c>
      <c r="K402" s="10" t="n">
        <f aca="false">G402+H402</f>
        <v>112</v>
      </c>
      <c r="L402" s="11" t="n">
        <f aca="false">IF(K402&gt;0,G402/K402,"")</f>
        <v>0.919642857142857</v>
      </c>
      <c r="M402" s="9" t="str">
        <f aca="false">IF(K402=0,"",IF(L402&lt;0.2,"Très masculine (&lt;20 % F)",IF(L402&lt;0.4,"Plutôt masculine (20-40 %)",IF(L402&lt;0.6,"Mixte (40-60 %)","À dominante féminine (≥60 %)"))))</f>
        <v>À dominante féminine (≥60 %)</v>
      </c>
    </row>
    <row r="403" customFormat="false" ht="15" hidden="false" customHeight="false" outlineLevel="0" collapsed="false">
      <c r="A403" s="9" t="s">
        <v>990</v>
      </c>
      <c r="B403" s="9" t="s">
        <v>989</v>
      </c>
      <c r="C403" s="9" t="s">
        <v>392</v>
      </c>
      <c r="D403" s="9" t="s">
        <v>393</v>
      </c>
      <c r="E403" s="9" t="s">
        <v>155</v>
      </c>
      <c r="F403" s="9" t="s">
        <v>197</v>
      </c>
      <c r="G403" s="10" t="n">
        <v>39</v>
      </c>
      <c r="H403" s="10" t="n">
        <v>68</v>
      </c>
      <c r="I403" s="10" t="n">
        <v>8</v>
      </c>
      <c r="J403" s="10" t="n">
        <v>1</v>
      </c>
      <c r="K403" s="10" t="n">
        <f aca="false">G403+H403</f>
        <v>107</v>
      </c>
      <c r="L403" s="11" t="n">
        <f aca="false">IF(K403&gt;0,G403/K403,"")</f>
        <v>0.364485981308411</v>
      </c>
      <c r="M403" s="9" t="str">
        <f aca="false">IF(K403=0,"",IF(L403&lt;0.2,"Très masculine (&lt;20 % F)",IF(L403&lt;0.4,"Plutôt masculine (20-40 %)",IF(L403&lt;0.6,"Mixte (40-60 %)","À dominante féminine (≥60 %)"))))</f>
        <v>Plutôt masculine (20-40 %)</v>
      </c>
    </row>
    <row r="404" customFormat="false" ht="15" hidden="false" customHeight="false" outlineLevel="0" collapsed="false">
      <c r="A404" s="9" t="s">
        <v>991</v>
      </c>
      <c r="B404" s="9" t="s">
        <v>989</v>
      </c>
      <c r="C404" s="9" t="s">
        <v>392</v>
      </c>
      <c r="D404" s="9" t="s">
        <v>393</v>
      </c>
      <c r="E404" s="9" t="s">
        <v>155</v>
      </c>
      <c r="F404" s="9" t="s">
        <v>197</v>
      </c>
      <c r="G404" s="10" t="n">
        <v>6</v>
      </c>
      <c r="H404" s="10" t="n">
        <v>37</v>
      </c>
      <c r="I404" s="10" t="n">
        <v>5</v>
      </c>
      <c r="J404" s="10" t="n">
        <v>1</v>
      </c>
      <c r="K404" s="10" t="n">
        <f aca="false">G404+H404</f>
        <v>43</v>
      </c>
      <c r="L404" s="11" t="n">
        <f aca="false">IF(K404&gt;0,G404/K404,"")</f>
        <v>0.13953488372093</v>
      </c>
      <c r="M404" s="9" t="str">
        <f aca="false">IF(K404=0,"",IF(L404&lt;0.2,"Très masculine (&lt;20 % F)",IF(L404&lt;0.4,"Plutôt masculine (20-40 %)",IF(L404&lt;0.6,"Mixte (40-60 %)","À dominante féminine (≥60 %)"))))</f>
        <v>Très masculine (&lt;20 % F)</v>
      </c>
    </row>
    <row r="405" customFormat="false" ht="15" hidden="false" customHeight="false" outlineLevel="0" collapsed="false">
      <c r="A405" s="9" t="s">
        <v>992</v>
      </c>
      <c r="B405" s="9" t="s">
        <v>993</v>
      </c>
      <c r="C405" s="9" t="s">
        <v>396</v>
      </c>
      <c r="D405" s="9" t="s">
        <v>397</v>
      </c>
      <c r="E405" s="9" t="s">
        <v>133</v>
      </c>
      <c r="F405" s="9" t="s">
        <v>125</v>
      </c>
      <c r="G405" s="10" t="n">
        <v>75</v>
      </c>
      <c r="H405" s="10" t="n">
        <v>129</v>
      </c>
      <c r="I405" s="10" t="n">
        <v>8</v>
      </c>
      <c r="J405" s="10" t="n">
        <v>2</v>
      </c>
      <c r="K405" s="10" t="n">
        <f aca="false">G405+H405</f>
        <v>204</v>
      </c>
      <c r="L405" s="11" t="n">
        <f aca="false">IF(K405&gt;0,G405/K405,"")</f>
        <v>0.367647058823529</v>
      </c>
      <c r="M405" s="9" t="str">
        <f aca="false">IF(K405=0,"",IF(L405&lt;0.2,"Très masculine (&lt;20 % F)",IF(L405&lt;0.4,"Plutôt masculine (20-40 %)",IF(L405&lt;0.6,"Mixte (40-60 %)","À dominante féminine (≥60 %)"))))</f>
        <v>Plutôt masculine (20-40 %)</v>
      </c>
    </row>
    <row r="406" customFormat="false" ht="15" hidden="false" customHeight="false" outlineLevel="0" collapsed="false">
      <c r="A406" s="9" t="s">
        <v>994</v>
      </c>
      <c r="B406" s="9" t="s">
        <v>993</v>
      </c>
      <c r="C406" s="9" t="s">
        <v>396</v>
      </c>
      <c r="D406" s="9" t="s">
        <v>397</v>
      </c>
      <c r="E406" s="9" t="s">
        <v>133</v>
      </c>
      <c r="F406" s="9" t="s">
        <v>125</v>
      </c>
      <c r="G406" s="10" t="n">
        <v>38</v>
      </c>
      <c r="H406" s="10" t="n">
        <v>24</v>
      </c>
      <c r="I406" s="10" t="n">
        <v>3</v>
      </c>
      <c r="J406" s="10" t="n">
        <v>0</v>
      </c>
      <c r="K406" s="10" t="n">
        <f aca="false">G406+H406</f>
        <v>62</v>
      </c>
      <c r="L406" s="11" t="n">
        <f aca="false">IF(K406&gt;0,G406/K406,"")</f>
        <v>0.612903225806452</v>
      </c>
      <c r="M406" s="9" t="str">
        <f aca="false">IF(K406=0,"",IF(L406&lt;0.2,"Très masculine (&lt;20 % F)",IF(L406&lt;0.4,"Plutôt masculine (20-40 %)",IF(L406&lt;0.6,"Mixte (40-60 %)","À dominante féminine (≥60 %)"))))</f>
        <v>À dominante féminine (≥60 %)</v>
      </c>
    </row>
    <row r="407" customFormat="false" ht="15" hidden="false" customHeight="false" outlineLevel="0" collapsed="false">
      <c r="A407" s="9" t="s">
        <v>995</v>
      </c>
      <c r="B407" s="9" t="s">
        <v>993</v>
      </c>
      <c r="C407" s="9" t="s">
        <v>396</v>
      </c>
      <c r="D407" s="9" t="s">
        <v>397</v>
      </c>
      <c r="E407" s="9" t="s">
        <v>133</v>
      </c>
      <c r="F407" s="9" t="s">
        <v>125</v>
      </c>
      <c r="G407" s="10" t="n">
        <v>22</v>
      </c>
      <c r="H407" s="10" t="n">
        <v>74</v>
      </c>
      <c r="I407" s="10" t="n">
        <v>4</v>
      </c>
      <c r="J407" s="10" t="n">
        <v>1</v>
      </c>
      <c r="K407" s="10" t="n">
        <f aca="false">G407+H407</f>
        <v>96</v>
      </c>
      <c r="L407" s="11" t="n">
        <f aca="false">IF(K407&gt;0,G407/K407,"")</f>
        <v>0.229166666666667</v>
      </c>
      <c r="M407" s="9" t="str">
        <f aca="false">IF(K407=0,"",IF(L407&lt;0.2,"Très masculine (&lt;20 % F)",IF(L407&lt;0.4,"Plutôt masculine (20-40 %)",IF(L407&lt;0.6,"Mixte (40-60 %)","À dominante féminine (≥60 %)"))))</f>
        <v>Plutôt masculine (20-40 %)</v>
      </c>
    </row>
    <row r="408" customFormat="false" ht="15" hidden="false" customHeight="false" outlineLevel="0" collapsed="false">
      <c r="A408" s="9" t="s">
        <v>996</v>
      </c>
      <c r="B408" s="9" t="s">
        <v>997</v>
      </c>
      <c r="C408" s="9" t="s">
        <v>398</v>
      </c>
      <c r="D408" s="9" t="s">
        <v>399</v>
      </c>
      <c r="E408" s="9" t="s">
        <v>182</v>
      </c>
      <c r="F408" s="9" t="s">
        <v>125</v>
      </c>
      <c r="G408" s="10" t="n">
        <v>84</v>
      </c>
      <c r="H408" s="10" t="n">
        <v>186</v>
      </c>
      <c r="I408" s="10" t="n">
        <v>19</v>
      </c>
      <c r="J408" s="10" t="n">
        <v>1</v>
      </c>
      <c r="K408" s="10" t="n">
        <f aca="false">G408+H408</f>
        <v>270</v>
      </c>
      <c r="L408" s="11" t="n">
        <f aca="false">IF(K408&gt;0,G408/K408,"")</f>
        <v>0.311111111111111</v>
      </c>
      <c r="M408" s="9" t="str">
        <f aca="false">IF(K408=0,"",IF(L408&lt;0.2,"Très masculine (&lt;20 % F)",IF(L408&lt;0.4,"Plutôt masculine (20-40 %)",IF(L408&lt;0.6,"Mixte (40-60 %)","À dominante féminine (≥60 %)"))))</f>
        <v>Plutôt masculine (20-40 %)</v>
      </c>
    </row>
    <row r="409" customFormat="false" ht="15" hidden="false" customHeight="false" outlineLevel="0" collapsed="false">
      <c r="A409" s="9" t="s">
        <v>998</v>
      </c>
      <c r="B409" s="9" t="s">
        <v>997</v>
      </c>
      <c r="C409" s="9" t="s">
        <v>398</v>
      </c>
      <c r="D409" s="9" t="s">
        <v>399</v>
      </c>
      <c r="E409" s="9" t="s">
        <v>182</v>
      </c>
      <c r="F409" s="9" t="s">
        <v>125</v>
      </c>
      <c r="G409" s="10" t="n">
        <v>31</v>
      </c>
      <c r="H409" s="10" t="n">
        <v>75</v>
      </c>
      <c r="I409" s="10" t="n">
        <v>16</v>
      </c>
      <c r="J409" s="10" t="n">
        <v>0</v>
      </c>
      <c r="K409" s="10" t="n">
        <f aca="false">G409+H409</f>
        <v>106</v>
      </c>
      <c r="L409" s="11" t="n">
        <f aca="false">IF(K409&gt;0,G409/K409,"")</f>
        <v>0.292452830188679</v>
      </c>
      <c r="M409" s="9" t="str">
        <f aca="false">IF(K409=0,"",IF(L409&lt;0.2,"Très masculine (&lt;20 % F)",IF(L409&lt;0.4,"Plutôt masculine (20-40 %)",IF(L409&lt;0.6,"Mixte (40-60 %)","À dominante féminine (≥60 %)"))))</f>
        <v>Plutôt masculine (20-40 %)</v>
      </c>
    </row>
    <row r="410" customFormat="false" ht="15" hidden="false" customHeight="false" outlineLevel="0" collapsed="false">
      <c r="A410" s="9" t="s">
        <v>999</v>
      </c>
      <c r="B410" s="9" t="s">
        <v>1000</v>
      </c>
      <c r="C410" s="9" t="s">
        <v>402</v>
      </c>
      <c r="D410" s="9" t="s">
        <v>403</v>
      </c>
      <c r="E410" s="9" t="s">
        <v>106</v>
      </c>
      <c r="F410" s="9" t="s">
        <v>102</v>
      </c>
      <c r="G410" s="10" t="n">
        <v>24</v>
      </c>
      <c r="H410" s="10" t="n">
        <v>63</v>
      </c>
      <c r="I410" s="10" t="n">
        <v>12</v>
      </c>
      <c r="J410" s="10" t="n">
        <v>0</v>
      </c>
      <c r="K410" s="10" t="n">
        <f aca="false">G410+H410</f>
        <v>87</v>
      </c>
      <c r="L410" s="11" t="n">
        <f aca="false">IF(K410&gt;0,G410/K410,"")</f>
        <v>0.275862068965517</v>
      </c>
      <c r="M410" s="9" t="str">
        <f aca="false">IF(K410=0,"",IF(L410&lt;0.2,"Très masculine (&lt;20 % F)",IF(L410&lt;0.4,"Plutôt masculine (20-40 %)",IF(L410&lt;0.6,"Mixte (40-60 %)","À dominante féminine (≥60 %)"))))</f>
        <v>Plutôt masculine (20-40 %)</v>
      </c>
    </row>
    <row r="411" customFormat="false" ht="15" hidden="false" customHeight="false" outlineLevel="0" collapsed="false">
      <c r="A411" s="9" t="s">
        <v>1001</v>
      </c>
      <c r="B411" s="9" t="s">
        <v>1000</v>
      </c>
      <c r="C411" s="9" t="s">
        <v>402</v>
      </c>
      <c r="D411" s="9" t="s">
        <v>403</v>
      </c>
      <c r="E411" s="9" t="s">
        <v>106</v>
      </c>
      <c r="F411" s="9" t="s">
        <v>102</v>
      </c>
      <c r="G411" s="10" t="n">
        <v>15</v>
      </c>
      <c r="H411" s="10" t="n">
        <v>37</v>
      </c>
      <c r="I411" s="10" t="n">
        <v>4</v>
      </c>
      <c r="J411" s="10" t="n">
        <v>0</v>
      </c>
      <c r="K411" s="10" t="n">
        <f aca="false">G411+H411</f>
        <v>52</v>
      </c>
      <c r="L411" s="11" t="n">
        <f aca="false">IF(K411&gt;0,G411/K411,"")</f>
        <v>0.288461538461538</v>
      </c>
      <c r="M411" s="9" t="str">
        <f aca="false">IF(K411=0,"",IF(L411&lt;0.2,"Très masculine (&lt;20 % F)",IF(L411&lt;0.4,"Plutôt masculine (20-40 %)",IF(L411&lt;0.6,"Mixte (40-60 %)","À dominante féminine (≥60 %)"))))</f>
        <v>Plutôt masculine (20-40 %)</v>
      </c>
    </row>
    <row r="412" customFormat="false" ht="15" hidden="false" customHeight="false" outlineLevel="0" collapsed="false">
      <c r="A412" s="9" t="s">
        <v>1002</v>
      </c>
      <c r="B412" s="9" t="s">
        <v>1003</v>
      </c>
      <c r="C412" s="9" t="s">
        <v>404</v>
      </c>
      <c r="D412" s="9" t="s">
        <v>405</v>
      </c>
      <c r="E412" s="9" t="s">
        <v>237</v>
      </c>
      <c r="F412" s="9" t="s">
        <v>116</v>
      </c>
      <c r="G412" s="10" t="n">
        <v>35</v>
      </c>
      <c r="H412" s="10" t="n">
        <v>12</v>
      </c>
      <c r="I412" s="10" t="n">
        <v>47</v>
      </c>
      <c r="J412" s="10" t="n">
        <v>0</v>
      </c>
      <c r="K412" s="10" t="n">
        <f aca="false">G412+H412</f>
        <v>47</v>
      </c>
      <c r="L412" s="11" t="n">
        <f aca="false">IF(K412&gt;0,G412/K412,"")</f>
        <v>0.74468085106383</v>
      </c>
      <c r="M412" s="9" t="str">
        <f aca="false">IF(K412=0,"",IF(L412&lt;0.2,"Très masculine (&lt;20 % F)",IF(L412&lt;0.4,"Plutôt masculine (20-40 %)",IF(L412&lt;0.6,"Mixte (40-60 %)","À dominante féminine (≥60 %)"))))</f>
        <v>À dominante féminine (≥60 %)</v>
      </c>
    </row>
    <row r="413" customFormat="false" ht="15" hidden="false" customHeight="false" outlineLevel="0" collapsed="false">
      <c r="A413" s="9" t="s">
        <v>1004</v>
      </c>
      <c r="B413" s="9" t="s">
        <v>1003</v>
      </c>
      <c r="C413" s="9" t="s">
        <v>404</v>
      </c>
      <c r="D413" s="9" t="s">
        <v>405</v>
      </c>
      <c r="E413" s="9" t="s">
        <v>237</v>
      </c>
      <c r="F413" s="9" t="s">
        <v>116</v>
      </c>
      <c r="G413" s="10" t="n">
        <v>150</v>
      </c>
      <c r="H413" s="10" t="n">
        <v>1010</v>
      </c>
      <c r="I413" s="10" t="n">
        <v>60</v>
      </c>
      <c r="J413" s="10" t="n">
        <v>5</v>
      </c>
      <c r="K413" s="10" t="n">
        <f aca="false">G413+H413</f>
        <v>1160</v>
      </c>
      <c r="L413" s="11" t="n">
        <f aca="false">IF(K413&gt;0,G413/K413,"")</f>
        <v>0.129310344827586</v>
      </c>
      <c r="M413" s="9" t="str">
        <f aca="false">IF(K413=0,"",IF(L413&lt;0.2,"Très masculine (&lt;20 % F)",IF(L413&lt;0.4,"Plutôt masculine (20-40 %)",IF(L413&lt;0.6,"Mixte (40-60 %)","À dominante féminine (≥60 %)"))))</f>
        <v>Très masculine (&lt;20 % F)</v>
      </c>
    </row>
    <row r="414" customFormat="false" ht="15" hidden="false" customHeight="false" outlineLevel="0" collapsed="false">
      <c r="A414" s="9" t="s">
        <v>1005</v>
      </c>
      <c r="B414" s="9" t="s">
        <v>1003</v>
      </c>
      <c r="C414" s="9" t="s">
        <v>404</v>
      </c>
      <c r="D414" s="9" t="s">
        <v>405</v>
      </c>
      <c r="E414" s="9" t="s">
        <v>237</v>
      </c>
      <c r="F414" s="9" t="s">
        <v>116</v>
      </c>
      <c r="G414" s="10" t="n">
        <v>689</v>
      </c>
      <c r="H414" s="10" t="n">
        <v>242</v>
      </c>
      <c r="I414" s="10" t="n">
        <v>38</v>
      </c>
      <c r="J414" s="10" t="n">
        <v>13</v>
      </c>
      <c r="K414" s="10" t="n">
        <f aca="false">G414+H414</f>
        <v>931</v>
      </c>
      <c r="L414" s="11" t="n">
        <f aca="false">IF(K414&gt;0,G414/K414,"")</f>
        <v>0.740064446831364</v>
      </c>
      <c r="M414" s="9" t="str">
        <f aca="false">IF(K414=0,"",IF(L414&lt;0.2,"Très masculine (&lt;20 % F)",IF(L414&lt;0.4,"Plutôt masculine (20-40 %)",IF(L414&lt;0.6,"Mixte (40-60 %)","À dominante féminine (≥60 %)"))))</f>
        <v>À dominante féminine (≥60 %)</v>
      </c>
    </row>
    <row r="415" customFormat="false" ht="15" hidden="false" customHeight="false" outlineLevel="0" collapsed="false">
      <c r="A415" s="9" t="s">
        <v>1006</v>
      </c>
      <c r="B415" s="9" t="s">
        <v>1007</v>
      </c>
      <c r="C415" s="9" t="s">
        <v>412</v>
      </c>
      <c r="D415" s="9" t="s">
        <v>413</v>
      </c>
      <c r="E415" s="9" t="s">
        <v>120</v>
      </c>
      <c r="F415" s="9" t="s">
        <v>116</v>
      </c>
      <c r="G415" s="10" t="n">
        <v>201</v>
      </c>
      <c r="H415" s="10" t="n">
        <v>608</v>
      </c>
      <c r="I415" s="10" t="n">
        <v>48</v>
      </c>
      <c r="J415" s="10" t="n">
        <v>13</v>
      </c>
      <c r="K415" s="10" t="n">
        <f aca="false">G415+H415</f>
        <v>809</v>
      </c>
      <c r="L415" s="11" t="n">
        <f aca="false">IF(K415&gt;0,G415/K415,"")</f>
        <v>0.248454882571075</v>
      </c>
      <c r="M415" s="9" t="str">
        <f aca="false">IF(K415=0,"",IF(L415&lt;0.2,"Très masculine (&lt;20 % F)",IF(L415&lt;0.4,"Plutôt masculine (20-40 %)",IF(L415&lt;0.6,"Mixte (40-60 %)","À dominante féminine (≥60 %)"))))</f>
        <v>Plutôt masculine (20-40 %)</v>
      </c>
    </row>
    <row r="416" customFormat="false" ht="15" hidden="false" customHeight="false" outlineLevel="0" collapsed="false">
      <c r="A416" s="9" t="s">
        <v>1008</v>
      </c>
      <c r="B416" s="9" t="s">
        <v>1007</v>
      </c>
      <c r="C416" s="9" t="s">
        <v>412</v>
      </c>
      <c r="D416" s="9" t="s">
        <v>413</v>
      </c>
      <c r="E416" s="9" t="s">
        <v>120</v>
      </c>
      <c r="F416" s="9" t="s">
        <v>116</v>
      </c>
      <c r="G416" s="10" t="n">
        <v>200</v>
      </c>
      <c r="H416" s="10" t="n">
        <v>10</v>
      </c>
      <c r="I416" s="10" t="n">
        <v>6</v>
      </c>
      <c r="J416" s="10" t="n">
        <v>11</v>
      </c>
      <c r="K416" s="10" t="n">
        <f aca="false">G416+H416</f>
        <v>210</v>
      </c>
      <c r="L416" s="11" t="n">
        <f aca="false">IF(K416&gt;0,G416/K416,"")</f>
        <v>0.952380952380952</v>
      </c>
      <c r="M416" s="9" t="str">
        <f aca="false">IF(K416=0,"",IF(L416&lt;0.2,"Très masculine (&lt;20 % F)",IF(L416&lt;0.4,"Plutôt masculine (20-40 %)",IF(L416&lt;0.6,"Mixte (40-60 %)","À dominante féminine (≥60 %)"))))</f>
        <v>À dominante féminine (≥60 %)</v>
      </c>
    </row>
    <row r="417" customFormat="false" ht="15" hidden="false" customHeight="false" outlineLevel="0" collapsed="false">
      <c r="A417" s="9" t="s">
        <v>1009</v>
      </c>
      <c r="B417" s="9" t="s">
        <v>1010</v>
      </c>
      <c r="C417" s="9" t="s">
        <v>414</v>
      </c>
      <c r="D417" s="9" t="s">
        <v>415</v>
      </c>
      <c r="E417" s="9" t="s">
        <v>146</v>
      </c>
      <c r="F417" s="9" t="s">
        <v>152</v>
      </c>
      <c r="G417" s="10" t="n">
        <v>59</v>
      </c>
      <c r="H417" s="10" t="n">
        <v>3</v>
      </c>
      <c r="I417" s="10" t="n">
        <v>9</v>
      </c>
      <c r="J417" s="10" t="n">
        <v>1</v>
      </c>
      <c r="K417" s="10" t="n">
        <f aca="false">G417+H417</f>
        <v>62</v>
      </c>
      <c r="L417" s="11" t="n">
        <f aca="false">IF(K417&gt;0,G417/K417,"")</f>
        <v>0.951612903225807</v>
      </c>
      <c r="M417" s="9" t="str">
        <f aca="false">IF(K417=0,"",IF(L417&lt;0.2,"Très masculine (&lt;20 % F)",IF(L417&lt;0.4,"Plutôt masculine (20-40 %)",IF(L417&lt;0.6,"Mixte (40-60 %)","À dominante féminine (≥60 %)"))))</f>
        <v>À dominante féminine (≥60 %)</v>
      </c>
    </row>
    <row r="418" customFormat="false" ht="15" hidden="false" customHeight="false" outlineLevel="0" collapsed="false">
      <c r="A418" s="9" t="s">
        <v>1011</v>
      </c>
      <c r="B418" s="9" t="s">
        <v>1010</v>
      </c>
      <c r="C418" s="9" t="s">
        <v>414</v>
      </c>
      <c r="D418" s="9" t="s">
        <v>415</v>
      </c>
      <c r="E418" s="9" t="s">
        <v>146</v>
      </c>
      <c r="F418" s="9" t="s">
        <v>152</v>
      </c>
      <c r="G418" s="10" t="n">
        <v>7</v>
      </c>
      <c r="H418" s="10" t="n">
        <v>82</v>
      </c>
      <c r="I418" s="10" t="n">
        <v>20</v>
      </c>
      <c r="J418" s="10" t="n">
        <v>0</v>
      </c>
      <c r="K418" s="10" t="n">
        <f aca="false">G418+H418</f>
        <v>89</v>
      </c>
      <c r="L418" s="11" t="n">
        <f aca="false">IF(K418&gt;0,G418/K418,"")</f>
        <v>0.0786516853932584</v>
      </c>
      <c r="M418" s="9" t="str">
        <f aca="false">IF(K418=0,"",IF(L418&lt;0.2,"Très masculine (&lt;20 % F)",IF(L418&lt;0.4,"Plutôt masculine (20-40 %)",IF(L418&lt;0.6,"Mixte (40-60 %)","À dominante féminine (≥60 %)"))))</f>
        <v>Très masculine (&lt;20 % F)</v>
      </c>
    </row>
    <row r="419" customFormat="false" ht="15" hidden="false" customHeight="false" outlineLevel="0" collapsed="false">
      <c r="A419" s="9" t="s">
        <v>1012</v>
      </c>
      <c r="B419" s="9" t="s">
        <v>1010</v>
      </c>
      <c r="C419" s="9" t="s">
        <v>414</v>
      </c>
      <c r="D419" s="9" t="s">
        <v>415</v>
      </c>
      <c r="E419" s="9" t="s">
        <v>146</v>
      </c>
      <c r="F419" s="9" t="s">
        <v>152</v>
      </c>
      <c r="G419" s="10" t="n">
        <v>105</v>
      </c>
      <c r="H419" s="10" t="n">
        <v>156</v>
      </c>
      <c r="I419" s="10" t="n">
        <v>25</v>
      </c>
      <c r="J419" s="10" t="n">
        <v>3</v>
      </c>
      <c r="K419" s="10" t="n">
        <f aca="false">G419+H419</f>
        <v>261</v>
      </c>
      <c r="L419" s="11" t="n">
        <f aca="false">IF(K419&gt;0,G419/K419,"")</f>
        <v>0.402298850574713</v>
      </c>
      <c r="M419" s="9" t="str">
        <f aca="false">IF(K419=0,"",IF(L419&lt;0.2,"Très masculine (&lt;20 % F)",IF(L419&lt;0.4,"Plutôt masculine (20-40 %)",IF(L419&lt;0.6,"Mixte (40-60 %)","À dominante féminine (≥60 %)"))))</f>
        <v>Mixte (40-60 %)</v>
      </c>
    </row>
    <row r="420" customFormat="false" ht="15" hidden="false" customHeight="false" outlineLevel="0" collapsed="false">
      <c r="A420" s="9" t="s">
        <v>1013</v>
      </c>
      <c r="B420" s="9" t="s">
        <v>1010</v>
      </c>
      <c r="C420" s="9" t="s">
        <v>414</v>
      </c>
      <c r="D420" s="9" t="s">
        <v>415</v>
      </c>
      <c r="E420" s="9" t="s">
        <v>146</v>
      </c>
      <c r="F420" s="9" t="s">
        <v>152</v>
      </c>
      <c r="G420" s="10" t="n">
        <v>26</v>
      </c>
      <c r="H420" s="10" t="n">
        <v>47</v>
      </c>
      <c r="I420" s="10" t="n">
        <v>16</v>
      </c>
      <c r="J420" s="10" t="n">
        <v>0</v>
      </c>
      <c r="K420" s="10" t="n">
        <f aca="false">G420+H420</f>
        <v>73</v>
      </c>
      <c r="L420" s="11" t="n">
        <f aca="false">IF(K420&gt;0,G420/K420,"")</f>
        <v>0.356164383561644</v>
      </c>
      <c r="M420" s="9" t="str">
        <f aca="false">IF(K420=0,"",IF(L420&lt;0.2,"Très masculine (&lt;20 % F)",IF(L420&lt;0.4,"Plutôt masculine (20-40 %)",IF(L420&lt;0.6,"Mixte (40-60 %)","À dominante féminine (≥60 %)"))))</f>
        <v>Plutôt masculine (20-40 %)</v>
      </c>
    </row>
    <row r="421" customFormat="false" ht="15" hidden="false" customHeight="false" outlineLevel="0" collapsed="false">
      <c r="A421" s="9" t="s">
        <v>1014</v>
      </c>
      <c r="B421" s="9" t="s">
        <v>1010</v>
      </c>
      <c r="C421" s="9" t="s">
        <v>414</v>
      </c>
      <c r="D421" s="9" t="s">
        <v>415</v>
      </c>
      <c r="E421" s="9" t="s">
        <v>146</v>
      </c>
      <c r="F421" s="9" t="s">
        <v>152</v>
      </c>
      <c r="G421" s="10" t="n">
        <v>332</v>
      </c>
      <c r="H421" s="10" t="n">
        <v>57</v>
      </c>
      <c r="I421" s="10" t="n">
        <v>10</v>
      </c>
      <c r="J421" s="10" t="n">
        <v>9</v>
      </c>
      <c r="K421" s="10" t="n">
        <f aca="false">G421+H421</f>
        <v>389</v>
      </c>
      <c r="L421" s="11" t="n">
        <f aca="false">IF(K421&gt;0,G421/K421,"")</f>
        <v>0.853470437017995</v>
      </c>
      <c r="M421" s="9" t="str">
        <f aca="false">IF(K421=0,"",IF(L421&lt;0.2,"Très masculine (&lt;20 % F)",IF(L421&lt;0.4,"Plutôt masculine (20-40 %)",IF(L421&lt;0.6,"Mixte (40-60 %)","À dominante féminine (≥60 %)"))))</f>
        <v>À dominante féminine (≥60 %)</v>
      </c>
    </row>
    <row r="422" customFormat="false" ht="15" hidden="false" customHeight="false" outlineLevel="0" collapsed="false">
      <c r="A422" s="9" t="s">
        <v>1015</v>
      </c>
      <c r="B422" s="9" t="s">
        <v>1010</v>
      </c>
      <c r="C422" s="9" t="s">
        <v>414</v>
      </c>
      <c r="D422" s="9" t="s">
        <v>415</v>
      </c>
      <c r="E422" s="9" t="s">
        <v>146</v>
      </c>
      <c r="F422" s="9" t="s">
        <v>152</v>
      </c>
      <c r="G422" s="10" t="n">
        <v>264</v>
      </c>
      <c r="H422" s="10" t="n">
        <v>8</v>
      </c>
      <c r="I422" s="10" t="n">
        <v>7</v>
      </c>
      <c r="J422" s="10" t="n">
        <v>3</v>
      </c>
      <c r="K422" s="10" t="n">
        <f aca="false">G422+H422</f>
        <v>272</v>
      </c>
      <c r="L422" s="11" t="n">
        <f aca="false">IF(K422&gt;0,G422/K422,"")</f>
        <v>0.970588235294118</v>
      </c>
      <c r="M422" s="9" t="str">
        <f aca="false">IF(K422=0,"",IF(L422&lt;0.2,"Très masculine (&lt;20 % F)",IF(L422&lt;0.4,"Plutôt masculine (20-40 %)",IF(L422&lt;0.6,"Mixte (40-60 %)","À dominante féminine (≥60 %)"))))</f>
        <v>À dominante féminine (≥60 %)</v>
      </c>
    </row>
    <row r="423" customFormat="false" ht="15" hidden="false" customHeight="false" outlineLevel="0" collapsed="false">
      <c r="A423" s="9" t="s">
        <v>1016</v>
      </c>
      <c r="B423" s="9" t="s">
        <v>1010</v>
      </c>
      <c r="C423" s="9" t="s">
        <v>414</v>
      </c>
      <c r="D423" s="9" t="s">
        <v>415</v>
      </c>
      <c r="E423" s="9" t="s">
        <v>146</v>
      </c>
      <c r="F423" s="9" t="s">
        <v>152</v>
      </c>
      <c r="G423" s="10" t="n">
        <v>24</v>
      </c>
      <c r="H423" s="10" t="n">
        <v>284</v>
      </c>
      <c r="I423" s="10" t="n">
        <v>32</v>
      </c>
      <c r="J423" s="10" t="n">
        <v>2</v>
      </c>
      <c r="K423" s="10" t="n">
        <f aca="false">G423+H423</f>
        <v>308</v>
      </c>
      <c r="L423" s="11" t="n">
        <f aca="false">IF(K423&gt;0,G423/K423,"")</f>
        <v>0.0779220779220779</v>
      </c>
      <c r="M423" s="9" t="str">
        <f aca="false">IF(K423=0,"",IF(L423&lt;0.2,"Très masculine (&lt;20 % F)",IF(L423&lt;0.4,"Plutôt masculine (20-40 %)",IF(L423&lt;0.6,"Mixte (40-60 %)","À dominante féminine (≥60 %)"))))</f>
        <v>Très masculine (&lt;20 % F)</v>
      </c>
    </row>
    <row r="424" customFormat="false" ht="15" hidden="false" customHeight="false" outlineLevel="0" collapsed="false">
      <c r="A424" s="9" t="s">
        <v>1017</v>
      </c>
      <c r="B424" s="9" t="s">
        <v>1010</v>
      </c>
      <c r="C424" s="9" t="s">
        <v>414</v>
      </c>
      <c r="D424" s="9" t="s">
        <v>415</v>
      </c>
      <c r="E424" s="9" t="s">
        <v>146</v>
      </c>
      <c r="F424" s="9" t="s">
        <v>152</v>
      </c>
      <c r="G424" s="10" t="n">
        <v>466</v>
      </c>
      <c r="H424" s="10" t="n">
        <v>388</v>
      </c>
      <c r="I424" s="10" t="n">
        <v>30</v>
      </c>
      <c r="J424" s="10" t="n">
        <v>16</v>
      </c>
      <c r="K424" s="10" t="n">
        <f aca="false">G424+H424</f>
        <v>854</v>
      </c>
      <c r="L424" s="11" t="n">
        <f aca="false">IF(K424&gt;0,G424/K424,"")</f>
        <v>0.545667447306792</v>
      </c>
      <c r="M424" s="9" t="str">
        <f aca="false">IF(K424=0,"",IF(L424&lt;0.2,"Très masculine (&lt;20 % F)",IF(L424&lt;0.4,"Plutôt masculine (20-40 %)",IF(L424&lt;0.6,"Mixte (40-60 %)","À dominante féminine (≥60 %)"))))</f>
        <v>Mixte (40-60 %)</v>
      </c>
    </row>
    <row r="425" customFormat="false" ht="15" hidden="false" customHeight="false" outlineLevel="0" collapsed="false">
      <c r="A425" s="9" t="s">
        <v>1018</v>
      </c>
      <c r="B425" s="9" t="s">
        <v>1010</v>
      </c>
      <c r="C425" s="9" t="s">
        <v>414</v>
      </c>
      <c r="D425" s="9" t="s">
        <v>415</v>
      </c>
      <c r="E425" s="9" t="s">
        <v>146</v>
      </c>
      <c r="F425" s="9" t="s">
        <v>152</v>
      </c>
      <c r="G425" s="10" t="n">
        <v>20</v>
      </c>
      <c r="H425" s="10" t="n">
        <v>45</v>
      </c>
      <c r="I425" s="10" t="n">
        <v>6</v>
      </c>
      <c r="J425" s="10" t="n">
        <v>0</v>
      </c>
      <c r="K425" s="10" t="n">
        <f aca="false">G425+H425</f>
        <v>65</v>
      </c>
      <c r="L425" s="11" t="n">
        <f aca="false">IF(K425&gt;0,G425/K425,"")</f>
        <v>0.307692307692308</v>
      </c>
      <c r="M425" s="9" t="str">
        <f aca="false">IF(K425=0,"",IF(L425&lt;0.2,"Très masculine (&lt;20 % F)",IF(L425&lt;0.4,"Plutôt masculine (20-40 %)",IF(L425&lt;0.6,"Mixte (40-60 %)","À dominante féminine (≥60 %)"))))</f>
        <v>Plutôt masculine (20-40 %)</v>
      </c>
    </row>
    <row r="426" customFormat="false" ht="15" hidden="false" customHeight="false" outlineLevel="0" collapsed="false">
      <c r="A426" s="9" t="s">
        <v>1019</v>
      </c>
      <c r="B426" s="9" t="s">
        <v>1010</v>
      </c>
      <c r="C426" s="9" t="s">
        <v>414</v>
      </c>
      <c r="D426" s="9" t="s">
        <v>415</v>
      </c>
      <c r="E426" s="9" t="s">
        <v>146</v>
      </c>
      <c r="F426" s="9" t="s">
        <v>152</v>
      </c>
      <c r="G426" s="10" t="n">
        <v>26</v>
      </c>
      <c r="H426" s="10" t="n">
        <v>80</v>
      </c>
      <c r="I426" s="10" t="n">
        <v>10</v>
      </c>
      <c r="J426" s="10" t="n">
        <v>0</v>
      </c>
      <c r="K426" s="10" t="n">
        <f aca="false">G426+H426</f>
        <v>106</v>
      </c>
      <c r="L426" s="11" t="n">
        <f aca="false">IF(K426&gt;0,G426/K426,"")</f>
        <v>0.245283018867925</v>
      </c>
      <c r="M426" s="9" t="str">
        <f aca="false">IF(K426=0,"",IF(L426&lt;0.2,"Très masculine (&lt;20 % F)",IF(L426&lt;0.4,"Plutôt masculine (20-40 %)",IF(L426&lt;0.6,"Mixte (40-60 %)","À dominante féminine (≥60 %)"))))</f>
        <v>Plutôt masculine (20-40 %)</v>
      </c>
    </row>
    <row r="427" customFormat="false" ht="15" hidden="false" customHeight="false" outlineLevel="0" collapsed="false">
      <c r="A427" s="9" t="s">
        <v>1020</v>
      </c>
      <c r="B427" s="9" t="s">
        <v>1010</v>
      </c>
      <c r="C427" s="9" t="s">
        <v>414</v>
      </c>
      <c r="D427" s="9" t="s">
        <v>415</v>
      </c>
      <c r="E427" s="9" t="s">
        <v>146</v>
      </c>
      <c r="F427" s="9" t="s">
        <v>152</v>
      </c>
      <c r="G427" s="10" t="n">
        <v>127</v>
      </c>
      <c r="H427" s="10" t="n">
        <v>280</v>
      </c>
      <c r="I427" s="10" t="n">
        <v>10</v>
      </c>
      <c r="J427" s="10" t="n">
        <v>4</v>
      </c>
      <c r="K427" s="10" t="n">
        <f aca="false">G427+H427</f>
        <v>407</v>
      </c>
      <c r="L427" s="11" t="n">
        <f aca="false">IF(K427&gt;0,G427/K427,"")</f>
        <v>0.312039312039312</v>
      </c>
      <c r="M427" s="9" t="str">
        <f aca="false">IF(K427=0,"",IF(L427&lt;0.2,"Très masculine (&lt;20 % F)",IF(L427&lt;0.4,"Plutôt masculine (20-40 %)",IF(L427&lt;0.6,"Mixte (40-60 %)","À dominante féminine (≥60 %)"))))</f>
        <v>Plutôt masculine (20-40 %)</v>
      </c>
    </row>
    <row r="428" customFormat="false" ht="15" hidden="false" customHeight="false" outlineLevel="0" collapsed="false">
      <c r="A428" s="9" t="s">
        <v>1021</v>
      </c>
      <c r="B428" s="9" t="s">
        <v>1010</v>
      </c>
      <c r="C428" s="9" t="s">
        <v>414</v>
      </c>
      <c r="D428" s="9" t="s">
        <v>415</v>
      </c>
      <c r="E428" s="9" t="s">
        <v>146</v>
      </c>
      <c r="F428" s="9" t="s">
        <v>152</v>
      </c>
      <c r="G428" s="10" t="n">
        <v>110</v>
      </c>
      <c r="H428" s="10" t="n">
        <v>65</v>
      </c>
      <c r="I428" s="10" t="n">
        <v>40</v>
      </c>
      <c r="J428" s="10" t="n">
        <v>0</v>
      </c>
      <c r="K428" s="10" t="n">
        <f aca="false">G428+H428</f>
        <v>175</v>
      </c>
      <c r="L428" s="11" t="n">
        <f aca="false">IF(K428&gt;0,G428/K428,"")</f>
        <v>0.628571428571429</v>
      </c>
      <c r="M428" s="9" t="str">
        <f aca="false">IF(K428=0,"",IF(L428&lt;0.2,"Très masculine (&lt;20 % F)",IF(L428&lt;0.4,"Plutôt masculine (20-40 %)",IF(L428&lt;0.6,"Mixte (40-60 %)","À dominante féminine (≥60 %)"))))</f>
        <v>À dominante féminine (≥60 %)</v>
      </c>
    </row>
    <row r="429" customFormat="false" ht="15" hidden="false" customHeight="false" outlineLevel="0" collapsed="false">
      <c r="A429" s="9" t="s">
        <v>1022</v>
      </c>
      <c r="B429" s="9" t="s">
        <v>1023</v>
      </c>
      <c r="C429" s="9" t="s">
        <v>416</v>
      </c>
      <c r="D429" s="9" t="s">
        <v>417</v>
      </c>
      <c r="E429" s="9" t="s">
        <v>133</v>
      </c>
      <c r="F429" s="9" t="s">
        <v>134</v>
      </c>
      <c r="G429" s="10" t="n">
        <v>48</v>
      </c>
      <c r="H429" s="10" t="n">
        <v>3</v>
      </c>
      <c r="I429" s="10" t="n">
        <v>5</v>
      </c>
      <c r="J429" s="10" t="n">
        <v>0</v>
      </c>
      <c r="K429" s="10" t="n">
        <f aca="false">G429+H429</f>
        <v>51</v>
      </c>
      <c r="L429" s="11" t="n">
        <f aca="false">IF(K429&gt;0,G429/K429,"")</f>
        <v>0.941176470588235</v>
      </c>
      <c r="M429" s="9" t="str">
        <f aca="false">IF(K429=0,"",IF(L429&lt;0.2,"Très masculine (&lt;20 % F)",IF(L429&lt;0.4,"Plutôt masculine (20-40 %)",IF(L429&lt;0.6,"Mixte (40-60 %)","À dominante féminine (≥60 %)"))))</f>
        <v>À dominante féminine (≥60 %)</v>
      </c>
    </row>
    <row r="430" customFormat="false" ht="15" hidden="false" customHeight="false" outlineLevel="0" collapsed="false">
      <c r="A430" s="9" t="s">
        <v>1024</v>
      </c>
      <c r="B430" s="9" t="s">
        <v>1025</v>
      </c>
      <c r="C430" s="9" t="s">
        <v>418</v>
      </c>
      <c r="D430" s="9" t="s">
        <v>140</v>
      </c>
      <c r="E430" s="9" t="s">
        <v>140</v>
      </c>
      <c r="F430" s="9" t="s">
        <v>173</v>
      </c>
      <c r="G430" s="10" t="n">
        <v>217</v>
      </c>
      <c r="H430" s="10" t="n">
        <v>81</v>
      </c>
      <c r="I430" s="10" t="n">
        <v>7</v>
      </c>
      <c r="J430" s="10" t="n">
        <v>4</v>
      </c>
      <c r="K430" s="10" t="n">
        <f aca="false">G430+H430</f>
        <v>298</v>
      </c>
      <c r="L430" s="11" t="n">
        <f aca="false">IF(K430&gt;0,G430/K430,"")</f>
        <v>0.728187919463087</v>
      </c>
      <c r="M430" s="9" t="str">
        <f aca="false">IF(K430=0,"",IF(L430&lt;0.2,"Très masculine (&lt;20 % F)",IF(L430&lt;0.4,"Plutôt masculine (20-40 %)",IF(L430&lt;0.6,"Mixte (40-60 %)","À dominante féminine (≥60 %)"))))</f>
        <v>À dominante féminine (≥60 %)</v>
      </c>
    </row>
    <row r="431" customFormat="false" ht="15" hidden="false" customHeight="false" outlineLevel="0" collapsed="false">
      <c r="A431" s="9" t="s">
        <v>1026</v>
      </c>
      <c r="B431" s="9" t="s">
        <v>1025</v>
      </c>
      <c r="C431" s="9" t="s">
        <v>418</v>
      </c>
      <c r="D431" s="9" t="s">
        <v>140</v>
      </c>
      <c r="E431" s="9" t="s">
        <v>140</v>
      </c>
      <c r="F431" s="9" t="s">
        <v>173</v>
      </c>
      <c r="G431" s="10" t="n">
        <v>326</v>
      </c>
      <c r="H431" s="10" t="n">
        <v>142</v>
      </c>
      <c r="I431" s="10" t="n">
        <v>33</v>
      </c>
      <c r="J431" s="10" t="n">
        <v>0</v>
      </c>
      <c r="K431" s="10" t="n">
        <f aca="false">G431+H431</f>
        <v>468</v>
      </c>
      <c r="L431" s="11" t="n">
        <f aca="false">IF(K431&gt;0,G431/K431,"")</f>
        <v>0.696581196581197</v>
      </c>
      <c r="M431" s="9" t="str">
        <f aca="false">IF(K431=0,"",IF(L431&lt;0.2,"Très masculine (&lt;20 % F)",IF(L431&lt;0.4,"Plutôt masculine (20-40 %)",IF(L431&lt;0.6,"Mixte (40-60 %)","À dominante féminine (≥60 %)"))))</f>
        <v>À dominante féminine (≥60 %)</v>
      </c>
    </row>
    <row r="432" customFormat="false" ht="15" hidden="false" customHeight="false" outlineLevel="0" collapsed="false">
      <c r="A432" s="9" t="s">
        <v>1027</v>
      </c>
      <c r="B432" s="9" t="s">
        <v>1025</v>
      </c>
      <c r="C432" s="9" t="s">
        <v>418</v>
      </c>
      <c r="D432" s="9" t="s">
        <v>140</v>
      </c>
      <c r="E432" s="9" t="s">
        <v>140</v>
      </c>
      <c r="F432" s="9" t="s">
        <v>173</v>
      </c>
      <c r="G432" s="10" t="n">
        <v>842</v>
      </c>
      <c r="H432" s="10" t="n">
        <v>2042</v>
      </c>
      <c r="I432" s="10" t="n">
        <v>278</v>
      </c>
      <c r="J432" s="10" t="n">
        <v>16</v>
      </c>
      <c r="K432" s="10" t="n">
        <f aca="false">G432+H432</f>
        <v>2884</v>
      </c>
      <c r="L432" s="11" t="n">
        <f aca="false">IF(K432&gt;0,G432/K432,"")</f>
        <v>0.291955617198336</v>
      </c>
      <c r="M432" s="9" t="str">
        <f aca="false">IF(K432=0,"",IF(L432&lt;0.2,"Très masculine (&lt;20 % F)",IF(L432&lt;0.4,"Plutôt masculine (20-40 %)",IF(L432&lt;0.6,"Mixte (40-60 %)","À dominante féminine (≥60 %)"))))</f>
        <v>Plutôt masculine (20-40 %)</v>
      </c>
    </row>
    <row r="433" customFormat="false" ht="15" hidden="false" customHeight="false" outlineLevel="0" collapsed="false">
      <c r="A433" s="9" t="s">
        <v>1028</v>
      </c>
      <c r="B433" s="9" t="s">
        <v>1025</v>
      </c>
      <c r="C433" s="9" t="s">
        <v>418</v>
      </c>
      <c r="D433" s="9" t="s">
        <v>140</v>
      </c>
      <c r="E433" s="9" t="s">
        <v>140</v>
      </c>
      <c r="F433" s="9" t="s">
        <v>173</v>
      </c>
      <c r="G433" s="10" t="n">
        <v>0</v>
      </c>
      <c r="H433" s="10" t="n">
        <v>35</v>
      </c>
      <c r="I433" s="10" t="n">
        <v>20</v>
      </c>
      <c r="J433" s="10" t="n">
        <v>0</v>
      </c>
      <c r="K433" s="10" t="n">
        <f aca="false">G433+H433</f>
        <v>35</v>
      </c>
      <c r="L433" s="11" t="n">
        <f aca="false">IF(K433&gt;0,G433/K433,"")</f>
        <v>0</v>
      </c>
      <c r="M433" s="9" t="str">
        <f aca="false">IF(K433=0,"",IF(L433&lt;0.2,"Très masculine (&lt;20 % F)",IF(L433&lt;0.4,"Plutôt masculine (20-40 %)",IF(L433&lt;0.6,"Mixte (40-60 %)","À dominante féminine (≥60 %)"))))</f>
        <v>Très masculine (&lt;20 % F)</v>
      </c>
    </row>
    <row r="434" customFormat="false" ht="15" hidden="false" customHeight="false" outlineLevel="0" collapsed="false">
      <c r="A434" s="9" t="s">
        <v>1029</v>
      </c>
      <c r="B434" s="9" t="s">
        <v>1025</v>
      </c>
      <c r="C434" s="9" t="s">
        <v>418</v>
      </c>
      <c r="D434" s="9" t="s">
        <v>140</v>
      </c>
      <c r="E434" s="9" t="s">
        <v>140</v>
      </c>
      <c r="F434" s="9" t="s">
        <v>173</v>
      </c>
      <c r="G434" s="10" t="n">
        <v>37</v>
      </c>
      <c r="H434" s="10" t="n">
        <v>82</v>
      </c>
      <c r="I434" s="10" t="n">
        <v>40</v>
      </c>
      <c r="J434" s="10" t="n">
        <v>0</v>
      </c>
      <c r="K434" s="10" t="n">
        <f aca="false">G434+H434</f>
        <v>119</v>
      </c>
      <c r="L434" s="11" t="n">
        <f aca="false">IF(K434&gt;0,G434/K434,"")</f>
        <v>0.310924369747899</v>
      </c>
      <c r="M434" s="9" t="str">
        <f aca="false">IF(K434=0,"",IF(L434&lt;0.2,"Très masculine (&lt;20 % F)",IF(L434&lt;0.4,"Plutôt masculine (20-40 %)",IF(L434&lt;0.6,"Mixte (40-60 %)","À dominante féminine (≥60 %)"))))</f>
        <v>Plutôt masculine (20-40 %)</v>
      </c>
    </row>
    <row r="435" customFormat="false" ht="15" hidden="false" customHeight="false" outlineLevel="0" collapsed="false">
      <c r="A435" s="9" t="s">
        <v>1030</v>
      </c>
      <c r="B435" s="9" t="s">
        <v>1025</v>
      </c>
      <c r="C435" s="9" t="s">
        <v>418</v>
      </c>
      <c r="D435" s="9" t="s">
        <v>140</v>
      </c>
      <c r="E435" s="9" t="s">
        <v>140</v>
      </c>
      <c r="F435" s="9" t="s">
        <v>173</v>
      </c>
      <c r="G435" s="10" t="n">
        <v>16</v>
      </c>
      <c r="H435" s="10" t="n">
        <v>23</v>
      </c>
      <c r="I435" s="10" t="n">
        <v>7</v>
      </c>
      <c r="J435" s="10" t="n">
        <v>0</v>
      </c>
      <c r="K435" s="10" t="n">
        <f aca="false">G435+H435</f>
        <v>39</v>
      </c>
      <c r="L435" s="11" t="n">
        <f aca="false">IF(K435&gt;0,G435/K435,"")</f>
        <v>0.41025641025641</v>
      </c>
      <c r="M435" s="9" t="str">
        <f aca="false">IF(K435=0,"",IF(L435&lt;0.2,"Très masculine (&lt;20 % F)",IF(L435&lt;0.4,"Plutôt masculine (20-40 %)",IF(L435&lt;0.6,"Mixte (40-60 %)","À dominante féminine (≥60 %)"))))</f>
        <v>Mixte (40-60 %)</v>
      </c>
    </row>
    <row r="436" customFormat="false" ht="15" hidden="false" customHeight="false" outlineLevel="0" collapsed="false">
      <c r="A436" s="9" t="s">
        <v>1031</v>
      </c>
      <c r="B436" s="9" t="s">
        <v>1025</v>
      </c>
      <c r="C436" s="9" t="s">
        <v>418</v>
      </c>
      <c r="D436" s="9" t="s">
        <v>140</v>
      </c>
      <c r="E436" s="9" t="s">
        <v>140</v>
      </c>
      <c r="F436" s="9" t="s">
        <v>173</v>
      </c>
      <c r="G436" s="10" t="n">
        <v>356</v>
      </c>
      <c r="H436" s="10" t="n">
        <v>39</v>
      </c>
      <c r="I436" s="10" t="n">
        <v>10</v>
      </c>
      <c r="J436" s="10" t="n">
        <v>15</v>
      </c>
      <c r="K436" s="10" t="n">
        <f aca="false">G436+H436</f>
        <v>395</v>
      </c>
      <c r="L436" s="11" t="n">
        <f aca="false">IF(K436&gt;0,G436/K436,"")</f>
        <v>0.90126582278481</v>
      </c>
      <c r="M436" s="9" t="str">
        <f aca="false">IF(K436=0,"",IF(L436&lt;0.2,"Très masculine (&lt;20 % F)",IF(L436&lt;0.4,"Plutôt masculine (20-40 %)",IF(L436&lt;0.6,"Mixte (40-60 %)","À dominante féminine (≥60 %)"))))</f>
        <v>À dominante féminine (≥60 %)</v>
      </c>
    </row>
    <row r="437" customFormat="false" ht="15" hidden="false" customHeight="false" outlineLevel="0" collapsed="false">
      <c r="A437" s="9" t="s">
        <v>1032</v>
      </c>
      <c r="B437" s="9" t="s">
        <v>1025</v>
      </c>
      <c r="C437" s="9" t="s">
        <v>418</v>
      </c>
      <c r="D437" s="9" t="s">
        <v>140</v>
      </c>
      <c r="E437" s="9" t="s">
        <v>140</v>
      </c>
      <c r="F437" s="9" t="s">
        <v>173</v>
      </c>
      <c r="G437" s="10" t="n">
        <v>144</v>
      </c>
      <c r="H437" s="10" t="n">
        <v>67</v>
      </c>
      <c r="I437" s="10" t="n">
        <v>22</v>
      </c>
      <c r="J437" s="10" t="n">
        <v>0</v>
      </c>
      <c r="K437" s="10" t="n">
        <f aca="false">G437+H437</f>
        <v>211</v>
      </c>
      <c r="L437" s="11" t="n">
        <f aca="false">IF(K437&gt;0,G437/K437,"")</f>
        <v>0.682464454976303</v>
      </c>
      <c r="M437" s="9" t="str">
        <f aca="false">IF(K437=0,"",IF(L437&lt;0.2,"Très masculine (&lt;20 % F)",IF(L437&lt;0.4,"Plutôt masculine (20-40 %)",IF(L437&lt;0.6,"Mixte (40-60 %)","À dominante féminine (≥60 %)"))))</f>
        <v>À dominante féminine (≥60 %)</v>
      </c>
    </row>
    <row r="438" customFormat="false" ht="15" hidden="false" customHeight="false" outlineLevel="0" collapsed="false">
      <c r="A438" s="9" t="s">
        <v>1033</v>
      </c>
      <c r="B438" s="9" t="s">
        <v>1025</v>
      </c>
      <c r="C438" s="9" t="s">
        <v>418</v>
      </c>
      <c r="D438" s="9" t="s">
        <v>140</v>
      </c>
      <c r="E438" s="9" t="s">
        <v>140</v>
      </c>
      <c r="F438" s="9" t="s">
        <v>173</v>
      </c>
      <c r="G438" s="10" t="n">
        <v>93</v>
      </c>
      <c r="H438" s="10" t="n">
        <v>118</v>
      </c>
      <c r="I438" s="10" t="n">
        <v>25</v>
      </c>
      <c r="J438" s="10" t="n">
        <v>2</v>
      </c>
      <c r="K438" s="10" t="n">
        <f aca="false">G438+H438</f>
        <v>211</v>
      </c>
      <c r="L438" s="11" t="n">
        <f aca="false">IF(K438&gt;0,G438/K438,"")</f>
        <v>0.440758293838863</v>
      </c>
      <c r="M438" s="9" t="str">
        <f aca="false">IF(K438=0,"",IF(L438&lt;0.2,"Très masculine (&lt;20 % F)",IF(L438&lt;0.4,"Plutôt masculine (20-40 %)",IF(L438&lt;0.6,"Mixte (40-60 %)","À dominante féminine (≥60 %)"))))</f>
        <v>Mixte (40-60 %)</v>
      </c>
    </row>
    <row r="439" customFormat="false" ht="15" hidden="false" customHeight="false" outlineLevel="0" collapsed="false">
      <c r="A439" s="9" t="s">
        <v>1034</v>
      </c>
      <c r="B439" s="9" t="s">
        <v>1025</v>
      </c>
      <c r="C439" s="9" t="s">
        <v>418</v>
      </c>
      <c r="D439" s="9" t="s">
        <v>140</v>
      </c>
      <c r="E439" s="9" t="s">
        <v>140</v>
      </c>
      <c r="F439" s="9" t="s">
        <v>173</v>
      </c>
      <c r="G439" s="10" t="n">
        <v>45</v>
      </c>
      <c r="H439" s="10" t="n">
        <v>0</v>
      </c>
      <c r="I439" s="10" t="n">
        <v>15</v>
      </c>
      <c r="J439" s="10" t="n">
        <v>0</v>
      </c>
      <c r="K439" s="10" t="n">
        <f aca="false">G439+H439</f>
        <v>45</v>
      </c>
      <c r="L439" s="11" t="n">
        <f aca="false">IF(K439&gt;0,G439/K439,"")</f>
        <v>1</v>
      </c>
      <c r="M439" s="9" t="str">
        <f aca="false">IF(K439=0,"",IF(L439&lt;0.2,"Très masculine (&lt;20 % F)",IF(L439&lt;0.4,"Plutôt masculine (20-40 %)",IF(L439&lt;0.6,"Mixte (40-60 %)","À dominante féminine (≥60 %)"))))</f>
        <v>À dominante féminine (≥60 %)</v>
      </c>
    </row>
    <row r="440" customFormat="false" ht="15" hidden="false" customHeight="false" outlineLevel="0" collapsed="false">
      <c r="A440" s="9" t="s">
        <v>1035</v>
      </c>
      <c r="B440" s="9" t="s">
        <v>1036</v>
      </c>
      <c r="C440" s="9" t="s">
        <v>419</v>
      </c>
      <c r="D440" s="9" t="s">
        <v>420</v>
      </c>
      <c r="E440" s="9" t="s">
        <v>146</v>
      </c>
      <c r="F440" s="9" t="s">
        <v>116</v>
      </c>
      <c r="G440" s="10" t="n">
        <v>27</v>
      </c>
      <c r="H440" s="10" t="n">
        <v>28</v>
      </c>
      <c r="I440" s="10" t="n">
        <v>3</v>
      </c>
      <c r="J440" s="10" t="n">
        <v>0</v>
      </c>
      <c r="K440" s="10" t="n">
        <f aca="false">G440+H440</f>
        <v>55</v>
      </c>
      <c r="L440" s="11" t="n">
        <f aca="false">IF(K440&gt;0,G440/K440,"")</f>
        <v>0.490909090909091</v>
      </c>
      <c r="M440" s="9" t="str">
        <f aca="false">IF(K440=0,"",IF(L440&lt;0.2,"Très masculine (&lt;20 % F)",IF(L440&lt;0.4,"Plutôt masculine (20-40 %)",IF(L440&lt;0.6,"Mixte (40-60 %)","À dominante féminine (≥60 %)"))))</f>
        <v>Mixte (40-60 %)</v>
      </c>
    </row>
    <row r="441" customFormat="false" ht="15" hidden="false" customHeight="false" outlineLevel="0" collapsed="false">
      <c r="A441" s="9" t="s">
        <v>1037</v>
      </c>
      <c r="B441" s="9" t="s">
        <v>1036</v>
      </c>
      <c r="C441" s="9" t="s">
        <v>419</v>
      </c>
      <c r="D441" s="9" t="s">
        <v>420</v>
      </c>
      <c r="E441" s="9" t="s">
        <v>146</v>
      </c>
      <c r="F441" s="9" t="s">
        <v>116</v>
      </c>
      <c r="G441" s="10" t="n">
        <v>60</v>
      </c>
      <c r="H441" s="10" t="n">
        <v>500</v>
      </c>
      <c r="I441" s="10" t="n">
        <v>52</v>
      </c>
      <c r="J441" s="10" t="n">
        <v>0</v>
      </c>
      <c r="K441" s="10" t="n">
        <f aca="false">G441+H441</f>
        <v>560</v>
      </c>
      <c r="L441" s="11" t="n">
        <f aca="false">IF(K441&gt;0,G441/K441,"")</f>
        <v>0.107142857142857</v>
      </c>
      <c r="M441" s="9" t="str">
        <f aca="false">IF(K441=0,"",IF(L441&lt;0.2,"Très masculine (&lt;20 % F)",IF(L441&lt;0.4,"Plutôt masculine (20-40 %)",IF(L441&lt;0.6,"Mixte (40-60 %)","À dominante féminine (≥60 %)"))))</f>
        <v>Très masculine (&lt;20 % F)</v>
      </c>
    </row>
    <row r="442" customFormat="false" ht="15" hidden="false" customHeight="false" outlineLevel="0" collapsed="false">
      <c r="A442" s="9" t="s">
        <v>1038</v>
      </c>
      <c r="B442" s="9" t="s">
        <v>1036</v>
      </c>
      <c r="C442" s="9" t="s">
        <v>419</v>
      </c>
      <c r="D442" s="9" t="s">
        <v>420</v>
      </c>
      <c r="E442" s="9" t="s">
        <v>146</v>
      </c>
      <c r="F442" s="9" t="s">
        <v>116</v>
      </c>
      <c r="G442" s="10" t="n">
        <v>36</v>
      </c>
      <c r="H442" s="10" t="n">
        <v>127</v>
      </c>
      <c r="I442" s="10" t="n">
        <v>3</v>
      </c>
      <c r="J442" s="10" t="n">
        <v>2</v>
      </c>
      <c r="K442" s="10" t="n">
        <f aca="false">G442+H442</f>
        <v>163</v>
      </c>
      <c r="L442" s="11" t="n">
        <f aca="false">IF(K442&gt;0,G442/K442,"")</f>
        <v>0.220858895705521</v>
      </c>
      <c r="M442" s="9" t="str">
        <f aca="false">IF(K442=0,"",IF(L442&lt;0.2,"Très masculine (&lt;20 % F)",IF(L442&lt;0.4,"Plutôt masculine (20-40 %)",IF(L442&lt;0.6,"Mixte (40-60 %)","À dominante féminine (≥60 %)"))))</f>
        <v>Plutôt masculine (20-40 %)</v>
      </c>
    </row>
    <row r="443" customFormat="false" ht="15" hidden="false" customHeight="false" outlineLevel="0" collapsed="false">
      <c r="A443" s="9" t="s">
        <v>1039</v>
      </c>
      <c r="B443" s="9" t="s">
        <v>1036</v>
      </c>
      <c r="C443" s="9" t="s">
        <v>419</v>
      </c>
      <c r="D443" s="9" t="s">
        <v>420</v>
      </c>
      <c r="E443" s="9" t="s">
        <v>146</v>
      </c>
      <c r="F443" s="9" t="s">
        <v>116</v>
      </c>
      <c r="G443" s="10" t="n">
        <v>32</v>
      </c>
      <c r="H443" s="10" t="n">
        <v>36</v>
      </c>
      <c r="I443" s="10" t="n">
        <v>4</v>
      </c>
      <c r="J443" s="10" t="n">
        <v>0</v>
      </c>
      <c r="K443" s="10" t="n">
        <f aca="false">G443+H443</f>
        <v>68</v>
      </c>
      <c r="L443" s="11" t="n">
        <f aca="false">IF(K443&gt;0,G443/K443,"")</f>
        <v>0.470588235294118</v>
      </c>
      <c r="M443" s="9" t="str">
        <f aca="false">IF(K443=0,"",IF(L443&lt;0.2,"Très masculine (&lt;20 % F)",IF(L443&lt;0.4,"Plutôt masculine (20-40 %)",IF(L443&lt;0.6,"Mixte (40-60 %)","À dominante féminine (≥60 %)"))))</f>
        <v>Mixte (40-60 %)</v>
      </c>
    </row>
    <row r="444" customFormat="false" ht="15" hidden="false" customHeight="false" outlineLevel="0" collapsed="false">
      <c r="A444" s="9" t="s">
        <v>1040</v>
      </c>
      <c r="B444" s="9" t="s">
        <v>1036</v>
      </c>
      <c r="C444" s="9" t="s">
        <v>419</v>
      </c>
      <c r="D444" s="9" t="s">
        <v>420</v>
      </c>
      <c r="E444" s="9" t="s">
        <v>146</v>
      </c>
      <c r="F444" s="9" t="s">
        <v>116</v>
      </c>
      <c r="G444" s="10" t="n">
        <v>12</v>
      </c>
      <c r="H444" s="10" t="n">
        <v>43</v>
      </c>
      <c r="I444" s="10" t="n">
        <v>6</v>
      </c>
      <c r="J444" s="10" t="n">
        <v>1</v>
      </c>
      <c r="K444" s="10" t="n">
        <f aca="false">G444+H444</f>
        <v>55</v>
      </c>
      <c r="L444" s="11" t="n">
        <f aca="false">IF(K444&gt;0,G444/K444,"")</f>
        <v>0.218181818181818</v>
      </c>
      <c r="M444" s="9" t="str">
        <f aca="false">IF(K444=0,"",IF(L444&lt;0.2,"Très masculine (&lt;20 % F)",IF(L444&lt;0.4,"Plutôt masculine (20-40 %)",IF(L444&lt;0.6,"Mixte (40-60 %)","À dominante féminine (≥60 %)"))))</f>
        <v>Plutôt masculine (20-40 %)</v>
      </c>
    </row>
    <row r="445" customFormat="false" ht="15" hidden="false" customHeight="false" outlineLevel="0" collapsed="false">
      <c r="A445" s="9" t="s">
        <v>1041</v>
      </c>
      <c r="B445" s="9" t="s">
        <v>1036</v>
      </c>
      <c r="C445" s="9" t="s">
        <v>419</v>
      </c>
      <c r="D445" s="9" t="s">
        <v>420</v>
      </c>
      <c r="E445" s="9" t="s">
        <v>146</v>
      </c>
      <c r="F445" s="9" t="s">
        <v>116</v>
      </c>
      <c r="G445" s="10" t="n">
        <v>131</v>
      </c>
      <c r="H445" s="10" t="n">
        <v>257</v>
      </c>
      <c r="I445" s="10" t="n">
        <v>20</v>
      </c>
      <c r="J445" s="10" t="n">
        <v>4</v>
      </c>
      <c r="K445" s="10" t="n">
        <f aca="false">G445+H445</f>
        <v>388</v>
      </c>
      <c r="L445" s="11" t="n">
        <f aca="false">IF(K445&gt;0,G445/K445,"")</f>
        <v>0.337628865979381</v>
      </c>
      <c r="M445" s="9" t="str">
        <f aca="false">IF(K445=0,"",IF(L445&lt;0.2,"Très masculine (&lt;20 % F)",IF(L445&lt;0.4,"Plutôt masculine (20-40 %)",IF(L445&lt;0.6,"Mixte (40-60 %)","À dominante féminine (≥60 %)"))))</f>
        <v>Plutôt masculine (20-40 %)</v>
      </c>
    </row>
    <row r="446" customFormat="false" ht="15" hidden="false" customHeight="false" outlineLevel="0" collapsed="false">
      <c r="A446" s="9" t="s">
        <v>1042</v>
      </c>
      <c r="B446" s="9" t="s">
        <v>1036</v>
      </c>
      <c r="C446" s="9" t="s">
        <v>419</v>
      </c>
      <c r="D446" s="9" t="s">
        <v>420</v>
      </c>
      <c r="E446" s="9" t="s">
        <v>146</v>
      </c>
      <c r="F446" s="9" t="s">
        <v>116</v>
      </c>
      <c r="G446" s="10" t="n">
        <v>0</v>
      </c>
      <c r="H446" s="10" t="n">
        <v>6</v>
      </c>
      <c r="I446" s="10" t="n">
        <v>5</v>
      </c>
      <c r="J446" s="10" t="n">
        <v>0</v>
      </c>
      <c r="K446" s="10" t="n">
        <f aca="false">G446+H446</f>
        <v>6</v>
      </c>
      <c r="L446" s="11" t="n">
        <f aca="false">IF(K446&gt;0,G446/K446,"")</f>
        <v>0</v>
      </c>
      <c r="M446" s="9" t="str">
        <f aca="false">IF(K446=0,"",IF(L446&lt;0.2,"Très masculine (&lt;20 % F)",IF(L446&lt;0.4,"Plutôt masculine (20-40 %)",IF(L446&lt;0.6,"Mixte (40-60 %)","À dominante féminine (≥60 %)"))))</f>
        <v>Très masculine (&lt;20 % F)</v>
      </c>
    </row>
    <row r="447" customFormat="false" ht="15" hidden="false" customHeight="false" outlineLevel="0" collapsed="false">
      <c r="A447" s="9" t="s">
        <v>1043</v>
      </c>
      <c r="B447" s="9" t="s">
        <v>1044</v>
      </c>
      <c r="C447" s="9" t="s">
        <v>421</v>
      </c>
      <c r="D447" s="9" t="s">
        <v>422</v>
      </c>
      <c r="E447" s="9" t="s">
        <v>216</v>
      </c>
      <c r="F447" s="9" t="s">
        <v>125</v>
      </c>
      <c r="G447" s="10" t="n">
        <v>18</v>
      </c>
      <c r="H447" s="10" t="n">
        <v>66</v>
      </c>
      <c r="I447" s="10" t="n">
        <v>1</v>
      </c>
      <c r="J447" s="10" t="n">
        <v>1</v>
      </c>
      <c r="K447" s="10" t="n">
        <f aca="false">G447+H447</f>
        <v>84</v>
      </c>
      <c r="L447" s="11" t="n">
        <f aca="false">IF(K447&gt;0,G447/K447,"")</f>
        <v>0.214285714285714</v>
      </c>
      <c r="M447" s="9" t="str">
        <f aca="false">IF(K447=0,"",IF(L447&lt;0.2,"Très masculine (&lt;20 % F)",IF(L447&lt;0.4,"Plutôt masculine (20-40 %)",IF(L447&lt;0.6,"Mixte (40-60 %)","À dominante féminine (≥60 %)"))))</f>
        <v>Plutôt masculine (20-40 %)</v>
      </c>
    </row>
    <row r="448" customFormat="false" ht="15" hidden="false" customHeight="false" outlineLevel="0" collapsed="false">
      <c r="A448" s="9" t="s">
        <v>1045</v>
      </c>
      <c r="B448" s="9" t="s">
        <v>1044</v>
      </c>
      <c r="C448" s="9" t="s">
        <v>421</v>
      </c>
      <c r="D448" s="9" t="s">
        <v>422</v>
      </c>
      <c r="E448" s="9" t="s">
        <v>216</v>
      </c>
      <c r="F448" s="9" t="s">
        <v>125</v>
      </c>
      <c r="G448" s="10" t="n">
        <v>10</v>
      </c>
      <c r="H448" s="10" t="n">
        <v>31</v>
      </c>
      <c r="I448" s="10" t="n">
        <v>3</v>
      </c>
      <c r="J448" s="10" t="n">
        <v>0</v>
      </c>
      <c r="K448" s="10" t="n">
        <f aca="false">G448+H448</f>
        <v>41</v>
      </c>
      <c r="L448" s="11" t="n">
        <f aca="false">IF(K448&gt;0,G448/K448,"")</f>
        <v>0.24390243902439</v>
      </c>
      <c r="M448" s="9" t="str">
        <f aca="false">IF(K448=0,"",IF(L448&lt;0.2,"Très masculine (&lt;20 % F)",IF(L448&lt;0.4,"Plutôt masculine (20-40 %)",IF(L448&lt;0.6,"Mixte (40-60 %)","À dominante féminine (≥60 %)"))))</f>
        <v>Plutôt masculine (20-40 %)</v>
      </c>
    </row>
    <row r="449" customFormat="false" ht="15" hidden="false" customHeight="false" outlineLevel="0" collapsed="false">
      <c r="A449" s="9" t="s">
        <v>1046</v>
      </c>
      <c r="B449" s="9" t="s">
        <v>1044</v>
      </c>
      <c r="C449" s="9" t="s">
        <v>421</v>
      </c>
      <c r="D449" s="9" t="s">
        <v>422</v>
      </c>
      <c r="E449" s="9" t="s">
        <v>216</v>
      </c>
      <c r="F449" s="9" t="s">
        <v>125</v>
      </c>
      <c r="G449" s="10" t="n">
        <v>3</v>
      </c>
      <c r="H449" s="10" t="n">
        <v>6</v>
      </c>
      <c r="I449" s="10" t="n">
        <v>4</v>
      </c>
      <c r="J449" s="10" t="n">
        <v>0</v>
      </c>
      <c r="K449" s="10" t="n">
        <f aca="false">G449+H449</f>
        <v>9</v>
      </c>
      <c r="L449" s="11" t="n">
        <f aca="false">IF(K449&gt;0,G449/K449,"")</f>
        <v>0.333333333333333</v>
      </c>
      <c r="M449" s="9" t="str">
        <f aca="false">IF(K449=0,"",IF(L449&lt;0.2,"Très masculine (&lt;20 % F)",IF(L449&lt;0.4,"Plutôt masculine (20-40 %)",IF(L449&lt;0.6,"Mixte (40-60 %)","À dominante féminine (≥60 %)"))))</f>
        <v>Plutôt masculine (20-40 %)</v>
      </c>
    </row>
    <row r="450" customFormat="false" ht="15" hidden="false" customHeight="false" outlineLevel="0" collapsed="false">
      <c r="A450" s="9" t="s">
        <v>1047</v>
      </c>
      <c r="B450" s="9" t="s">
        <v>1048</v>
      </c>
      <c r="C450" s="9" t="s">
        <v>423</v>
      </c>
      <c r="D450" s="9" t="s">
        <v>424</v>
      </c>
      <c r="E450" s="9" t="s">
        <v>120</v>
      </c>
      <c r="F450" s="9" t="s">
        <v>152</v>
      </c>
      <c r="G450" s="10" t="n">
        <v>16</v>
      </c>
      <c r="H450" s="10" t="n">
        <v>154</v>
      </c>
      <c r="I450" s="10" t="n">
        <v>25</v>
      </c>
      <c r="J450" s="10" t="n">
        <v>2</v>
      </c>
      <c r="K450" s="10" t="n">
        <f aca="false">G450+H450</f>
        <v>170</v>
      </c>
      <c r="L450" s="11" t="n">
        <f aca="false">IF(K450&gt;0,G450/K450,"")</f>
        <v>0.0941176470588235</v>
      </c>
      <c r="M450" s="9" t="str">
        <f aca="false">IF(K450=0,"",IF(L450&lt;0.2,"Très masculine (&lt;20 % F)",IF(L450&lt;0.4,"Plutôt masculine (20-40 %)",IF(L450&lt;0.6,"Mixte (40-60 %)","À dominante féminine (≥60 %)"))))</f>
        <v>Très masculine (&lt;20 % F)</v>
      </c>
    </row>
    <row r="451" customFormat="false" ht="15" hidden="false" customHeight="false" outlineLevel="0" collapsed="false">
      <c r="A451" s="9" t="s">
        <v>1049</v>
      </c>
      <c r="B451" s="9" t="s">
        <v>1048</v>
      </c>
      <c r="C451" s="9" t="s">
        <v>423</v>
      </c>
      <c r="D451" s="9" t="s">
        <v>424</v>
      </c>
      <c r="E451" s="9" t="s">
        <v>120</v>
      </c>
      <c r="F451" s="9" t="s">
        <v>152</v>
      </c>
      <c r="G451" s="10" t="n">
        <v>114</v>
      </c>
      <c r="H451" s="10" t="n">
        <v>201</v>
      </c>
      <c r="I451" s="10" t="n">
        <v>20</v>
      </c>
      <c r="J451" s="10" t="n">
        <v>5</v>
      </c>
      <c r="K451" s="10" t="n">
        <f aca="false">G451+H451</f>
        <v>315</v>
      </c>
      <c r="L451" s="11" t="n">
        <f aca="false">IF(K451&gt;0,G451/K451,"")</f>
        <v>0.361904761904762</v>
      </c>
      <c r="M451" s="9" t="str">
        <f aca="false">IF(K451=0,"",IF(L451&lt;0.2,"Très masculine (&lt;20 % F)",IF(L451&lt;0.4,"Plutôt masculine (20-40 %)",IF(L451&lt;0.6,"Mixte (40-60 %)","À dominante féminine (≥60 %)"))))</f>
        <v>Plutôt masculine (20-40 %)</v>
      </c>
    </row>
    <row r="452" customFormat="false" ht="15" hidden="false" customHeight="false" outlineLevel="0" collapsed="false">
      <c r="A452" s="9" t="s">
        <v>1050</v>
      </c>
      <c r="B452" s="9" t="s">
        <v>1048</v>
      </c>
      <c r="C452" s="9" t="s">
        <v>423</v>
      </c>
      <c r="D452" s="9" t="s">
        <v>424</v>
      </c>
      <c r="E452" s="9" t="s">
        <v>120</v>
      </c>
      <c r="F452" s="9" t="s">
        <v>152</v>
      </c>
      <c r="G452" s="10" t="n">
        <v>26</v>
      </c>
      <c r="H452" s="10" t="n">
        <v>56</v>
      </c>
      <c r="I452" s="10" t="n">
        <v>10</v>
      </c>
      <c r="J452" s="10" t="n">
        <v>0</v>
      </c>
      <c r="K452" s="10" t="n">
        <f aca="false">G452+H452</f>
        <v>82</v>
      </c>
      <c r="L452" s="11" t="n">
        <f aca="false">IF(K452&gt;0,G452/K452,"")</f>
        <v>0.317073170731707</v>
      </c>
      <c r="M452" s="9" t="str">
        <f aca="false">IF(K452=0,"",IF(L452&lt;0.2,"Très masculine (&lt;20 % F)",IF(L452&lt;0.4,"Plutôt masculine (20-40 %)",IF(L452&lt;0.6,"Mixte (40-60 %)","À dominante féminine (≥60 %)"))))</f>
        <v>Plutôt masculine (20-40 %)</v>
      </c>
    </row>
    <row r="453" customFormat="false" ht="15" hidden="false" customHeight="false" outlineLevel="0" collapsed="false">
      <c r="A453" s="9" t="s">
        <v>1051</v>
      </c>
      <c r="B453" s="9" t="s">
        <v>1052</v>
      </c>
      <c r="C453" s="9" t="s">
        <v>423</v>
      </c>
      <c r="D453" s="9" t="s">
        <v>424</v>
      </c>
      <c r="E453" s="9" t="s">
        <v>120</v>
      </c>
      <c r="F453" s="9" t="s">
        <v>152</v>
      </c>
      <c r="G453" s="10" t="n">
        <v>25</v>
      </c>
      <c r="H453" s="10" t="n">
        <v>123</v>
      </c>
      <c r="I453" s="10" t="n">
        <v>12</v>
      </c>
      <c r="J453" s="10" t="n">
        <v>3</v>
      </c>
      <c r="K453" s="10" t="n">
        <f aca="false">G453+H453</f>
        <v>148</v>
      </c>
      <c r="L453" s="11" t="n">
        <f aca="false">IF(K453&gt;0,G453/K453,"")</f>
        <v>0.168918918918919</v>
      </c>
      <c r="M453" s="9" t="str">
        <f aca="false">IF(K453=0,"",IF(L453&lt;0.2,"Très masculine (&lt;20 % F)",IF(L453&lt;0.4,"Plutôt masculine (20-40 %)",IF(L453&lt;0.6,"Mixte (40-60 %)","À dominante féminine (≥60 %)"))))</f>
        <v>Très masculine (&lt;20 % F)</v>
      </c>
    </row>
    <row r="454" customFormat="false" ht="15" hidden="false" customHeight="false" outlineLevel="0" collapsed="false">
      <c r="A454" s="9" t="s">
        <v>1053</v>
      </c>
      <c r="B454" s="9" t="s">
        <v>1048</v>
      </c>
      <c r="C454" s="9" t="s">
        <v>423</v>
      </c>
      <c r="D454" s="9" t="s">
        <v>424</v>
      </c>
      <c r="E454" s="9" t="s">
        <v>120</v>
      </c>
      <c r="F454" s="9" t="s">
        <v>152</v>
      </c>
      <c r="G454" s="10" t="n">
        <v>36</v>
      </c>
      <c r="H454" s="10" t="n">
        <v>2</v>
      </c>
      <c r="I454" s="10" t="n">
        <v>4</v>
      </c>
      <c r="J454" s="10" t="n">
        <v>0</v>
      </c>
      <c r="K454" s="10" t="n">
        <f aca="false">G454+H454</f>
        <v>38</v>
      </c>
      <c r="L454" s="11" t="n">
        <f aca="false">IF(K454&gt;0,G454/K454,"")</f>
        <v>0.947368421052632</v>
      </c>
      <c r="M454" s="9" t="str">
        <f aca="false">IF(K454=0,"",IF(L454&lt;0.2,"Très masculine (&lt;20 % F)",IF(L454&lt;0.4,"Plutôt masculine (20-40 %)",IF(L454&lt;0.6,"Mixte (40-60 %)","À dominante féminine (≥60 %)"))))</f>
        <v>À dominante féminine (≥60 %)</v>
      </c>
    </row>
    <row r="455" customFormat="false" ht="15" hidden="false" customHeight="false" outlineLevel="0" collapsed="false">
      <c r="A455" s="9" t="s">
        <v>1054</v>
      </c>
      <c r="B455" s="9" t="s">
        <v>1052</v>
      </c>
      <c r="C455" s="9" t="s">
        <v>423</v>
      </c>
      <c r="D455" s="9" t="s">
        <v>424</v>
      </c>
      <c r="E455" s="9" t="s">
        <v>120</v>
      </c>
      <c r="F455" s="9" t="s">
        <v>152</v>
      </c>
      <c r="G455" s="10" t="n">
        <v>4</v>
      </c>
      <c r="H455" s="10" t="n">
        <v>20</v>
      </c>
      <c r="I455" s="10" t="n">
        <v>3</v>
      </c>
      <c r="J455" s="10" t="n">
        <v>1</v>
      </c>
      <c r="K455" s="10" t="n">
        <f aca="false">G455+H455</f>
        <v>24</v>
      </c>
      <c r="L455" s="11" t="n">
        <f aca="false">IF(K455&gt;0,G455/K455,"")</f>
        <v>0.166666666666667</v>
      </c>
      <c r="M455" s="9" t="str">
        <f aca="false">IF(K455=0,"",IF(L455&lt;0.2,"Très masculine (&lt;20 % F)",IF(L455&lt;0.4,"Plutôt masculine (20-40 %)",IF(L455&lt;0.6,"Mixte (40-60 %)","À dominante féminine (≥60 %)"))))</f>
        <v>Très masculine (&lt;20 % F)</v>
      </c>
    </row>
    <row r="456" customFormat="false" ht="15" hidden="false" customHeight="false" outlineLevel="0" collapsed="false">
      <c r="A456" s="9" t="s">
        <v>1055</v>
      </c>
      <c r="B456" s="9" t="s">
        <v>1048</v>
      </c>
      <c r="C456" s="9" t="s">
        <v>423</v>
      </c>
      <c r="D456" s="9" t="s">
        <v>424</v>
      </c>
      <c r="E456" s="9" t="s">
        <v>120</v>
      </c>
      <c r="F456" s="9" t="s">
        <v>152</v>
      </c>
      <c r="G456" s="10" t="n">
        <v>140</v>
      </c>
      <c r="H456" s="10" t="n">
        <v>0</v>
      </c>
      <c r="I456" s="10" t="n">
        <v>25</v>
      </c>
      <c r="J456" s="10" t="n">
        <v>0</v>
      </c>
      <c r="K456" s="10" t="n">
        <f aca="false">G456+H456</f>
        <v>140</v>
      </c>
      <c r="L456" s="11" t="n">
        <f aca="false">IF(K456&gt;0,G456/K456,"")</f>
        <v>1</v>
      </c>
      <c r="M456" s="9" t="str">
        <f aca="false">IF(K456=0,"",IF(L456&lt;0.2,"Très masculine (&lt;20 % F)",IF(L456&lt;0.4,"Plutôt masculine (20-40 %)",IF(L456&lt;0.6,"Mixte (40-60 %)","À dominante féminine (≥60 %)"))))</f>
        <v>À dominante féminine (≥60 %)</v>
      </c>
    </row>
    <row r="457" customFormat="false" ht="15" hidden="false" customHeight="false" outlineLevel="0" collapsed="false">
      <c r="A457" s="9" t="s">
        <v>1056</v>
      </c>
      <c r="B457" s="9" t="s">
        <v>1048</v>
      </c>
      <c r="C457" s="9" t="s">
        <v>423</v>
      </c>
      <c r="D457" s="9" t="s">
        <v>424</v>
      </c>
      <c r="E457" s="9" t="s">
        <v>120</v>
      </c>
      <c r="F457" s="9" t="s">
        <v>152</v>
      </c>
      <c r="G457" s="10" t="n">
        <v>69</v>
      </c>
      <c r="H457" s="10" t="n">
        <v>19</v>
      </c>
      <c r="I457" s="10" t="n">
        <v>10</v>
      </c>
      <c r="J457" s="10" t="n">
        <v>0</v>
      </c>
      <c r="K457" s="10" t="n">
        <f aca="false">G457+H457</f>
        <v>88</v>
      </c>
      <c r="L457" s="11" t="n">
        <f aca="false">IF(K457&gt;0,G457/K457,"")</f>
        <v>0.784090909090909</v>
      </c>
      <c r="M457" s="9" t="str">
        <f aca="false">IF(K457=0,"",IF(L457&lt;0.2,"Très masculine (&lt;20 % F)",IF(L457&lt;0.4,"Plutôt masculine (20-40 %)",IF(L457&lt;0.6,"Mixte (40-60 %)","À dominante féminine (≥60 %)"))))</f>
        <v>À dominante féminine (≥60 %)</v>
      </c>
    </row>
    <row r="458" customFormat="false" ht="15" hidden="false" customHeight="false" outlineLevel="0" collapsed="false">
      <c r="A458" s="9" t="s">
        <v>1057</v>
      </c>
      <c r="B458" s="9" t="s">
        <v>1048</v>
      </c>
      <c r="C458" s="9" t="s">
        <v>423</v>
      </c>
      <c r="D458" s="9" t="s">
        <v>424</v>
      </c>
      <c r="E458" s="9" t="s">
        <v>120</v>
      </c>
      <c r="F458" s="9" t="s">
        <v>152</v>
      </c>
      <c r="G458" s="10" t="n">
        <v>340</v>
      </c>
      <c r="H458" s="10" t="n">
        <v>60</v>
      </c>
      <c r="I458" s="10" t="n">
        <v>6</v>
      </c>
      <c r="J458" s="10" t="n">
        <v>5</v>
      </c>
      <c r="K458" s="10" t="n">
        <f aca="false">G458+H458</f>
        <v>400</v>
      </c>
      <c r="L458" s="11" t="n">
        <f aca="false">IF(K458&gt;0,G458/K458,"")</f>
        <v>0.85</v>
      </c>
      <c r="M458" s="9" t="str">
        <f aca="false">IF(K458=0,"",IF(L458&lt;0.2,"Très masculine (&lt;20 % F)",IF(L458&lt;0.4,"Plutôt masculine (20-40 %)",IF(L458&lt;0.6,"Mixte (40-60 %)","À dominante féminine (≥60 %)"))))</f>
        <v>À dominante féminine (≥60 %)</v>
      </c>
    </row>
    <row r="459" customFormat="false" ht="15" hidden="false" customHeight="false" outlineLevel="0" collapsed="false">
      <c r="A459" s="9" t="s">
        <v>1058</v>
      </c>
      <c r="B459" s="9" t="s">
        <v>1059</v>
      </c>
      <c r="C459" s="9" t="s">
        <v>427</v>
      </c>
      <c r="D459" s="9" t="s">
        <v>428</v>
      </c>
      <c r="E459" s="9" t="s">
        <v>428</v>
      </c>
      <c r="F459" s="9" t="s">
        <v>125</v>
      </c>
      <c r="G459" s="10" t="n">
        <v>294</v>
      </c>
      <c r="H459" s="10" t="n">
        <v>2</v>
      </c>
      <c r="I459" s="10" t="n">
        <v>6</v>
      </c>
      <c r="J459" s="10" t="n">
        <v>5</v>
      </c>
      <c r="K459" s="10" t="n">
        <f aca="false">G459+H459</f>
        <v>296</v>
      </c>
      <c r="L459" s="11" t="n">
        <f aca="false">IF(K459&gt;0,G459/K459,"")</f>
        <v>0.993243243243243</v>
      </c>
      <c r="M459" s="9" t="str">
        <f aca="false">IF(K459=0,"",IF(L459&lt;0.2,"Très masculine (&lt;20 % F)",IF(L459&lt;0.4,"Plutôt masculine (20-40 %)",IF(L459&lt;0.6,"Mixte (40-60 %)","À dominante féminine (≥60 %)"))))</f>
        <v>À dominante féminine (≥60 %)</v>
      </c>
    </row>
    <row r="460" customFormat="false" ht="15" hidden="false" customHeight="false" outlineLevel="0" collapsed="false">
      <c r="A460" s="9" t="s">
        <v>1060</v>
      </c>
      <c r="B460" s="9" t="s">
        <v>1059</v>
      </c>
      <c r="C460" s="9" t="s">
        <v>427</v>
      </c>
      <c r="D460" s="9" t="s">
        <v>428</v>
      </c>
      <c r="E460" s="9" t="s">
        <v>428</v>
      </c>
      <c r="F460" s="9" t="s">
        <v>125</v>
      </c>
      <c r="G460" s="10" t="n">
        <v>4091</v>
      </c>
      <c r="H460" s="10" t="n">
        <v>6067</v>
      </c>
      <c r="I460" s="10" t="n">
        <v>10</v>
      </c>
      <c r="J460" s="10" t="n">
        <v>2</v>
      </c>
      <c r="K460" s="10" t="n">
        <f aca="false">G460+H460</f>
        <v>10158</v>
      </c>
      <c r="L460" s="11" t="n">
        <f aca="false">IF(K460&gt;0,G460/K460,"")</f>
        <v>0.402736759204568</v>
      </c>
      <c r="M460" s="9" t="str">
        <f aca="false">IF(K460=0,"",IF(L460&lt;0.2,"Très masculine (&lt;20 % F)",IF(L460&lt;0.4,"Plutôt masculine (20-40 %)",IF(L460&lt;0.6,"Mixte (40-60 %)","À dominante féminine (≥60 %)"))))</f>
        <v>Mixte (40-60 %)</v>
      </c>
    </row>
    <row r="461" customFormat="false" ht="15" hidden="false" customHeight="false" outlineLevel="0" collapsed="false">
      <c r="A461" s="9" t="s">
        <v>1061</v>
      </c>
      <c r="B461" s="9" t="s">
        <v>1059</v>
      </c>
      <c r="C461" s="9" t="s">
        <v>427</v>
      </c>
      <c r="D461" s="9" t="s">
        <v>428</v>
      </c>
      <c r="E461" s="9" t="s">
        <v>428</v>
      </c>
      <c r="F461" s="9" t="s">
        <v>125</v>
      </c>
      <c r="G461" s="10" t="n">
        <v>14</v>
      </c>
      <c r="H461" s="10" t="n">
        <v>26</v>
      </c>
      <c r="I461" s="10" t="n">
        <v>11</v>
      </c>
      <c r="J461" s="10" t="n">
        <v>0</v>
      </c>
      <c r="K461" s="10" t="n">
        <f aca="false">G461+H461</f>
        <v>40</v>
      </c>
      <c r="L461" s="11" t="n">
        <f aca="false">IF(K461&gt;0,G461/K461,"")</f>
        <v>0.35</v>
      </c>
      <c r="M461" s="9" t="str">
        <f aca="false">IF(K461=0,"",IF(L461&lt;0.2,"Très masculine (&lt;20 % F)",IF(L461&lt;0.4,"Plutôt masculine (20-40 %)",IF(L461&lt;0.6,"Mixte (40-60 %)","À dominante féminine (≥60 %)"))))</f>
        <v>Plutôt masculine (20-40 %)</v>
      </c>
    </row>
    <row r="462" customFormat="false" ht="15" hidden="false" customHeight="false" outlineLevel="0" collapsed="false">
      <c r="A462" s="9" t="s">
        <v>1062</v>
      </c>
      <c r="B462" s="9" t="s">
        <v>1059</v>
      </c>
      <c r="C462" s="9" t="s">
        <v>427</v>
      </c>
      <c r="D462" s="9" t="s">
        <v>428</v>
      </c>
      <c r="E462" s="9" t="s">
        <v>428</v>
      </c>
      <c r="F462" s="9" t="s">
        <v>125</v>
      </c>
      <c r="G462" s="10" t="n">
        <v>122</v>
      </c>
      <c r="H462" s="10" t="n">
        <v>35</v>
      </c>
      <c r="I462" s="10" t="n">
        <v>12</v>
      </c>
      <c r="J462" s="10" t="n">
        <v>1</v>
      </c>
      <c r="K462" s="10" t="n">
        <f aca="false">G462+H462</f>
        <v>157</v>
      </c>
      <c r="L462" s="11" t="n">
        <f aca="false">IF(K462&gt;0,G462/K462,"")</f>
        <v>0.777070063694268</v>
      </c>
      <c r="M462" s="9" t="str">
        <f aca="false">IF(K462=0,"",IF(L462&lt;0.2,"Très masculine (&lt;20 % F)",IF(L462&lt;0.4,"Plutôt masculine (20-40 %)",IF(L462&lt;0.6,"Mixte (40-60 %)","À dominante féminine (≥60 %)"))))</f>
        <v>À dominante féminine (≥60 %)</v>
      </c>
    </row>
    <row r="463" customFormat="false" ht="15" hidden="false" customHeight="false" outlineLevel="0" collapsed="false">
      <c r="A463" s="9" t="s">
        <v>1063</v>
      </c>
      <c r="B463" s="9" t="s">
        <v>1059</v>
      </c>
      <c r="C463" s="9" t="s">
        <v>427</v>
      </c>
      <c r="D463" s="9" t="s">
        <v>428</v>
      </c>
      <c r="E463" s="9" t="s">
        <v>428</v>
      </c>
      <c r="F463" s="9" t="s">
        <v>125</v>
      </c>
      <c r="G463" s="10" t="n">
        <v>2</v>
      </c>
      <c r="H463" s="10" t="n">
        <v>17</v>
      </c>
      <c r="I463" s="10" t="n">
        <v>4</v>
      </c>
      <c r="J463" s="10" t="n">
        <v>0</v>
      </c>
      <c r="K463" s="10" t="n">
        <f aca="false">G463+H463</f>
        <v>19</v>
      </c>
      <c r="L463" s="11" t="n">
        <f aca="false">IF(K463&gt;0,G463/K463,"")</f>
        <v>0.105263157894737</v>
      </c>
      <c r="M463" s="9" t="str">
        <f aca="false">IF(K463=0,"",IF(L463&lt;0.2,"Très masculine (&lt;20 % F)",IF(L463&lt;0.4,"Plutôt masculine (20-40 %)",IF(L463&lt;0.6,"Mixte (40-60 %)","À dominante féminine (≥60 %)"))))</f>
        <v>Très masculine (&lt;20 % F)</v>
      </c>
    </row>
    <row r="464" customFormat="false" ht="15" hidden="false" customHeight="false" outlineLevel="0" collapsed="false">
      <c r="A464" s="9" t="s">
        <v>1064</v>
      </c>
      <c r="B464" s="9" t="s">
        <v>1059</v>
      </c>
      <c r="C464" s="9" t="s">
        <v>427</v>
      </c>
      <c r="D464" s="9" t="s">
        <v>428</v>
      </c>
      <c r="E464" s="9" t="s">
        <v>428</v>
      </c>
      <c r="F464" s="9" t="s">
        <v>125</v>
      </c>
      <c r="G464" s="10" t="n">
        <v>197</v>
      </c>
      <c r="H464" s="10" t="n">
        <v>5</v>
      </c>
      <c r="I464" s="10" t="n">
        <v>25</v>
      </c>
      <c r="J464" s="10" t="n">
        <v>0</v>
      </c>
      <c r="K464" s="10" t="n">
        <f aca="false">G464+H464</f>
        <v>202</v>
      </c>
      <c r="L464" s="11" t="n">
        <f aca="false">IF(K464&gt;0,G464/K464,"")</f>
        <v>0.975247524752475</v>
      </c>
      <c r="M464" s="9" t="str">
        <f aca="false">IF(K464=0,"",IF(L464&lt;0.2,"Très masculine (&lt;20 % F)",IF(L464&lt;0.4,"Plutôt masculine (20-40 %)",IF(L464&lt;0.6,"Mixte (40-60 %)","À dominante féminine (≥60 %)"))))</f>
        <v>À dominante féminine (≥60 %)</v>
      </c>
    </row>
    <row r="465" customFormat="false" ht="15" hidden="false" customHeight="false" outlineLevel="0" collapsed="false">
      <c r="A465" s="9" t="s">
        <v>1065</v>
      </c>
      <c r="B465" s="9" t="s">
        <v>1059</v>
      </c>
      <c r="C465" s="9" t="s">
        <v>427</v>
      </c>
      <c r="D465" s="9" t="s">
        <v>428</v>
      </c>
      <c r="E465" s="9" t="s">
        <v>428</v>
      </c>
      <c r="F465" s="9" t="s">
        <v>125</v>
      </c>
      <c r="G465" s="10" t="n">
        <v>298</v>
      </c>
      <c r="H465" s="10" t="n">
        <v>1687</v>
      </c>
      <c r="I465" s="10" t="n">
        <v>30</v>
      </c>
      <c r="J465" s="10" t="n">
        <v>37</v>
      </c>
      <c r="K465" s="10" t="n">
        <f aca="false">G465+H465</f>
        <v>1985</v>
      </c>
      <c r="L465" s="11" t="n">
        <f aca="false">IF(K465&gt;0,G465/K465,"")</f>
        <v>0.150125944584383</v>
      </c>
      <c r="M465" s="9" t="str">
        <f aca="false">IF(K465=0,"",IF(L465&lt;0.2,"Très masculine (&lt;20 % F)",IF(L465&lt;0.4,"Plutôt masculine (20-40 %)",IF(L465&lt;0.6,"Mixte (40-60 %)","À dominante féminine (≥60 %)"))))</f>
        <v>Très masculine (&lt;20 % F)</v>
      </c>
    </row>
    <row r="466" customFormat="false" ht="15" hidden="false" customHeight="false" outlineLevel="0" collapsed="false">
      <c r="A466" s="9" t="s">
        <v>1066</v>
      </c>
      <c r="B466" s="9" t="s">
        <v>1067</v>
      </c>
      <c r="C466" s="9" t="s">
        <v>427</v>
      </c>
      <c r="D466" s="9" t="s">
        <v>428</v>
      </c>
      <c r="E466" s="9" t="s">
        <v>428</v>
      </c>
      <c r="F466" s="9" t="s">
        <v>125</v>
      </c>
      <c r="G466" s="10" t="n">
        <v>29</v>
      </c>
      <c r="H466" s="10" t="n">
        <v>39</v>
      </c>
      <c r="I466" s="10" t="n">
        <v>7</v>
      </c>
      <c r="J466" s="10" t="n">
        <v>0</v>
      </c>
      <c r="K466" s="10" t="n">
        <f aca="false">G466+H466</f>
        <v>68</v>
      </c>
      <c r="L466" s="11" t="n">
        <f aca="false">IF(K466&gt;0,G466/K466,"")</f>
        <v>0.426470588235294</v>
      </c>
      <c r="M466" s="9" t="str">
        <f aca="false">IF(K466=0,"",IF(L466&lt;0.2,"Très masculine (&lt;20 % F)",IF(L466&lt;0.4,"Plutôt masculine (20-40 %)",IF(L466&lt;0.6,"Mixte (40-60 %)","À dominante féminine (≥60 %)"))))</f>
        <v>Mixte (40-60 %)</v>
      </c>
    </row>
    <row r="467" customFormat="false" ht="15" hidden="false" customHeight="false" outlineLevel="0" collapsed="false">
      <c r="A467" s="9" t="s">
        <v>1068</v>
      </c>
      <c r="B467" s="9" t="s">
        <v>1059</v>
      </c>
      <c r="C467" s="9" t="s">
        <v>427</v>
      </c>
      <c r="D467" s="9" t="s">
        <v>428</v>
      </c>
      <c r="E467" s="9" t="s">
        <v>428</v>
      </c>
      <c r="F467" s="9" t="s">
        <v>125</v>
      </c>
      <c r="G467" s="10" t="n">
        <v>69</v>
      </c>
      <c r="H467" s="10" t="n">
        <v>40</v>
      </c>
      <c r="I467" s="10" t="n">
        <v>21</v>
      </c>
      <c r="J467" s="10" t="n">
        <v>0</v>
      </c>
      <c r="K467" s="10" t="n">
        <f aca="false">G467+H467</f>
        <v>109</v>
      </c>
      <c r="L467" s="11" t="n">
        <f aca="false">IF(K467&gt;0,G467/K467,"")</f>
        <v>0.63302752293578</v>
      </c>
      <c r="M467" s="9" t="str">
        <f aca="false">IF(K467=0,"",IF(L467&lt;0.2,"Très masculine (&lt;20 % F)",IF(L467&lt;0.4,"Plutôt masculine (20-40 %)",IF(L467&lt;0.6,"Mixte (40-60 %)","À dominante féminine (≥60 %)"))))</f>
        <v>À dominante féminine (≥60 %)</v>
      </c>
    </row>
    <row r="468" customFormat="false" ht="15" hidden="false" customHeight="false" outlineLevel="0" collapsed="false">
      <c r="A468" s="9" t="s">
        <v>1069</v>
      </c>
      <c r="B468" s="9" t="s">
        <v>1067</v>
      </c>
      <c r="C468" s="9" t="s">
        <v>427</v>
      </c>
      <c r="D468" s="9" t="s">
        <v>428</v>
      </c>
      <c r="E468" s="9" t="s">
        <v>428</v>
      </c>
      <c r="F468" s="9" t="s">
        <v>125</v>
      </c>
      <c r="G468" s="10" t="n">
        <v>104</v>
      </c>
      <c r="H468" s="10" t="n">
        <v>148</v>
      </c>
      <c r="I468" s="10" t="n">
        <v>5</v>
      </c>
      <c r="J468" s="10" t="n">
        <v>1</v>
      </c>
      <c r="K468" s="10" t="n">
        <f aca="false">G468+H468</f>
        <v>252</v>
      </c>
      <c r="L468" s="11" t="n">
        <f aca="false">IF(K468&gt;0,G468/K468,"")</f>
        <v>0.412698412698413</v>
      </c>
      <c r="M468" s="9" t="str">
        <f aca="false">IF(K468=0,"",IF(L468&lt;0.2,"Très masculine (&lt;20 % F)",IF(L468&lt;0.4,"Plutôt masculine (20-40 %)",IF(L468&lt;0.6,"Mixte (40-60 %)","À dominante féminine (≥60 %)"))))</f>
        <v>Mixte (40-60 %)</v>
      </c>
    </row>
    <row r="469" customFormat="false" ht="15" hidden="false" customHeight="false" outlineLevel="0" collapsed="false">
      <c r="A469" s="9" t="s">
        <v>1070</v>
      </c>
      <c r="B469" s="9" t="s">
        <v>1059</v>
      </c>
      <c r="C469" s="9" t="s">
        <v>427</v>
      </c>
      <c r="D469" s="9" t="s">
        <v>428</v>
      </c>
      <c r="E469" s="9" t="s">
        <v>428</v>
      </c>
      <c r="F469" s="9" t="s">
        <v>125</v>
      </c>
      <c r="G469" s="10" t="n">
        <v>36</v>
      </c>
      <c r="H469" s="10" t="n">
        <v>92</v>
      </c>
      <c r="I469" s="10" t="n">
        <v>7</v>
      </c>
      <c r="J469" s="10" t="n">
        <v>1</v>
      </c>
      <c r="K469" s="10" t="n">
        <f aca="false">G469+H469</f>
        <v>128</v>
      </c>
      <c r="L469" s="11" t="n">
        <f aca="false">IF(K469&gt;0,G469/K469,"")</f>
        <v>0.28125</v>
      </c>
      <c r="M469" s="9" t="str">
        <f aca="false">IF(K469=0,"",IF(L469&lt;0.2,"Très masculine (&lt;20 % F)",IF(L469&lt;0.4,"Plutôt masculine (20-40 %)",IF(L469&lt;0.6,"Mixte (40-60 %)","À dominante féminine (≥60 %)"))))</f>
        <v>Plutôt masculine (20-40 %)</v>
      </c>
    </row>
    <row r="470" customFormat="false" ht="15" hidden="false" customHeight="false" outlineLevel="0" collapsed="false">
      <c r="A470" s="9" t="s">
        <v>1071</v>
      </c>
      <c r="B470" s="9" t="s">
        <v>1059</v>
      </c>
      <c r="C470" s="9" t="s">
        <v>427</v>
      </c>
      <c r="D470" s="9" t="s">
        <v>428</v>
      </c>
      <c r="E470" s="9" t="s">
        <v>428</v>
      </c>
      <c r="F470" s="9" t="s">
        <v>125</v>
      </c>
      <c r="G470" s="10" t="n">
        <v>68</v>
      </c>
      <c r="H470" s="10" t="n">
        <v>83</v>
      </c>
      <c r="I470" s="10" t="n">
        <v>12</v>
      </c>
      <c r="J470" s="10" t="n">
        <v>3</v>
      </c>
      <c r="K470" s="10" t="n">
        <f aca="false">G470+H470</f>
        <v>151</v>
      </c>
      <c r="L470" s="11" t="n">
        <f aca="false">IF(K470&gt;0,G470/K470,"")</f>
        <v>0.450331125827815</v>
      </c>
      <c r="M470" s="9" t="str">
        <f aca="false">IF(K470=0,"",IF(L470&lt;0.2,"Très masculine (&lt;20 % F)",IF(L470&lt;0.4,"Plutôt masculine (20-40 %)",IF(L470&lt;0.6,"Mixte (40-60 %)","À dominante féminine (≥60 %)"))))</f>
        <v>Mixte (40-60 %)</v>
      </c>
    </row>
    <row r="471" customFormat="false" ht="15" hidden="false" customHeight="false" outlineLevel="0" collapsed="false">
      <c r="A471" s="9" t="s">
        <v>1072</v>
      </c>
      <c r="B471" s="9" t="s">
        <v>1059</v>
      </c>
      <c r="C471" s="9" t="s">
        <v>427</v>
      </c>
      <c r="D471" s="9" t="s">
        <v>428</v>
      </c>
      <c r="E471" s="9" t="s">
        <v>428</v>
      </c>
      <c r="F471" s="9" t="s">
        <v>125</v>
      </c>
      <c r="G471" s="10" t="n">
        <v>289</v>
      </c>
      <c r="H471" s="10" t="n">
        <v>354</v>
      </c>
      <c r="I471" s="10" t="n">
        <v>9</v>
      </c>
      <c r="J471" s="10" t="n">
        <v>9</v>
      </c>
      <c r="K471" s="10" t="n">
        <f aca="false">G471+H471</f>
        <v>643</v>
      </c>
      <c r="L471" s="11" t="n">
        <f aca="false">IF(K471&gt;0,G471/K471,"")</f>
        <v>0.44945567651633</v>
      </c>
      <c r="M471" s="9" t="str">
        <f aca="false">IF(K471=0,"",IF(L471&lt;0.2,"Très masculine (&lt;20 % F)",IF(L471&lt;0.4,"Plutôt masculine (20-40 %)",IF(L471&lt;0.6,"Mixte (40-60 %)","À dominante féminine (≥60 %)"))))</f>
        <v>Mixte (40-60 %)</v>
      </c>
    </row>
    <row r="472" customFormat="false" ht="15" hidden="false" customHeight="false" outlineLevel="0" collapsed="false">
      <c r="A472" s="9" t="s">
        <v>1073</v>
      </c>
      <c r="B472" s="9" t="s">
        <v>1067</v>
      </c>
      <c r="C472" s="9" t="s">
        <v>427</v>
      </c>
      <c r="D472" s="9" t="s">
        <v>428</v>
      </c>
      <c r="E472" s="9" t="s">
        <v>428</v>
      </c>
      <c r="F472" s="9" t="s">
        <v>125</v>
      </c>
      <c r="G472" s="10" t="n">
        <v>69</v>
      </c>
      <c r="H472" s="10" t="n">
        <v>93</v>
      </c>
      <c r="I472" s="10" t="n">
        <v>5</v>
      </c>
      <c r="J472" s="10" t="n">
        <v>0</v>
      </c>
      <c r="K472" s="10" t="n">
        <f aca="false">G472+H472</f>
        <v>162</v>
      </c>
      <c r="L472" s="11" t="n">
        <f aca="false">IF(K472&gt;0,G472/K472,"")</f>
        <v>0.425925925925926</v>
      </c>
      <c r="M472" s="9" t="str">
        <f aca="false">IF(K472=0,"",IF(L472&lt;0.2,"Très masculine (&lt;20 % F)",IF(L472&lt;0.4,"Plutôt masculine (20-40 %)",IF(L472&lt;0.6,"Mixte (40-60 %)","À dominante féminine (≥60 %)"))))</f>
        <v>Mixte (40-60 %)</v>
      </c>
    </row>
    <row r="473" customFormat="false" ht="15" hidden="false" customHeight="false" outlineLevel="0" collapsed="false">
      <c r="A473" s="9" t="s">
        <v>1074</v>
      </c>
      <c r="B473" s="9" t="s">
        <v>1059</v>
      </c>
      <c r="C473" s="9" t="s">
        <v>427</v>
      </c>
      <c r="D473" s="9" t="s">
        <v>428</v>
      </c>
      <c r="E473" s="9" t="s">
        <v>428</v>
      </c>
      <c r="F473" s="9" t="s">
        <v>125</v>
      </c>
      <c r="G473" s="10" t="n">
        <v>185</v>
      </c>
      <c r="H473" s="10" t="n">
        <v>1</v>
      </c>
      <c r="I473" s="10" t="n">
        <v>6</v>
      </c>
      <c r="J473" s="10" t="n">
        <v>1</v>
      </c>
      <c r="K473" s="10" t="n">
        <f aca="false">G473+H473</f>
        <v>186</v>
      </c>
      <c r="L473" s="11" t="n">
        <f aca="false">IF(K473&gt;0,G473/K473,"")</f>
        <v>0.994623655913979</v>
      </c>
      <c r="M473" s="9" t="str">
        <f aca="false">IF(K473=0,"",IF(L473&lt;0.2,"Très masculine (&lt;20 % F)",IF(L473&lt;0.4,"Plutôt masculine (20-40 %)",IF(L473&lt;0.6,"Mixte (40-60 %)","À dominante féminine (≥60 %)"))))</f>
        <v>À dominante féminine (≥60 %)</v>
      </c>
    </row>
    <row r="474" customFormat="false" ht="15" hidden="false" customHeight="false" outlineLevel="0" collapsed="false">
      <c r="A474" s="9" t="s">
        <v>1075</v>
      </c>
      <c r="B474" s="9" t="s">
        <v>1059</v>
      </c>
      <c r="C474" s="9" t="s">
        <v>427</v>
      </c>
      <c r="D474" s="9" t="s">
        <v>428</v>
      </c>
      <c r="E474" s="9" t="s">
        <v>428</v>
      </c>
      <c r="F474" s="9" t="s">
        <v>125</v>
      </c>
      <c r="G474" s="10" t="n">
        <v>15</v>
      </c>
      <c r="H474" s="10" t="n">
        <v>59</v>
      </c>
      <c r="I474" s="10" t="n">
        <v>17</v>
      </c>
      <c r="J474" s="10" t="n">
        <v>0</v>
      </c>
      <c r="K474" s="10" t="n">
        <f aca="false">G474+H474</f>
        <v>74</v>
      </c>
      <c r="L474" s="11" t="n">
        <f aca="false">IF(K474&gt;0,G474/K474,"")</f>
        <v>0.202702702702703</v>
      </c>
      <c r="M474" s="9" t="str">
        <f aca="false">IF(K474=0,"",IF(L474&lt;0.2,"Très masculine (&lt;20 % F)",IF(L474&lt;0.4,"Plutôt masculine (20-40 %)",IF(L474&lt;0.6,"Mixte (40-60 %)","À dominante féminine (≥60 %)"))))</f>
        <v>Plutôt masculine (20-40 %)</v>
      </c>
    </row>
    <row r="475" customFormat="false" ht="15" hidden="false" customHeight="false" outlineLevel="0" collapsed="false">
      <c r="A475" s="9" t="s">
        <v>1076</v>
      </c>
      <c r="B475" s="9" t="s">
        <v>1059</v>
      </c>
      <c r="C475" s="9" t="s">
        <v>427</v>
      </c>
      <c r="D475" s="9" t="s">
        <v>428</v>
      </c>
      <c r="E475" s="9" t="s">
        <v>428</v>
      </c>
      <c r="F475" s="9" t="s">
        <v>125</v>
      </c>
      <c r="G475" s="10" t="n">
        <v>49</v>
      </c>
      <c r="H475" s="10" t="n">
        <v>41</v>
      </c>
      <c r="I475" s="10" t="n">
        <v>17</v>
      </c>
      <c r="J475" s="10" t="n">
        <v>0</v>
      </c>
      <c r="K475" s="10" t="n">
        <f aca="false">G475+H475</f>
        <v>90</v>
      </c>
      <c r="L475" s="11" t="n">
        <f aca="false">IF(K475&gt;0,G475/K475,"")</f>
        <v>0.544444444444444</v>
      </c>
      <c r="M475" s="9" t="str">
        <f aca="false">IF(K475=0,"",IF(L475&lt;0.2,"Très masculine (&lt;20 % F)",IF(L475&lt;0.4,"Plutôt masculine (20-40 %)",IF(L475&lt;0.6,"Mixte (40-60 %)","À dominante féminine (≥60 %)"))))</f>
        <v>Mixte (40-60 %)</v>
      </c>
    </row>
    <row r="476" customFormat="false" ht="15" hidden="false" customHeight="false" outlineLevel="0" collapsed="false">
      <c r="A476" s="9" t="s">
        <v>1077</v>
      </c>
      <c r="B476" s="9" t="s">
        <v>1059</v>
      </c>
      <c r="C476" s="9" t="s">
        <v>427</v>
      </c>
      <c r="D476" s="9" t="s">
        <v>428</v>
      </c>
      <c r="E476" s="9" t="s">
        <v>428</v>
      </c>
      <c r="F476" s="9" t="s">
        <v>125</v>
      </c>
      <c r="G476" s="10" t="n">
        <v>21</v>
      </c>
      <c r="H476" s="10" t="n">
        <v>36</v>
      </c>
      <c r="I476" s="10" t="n">
        <v>14</v>
      </c>
      <c r="J476" s="10" t="n">
        <v>2</v>
      </c>
      <c r="K476" s="10" t="n">
        <f aca="false">G476+H476</f>
        <v>57</v>
      </c>
      <c r="L476" s="11" t="n">
        <f aca="false">IF(K476&gt;0,G476/K476,"")</f>
        <v>0.368421052631579</v>
      </c>
      <c r="M476" s="9" t="str">
        <f aca="false">IF(K476=0,"",IF(L476&lt;0.2,"Très masculine (&lt;20 % F)",IF(L476&lt;0.4,"Plutôt masculine (20-40 %)",IF(L476&lt;0.6,"Mixte (40-60 %)","À dominante féminine (≥60 %)"))))</f>
        <v>Plutôt masculine (20-40 %)</v>
      </c>
    </row>
    <row r="477" customFormat="false" ht="15" hidden="false" customHeight="false" outlineLevel="0" collapsed="false">
      <c r="A477" s="9" t="s">
        <v>1078</v>
      </c>
      <c r="B477" s="9" t="s">
        <v>1059</v>
      </c>
      <c r="C477" s="9" t="s">
        <v>427</v>
      </c>
      <c r="D477" s="9" t="s">
        <v>428</v>
      </c>
      <c r="E477" s="9" t="s">
        <v>428</v>
      </c>
      <c r="F477" s="9" t="s">
        <v>125</v>
      </c>
      <c r="G477" s="10" t="n">
        <v>310</v>
      </c>
      <c r="H477" s="10" t="n">
        <v>632</v>
      </c>
      <c r="I477" s="10" t="n">
        <v>42</v>
      </c>
      <c r="J477" s="10" t="n">
        <v>0</v>
      </c>
      <c r="K477" s="10" t="n">
        <f aca="false">G477+H477</f>
        <v>942</v>
      </c>
      <c r="L477" s="11" t="n">
        <f aca="false">IF(K477&gt;0,G477/K477,"")</f>
        <v>0.329087048832272</v>
      </c>
      <c r="M477" s="9" t="str">
        <f aca="false">IF(K477=0,"",IF(L477&lt;0.2,"Très masculine (&lt;20 % F)",IF(L477&lt;0.4,"Plutôt masculine (20-40 %)",IF(L477&lt;0.6,"Mixte (40-60 %)","À dominante féminine (≥60 %)"))))</f>
        <v>Plutôt masculine (20-40 %)</v>
      </c>
    </row>
    <row r="478" customFormat="false" ht="15" hidden="false" customHeight="false" outlineLevel="0" collapsed="false">
      <c r="A478" s="9" t="s">
        <v>1079</v>
      </c>
      <c r="B478" s="9" t="s">
        <v>1059</v>
      </c>
      <c r="C478" s="9" t="s">
        <v>427</v>
      </c>
      <c r="D478" s="9" t="s">
        <v>428</v>
      </c>
      <c r="E478" s="9" t="s">
        <v>428</v>
      </c>
      <c r="F478" s="9" t="s">
        <v>125</v>
      </c>
      <c r="G478" s="10" t="n">
        <v>105</v>
      </c>
      <c r="H478" s="10" t="n">
        <v>57</v>
      </c>
      <c r="I478" s="10" t="n">
        <v>25</v>
      </c>
      <c r="J478" s="10" t="n">
        <v>0</v>
      </c>
      <c r="K478" s="10" t="n">
        <f aca="false">G478+H478</f>
        <v>162</v>
      </c>
      <c r="L478" s="11" t="n">
        <f aca="false">IF(K478&gt;0,G478/K478,"")</f>
        <v>0.648148148148148</v>
      </c>
      <c r="M478" s="9" t="str">
        <f aca="false">IF(K478=0,"",IF(L478&lt;0.2,"Très masculine (&lt;20 % F)",IF(L478&lt;0.4,"Plutôt masculine (20-40 %)",IF(L478&lt;0.6,"Mixte (40-60 %)","À dominante féminine (≥60 %)"))))</f>
        <v>À dominante féminine (≥60 %)</v>
      </c>
    </row>
    <row r="479" customFormat="false" ht="15" hidden="false" customHeight="false" outlineLevel="0" collapsed="false">
      <c r="A479" s="9" t="s">
        <v>1080</v>
      </c>
      <c r="B479" s="9" t="s">
        <v>1059</v>
      </c>
      <c r="C479" s="9" t="s">
        <v>427</v>
      </c>
      <c r="D479" s="9" t="s">
        <v>428</v>
      </c>
      <c r="E479" s="9" t="s">
        <v>428</v>
      </c>
      <c r="F479" s="9" t="s">
        <v>125</v>
      </c>
      <c r="G479" s="10" t="n">
        <v>40</v>
      </c>
      <c r="H479" s="10" t="n">
        <v>110</v>
      </c>
      <c r="I479" s="10" t="n">
        <v>7</v>
      </c>
      <c r="J479" s="10" t="n">
        <v>1</v>
      </c>
      <c r="K479" s="10" t="n">
        <f aca="false">G479+H479</f>
        <v>150</v>
      </c>
      <c r="L479" s="11" t="n">
        <f aca="false">IF(K479&gt;0,G479/K479,"")</f>
        <v>0.266666666666667</v>
      </c>
      <c r="M479" s="9" t="str">
        <f aca="false">IF(K479=0,"",IF(L479&lt;0.2,"Très masculine (&lt;20 % F)",IF(L479&lt;0.4,"Plutôt masculine (20-40 %)",IF(L479&lt;0.6,"Mixte (40-60 %)","À dominante féminine (≥60 %)"))))</f>
        <v>Plutôt masculine (20-40 %)</v>
      </c>
    </row>
    <row r="480" customFormat="false" ht="15" hidden="false" customHeight="false" outlineLevel="0" collapsed="false">
      <c r="A480" s="9" t="s">
        <v>1081</v>
      </c>
      <c r="B480" s="9" t="s">
        <v>1059</v>
      </c>
      <c r="C480" s="9" t="s">
        <v>427</v>
      </c>
      <c r="D480" s="9" t="s">
        <v>428</v>
      </c>
      <c r="E480" s="9" t="s">
        <v>428</v>
      </c>
      <c r="F480" s="9" t="s">
        <v>125</v>
      </c>
      <c r="G480" s="10" t="n">
        <v>173</v>
      </c>
      <c r="H480" s="10" t="n">
        <v>19</v>
      </c>
      <c r="I480" s="10" t="n">
        <v>11</v>
      </c>
      <c r="J480" s="10" t="n">
        <v>5</v>
      </c>
      <c r="K480" s="10" t="n">
        <f aca="false">G480+H480</f>
        <v>192</v>
      </c>
      <c r="L480" s="11" t="n">
        <f aca="false">IF(K480&gt;0,G480/K480,"")</f>
        <v>0.901041666666667</v>
      </c>
      <c r="M480" s="9" t="str">
        <f aca="false">IF(K480=0,"",IF(L480&lt;0.2,"Très masculine (&lt;20 % F)",IF(L480&lt;0.4,"Plutôt masculine (20-40 %)",IF(L480&lt;0.6,"Mixte (40-60 %)","À dominante féminine (≥60 %)"))))</f>
        <v>À dominante féminine (≥60 %)</v>
      </c>
    </row>
    <row r="481" customFormat="false" ht="15" hidden="false" customHeight="false" outlineLevel="0" collapsed="false">
      <c r="A481" s="9" t="s">
        <v>1082</v>
      </c>
      <c r="B481" s="9" t="s">
        <v>1059</v>
      </c>
      <c r="C481" s="9" t="s">
        <v>427</v>
      </c>
      <c r="D481" s="9" t="s">
        <v>428</v>
      </c>
      <c r="E481" s="9" t="s">
        <v>428</v>
      </c>
      <c r="F481" s="9" t="s">
        <v>125</v>
      </c>
      <c r="G481" s="10" t="n">
        <v>106</v>
      </c>
      <c r="H481" s="10" t="n">
        <v>14</v>
      </c>
      <c r="I481" s="10" t="n">
        <v>9</v>
      </c>
      <c r="J481" s="10" t="n">
        <v>3</v>
      </c>
      <c r="K481" s="10" t="n">
        <f aca="false">G481+H481</f>
        <v>120</v>
      </c>
      <c r="L481" s="11" t="n">
        <f aca="false">IF(K481&gt;0,G481/K481,"")</f>
        <v>0.883333333333333</v>
      </c>
      <c r="M481" s="9" t="str">
        <f aca="false">IF(K481=0,"",IF(L481&lt;0.2,"Très masculine (&lt;20 % F)",IF(L481&lt;0.4,"Plutôt masculine (20-40 %)",IF(L481&lt;0.6,"Mixte (40-60 %)","À dominante féminine (≥60 %)"))))</f>
        <v>À dominante féminine (≥60 %)</v>
      </c>
    </row>
    <row r="482" customFormat="false" ht="15" hidden="false" customHeight="false" outlineLevel="0" collapsed="false">
      <c r="A482" s="9" t="s">
        <v>1083</v>
      </c>
      <c r="B482" s="9" t="s">
        <v>1084</v>
      </c>
      <c r="C482" s="9" t="s">
        <v>429</v>
      </c>
      <c r="D482" s="9" t="s">
        <v>430</v>
      </c>
      <c r="E482" s="9" t="s">
        <v>106</v>
      </c>
      <c r="F482" s="9" t="s">
        <v>102</v>
      </c>
      <c r="G482" s="10" t="n">
        <v>606</v>
      </c>
      <c r="H482" s="10" t="n">
        <v>154</v>
      </c>
      <c r="I482" s="10" t="n">
        <v>16</v>
      </c>
      <c r="J482" s="10" t="n">
        <v>10</v>
      </c>
      <c r="K482" s="10" t="n">
        <f aca="false">G482+H482</f>
        <v>760</v>
      </c>
      <c r="L482" s="11" t="n">
        <f aca="false">IF(K482&gt;0,G482/K482,"")</f>
        <v>0.797368421052632</v>
      </c>
      <c r="M482" s="9" t="str">
        <f aca="false">IF(K482=0,"",IF(L482&lt;0.2,"Très masculine (&lt;20 % F)",IF(L482&lt;0.4,"Plutôt masculine (20-40 %)",IF(L482&lt;0.6,"Mixte (40-60 %)","À dominante féminine (≥60 %)"))))</f>
        <v>À dominante féminine (≥60 %)</v>
      </c>
    </row>
    <row r="483" customFormat="false" ht="15" hidden="false" customHeight="false" outlineLevel="0" collapsed="false">
      <c r="A483" s="9" t="s">
        <v>1085</v>
      </c>
      <c r="B483" s="9" t="s">
        <v>1086</v>
      </c>
      <c r="C483" s="9" t="s">
        <v>433</v>
      </c>
      <c r="D483" s="9" t="s">
        <v>434</v>
      </c>
      <c r="E483" s="9" t="s">
        <v>115</v>
      </c>
      <c r="F483" s="9" t="s">
        <v>116</v>
      </c>
      <c r="G483" s="10" t="n">
        <v>66</v>
      </c>
      <c r="H483" s="10" t="n">
        <v>131</v>
      </c>
      <c r="I483" s="10" t="n">
        <v>5</v>
      </c>
      <c r="J483" s="10" t="n">
        <v>0</v>
      </c>
      <c r="K483" s="10" t="n">
        <f aca="false">G483+H483</f>
        <v>197</v>
      </c>
      <c r="L483" s="11" t="n">
        <f aca="false">IF(K483&gt;0,G483/K483,"")</f>
        <v>0.33502538071066</v>
      </c>
      <c r="M483" s="9" t="str">
        <f aca="false">IF(K483=0,"",IF(L483&lt;0.2,"Très masculine (&lt;20 % F)",IF(L483&lt;0.4,"Plutôt masculine (20-40 %)",IF(L483&lt;0.6,"Mixte (40-60 %)","À dominante féminine (≥60 %)"))))</f>
        <v>Plutôt masculine (20-40 %)</v>
      </c>
    </row>
    <row r="484" customFormat="false" ht="15" hidden="false" customHeight="false" outlineLevel="0" collapsed="false">
      <c r="A484" s="9" t="s">
        <v>1087</v>
      </c>
      <c r="B484" s="9" t="s">
        <v>1086</v>
      </c>
      <c r="C484" s="9" t="s">
        <v>433</v>
      </c>
      <c r="D484" s="9" t="s">
        <v>434</v>
      </c>
      <c r="E484" s="9" t="s">
        <v>115</v>
      </c>
      <c r="F484" s="9" t="s">
        <v>116</v>
      </c>
      <c r="G484" s="10" t="n">
        <v>5</v>
      </c>
      <c r="H484" s="10" t="n">
        <v>59</v>
      </c>
      <c r="I484" s="10" t="n">
        <v>7</v>
      </c>
      <c r="J484" s="10" t="n">
        <v>0</v>
      </c>
      <c r="K484" s="10" t="n">
        <f aca="false">G484+H484</f>
        <v>64</v>
      </c>
      <c r="L484" s="11" t="n">
        <f aca="false">IF(K484&gt;0,G484/K484,"")</f>
        <v>0.078125</v>
      </c>
      <c r="M484" s="9" t="str">
        <f aca="false">IF(K484=0,"",IF(L484&lt;0.2,"Très masculine (&lt;20 % F)",IF(L484&lt;0.4,"Plutôt masculine (20-40 %)",IF(L484&lt;0.6,"Mixte (40-60 %)","À dominante féminine (≥60 %)"))))</f>
        <v>Très masculine (&lt;20 % F)</v>
      </c>
    </row>
    <row r="485" customFormat="false" ht="15" hidden="false" customHeight="false" outlineLevel="0" collapsed="false">
      <c r="A485" s="9" t="s">
        <v>1088</v>
      </c>
      <c r="B485" s="9" t="s">
        <v>1086</v>
      </c>
      <c r="C485" s="9" t="s">
        <v>433</v>
      </c>
      <c r="D485" s="9" t="s">
        <v>434</v>
      </c>
      <c r="E485" s="9" t="s">
        <v>115</v>
      </c>
      <c r="F485" s="9" t="s">
        <v>116</v>
      </c>
      <c r="G485" s="10" t="n">
        <v>11</v>
      </c>
      <c r="H485" s="10" t="n">
        <v>25</v>
      </c>
      <c r="I485" s="10" t="n">
        <v>10</v>
      </c>
      <c r="J485" s="10" t="n">
        <v>2</v>
      </c>
      <c r="K485" s="10" t="n">
        <f aca="false">G485+H485</f>
        <v>36</v>
      </c>
      <c r="L485" s="11" t="n">
        <f aca="false">IF(K485&gt;0,G485/K485,"")</f>
        <v>0.305555555555556</v>
      </c>
      <c r="M485" s="9" t="str">
        <f aca="false">IF(K485=0,"",IF(L485&lt;0.2,"Très masculine (&lt;20 % F)",IF(L485&lt;0.4,"Plutôt masculine (20-40 %)",IF(L485&lt;0.6,"Mixte (40-60 %)","À dominante féminine (≥60 %)"))))</f>
        <v>Plutôt masculine (20-40 %)</v>
      </c>
    </row>
    <row r="486" customFormat="false" ht="15" hidden="false" customHeight="false" outlineLevel="0" collapsed="false">
      <c r="A486" s="9" t="s">
        <v>1089</v>
      </c>
      <c r="B486" s="9" t="s">
        <v>1086</v>
      </c>
      <c r="C486" s="9" t="s">
        <v>433</v>
      </c>
      <c r="D486" s="9" t="s">
        <v>434</v>
      </c>
      <c r="E486" s="9" t="s">
        <v>115</v>
      </c>
      <c r="F486" s="9" t="s">
        <v>116</v>
      </c>
      <c r="G486" s="10" t="n">
        <v>294</v>
      </c>
      <c r="H486" s="10" t="n">
        <v>46</v>
      </c>
      <c r="I486" s="10" t="n">
        <v>10</v>
      </c>
      <c r="J486" s="10" t="n">
        <v>9</v>
      </c>
      <c r="K486" s="10" t="n">
        <f aca="false">G486+H486</f>
        <v>340</v>
      </c>
      <c r="L486" s="11" t="n">
        <f aca="false">IF(K486&gt;0,G486/K486,"")</f>
        <v>0.864705882352941</v>
      </c>
      <c r="M486" s="9" t="str">
        <f aca="false">IF(K486=0,"",IF(L486&lt;0.2,"Très masculine (&lt;20 % F)",IF(L486&lt;0.4,"Plutôt masculine (20-40 %)",IF(L486&lt;0.6,"Mixte (40-60 %)","À dominante féminine (≥60 %)"))))</f>
        <v>À dominante féminine (≥60 %)</v>
      </c>
    </row>
    <row r="487" customFormat="false" ht="15" hidden="false" customHeight="false" outlineLevel="0" collapsed="false">
      <c r="A487" s="9" t="s">
        <v>1090</v>
      </c>
      <c r="B487" s="9" t="s">
        <v>1086</v>
      </c>
      <c r="C487" s="9" t="s">
        <v>433</v>
      </c>
      <c r="D487" s="9" t="s">
        <v>434</v>
      </c>
      <c r="E487" s="9" t="s">
        <v>115</v>
      </c>
      <c r="F487" s="9" t="s">
        <v>116</v>
      </c>
      <c r="G487" s="10" t="n">
        <v>90</v>
      </c>
      <c r="H487" s="10" t="n">
        <v>120</v>
      </c>
      <c r="I487" s="10" t="n">
        <v>12</v>
      </c>
      <c r="J487" s="10" t="n">
        <v>0</v>
      </c>
      <c r="K487" s="10" t="n">
        <f aca="false">G487+H487</f>
        <v>210</v>
      </c>
      <c r="L487" s="11" t="n">
        <f aca="false">IF(K487&gt;0,G487/K487,"")</f>
        <v>0.428571428571429</v>
      </c>
      <c r="M487" s="9" t="str">
        <f aca="false">IF(K487=0,"",IF(L487&lt;0.2,"Très masculine (&lt;20 % F)",IF(L487&lt;0.4,"Plutôt masculine (20-40 %)",IF(L487&lt;0.6,"Mixte (40-60 %)","À dominante féminine (≥60 %)"))))</f>
        <v>Mixte (40-60 %)</v>
      </c>
    </row>
    <row r="488" customFormat="false" ht="15" hidden="false" customHeight="false" outlineLevel="0" collapsed="false">
      <c r="A488" s="9" t="s">
        <v>1091</v>
      </c>
      <c r="B488" s="9" t="s">
        <v>1086</v>
      </c>
      <c r="C488" s="9" t="s">
        <v>433</v>
      </c>
      <c r="D488" s="9" t="s">
        <v>434</v>
      </c>
      <c r="E488" s="9" t="s">
        <v>115</v>
      </c>
      <c r="F488" s="9" t="s">
        <v>116</v>
      </c>
      <c r="G488" s="10" t="n">
        <v>63</v>
      </c>
      <c r="H488" s="10" t="n">
        <v>82</v>
      </c>
      <c r="I488" s="10" t="n">
        <v>10</v>
      </c>
      <c r="J488" s="10" t="n">
        <v>0</v>
      </c>
      <c r="K488" s="10" t="n">
        <f aca="false">G488+H488</f>
        <v>145</v>
      </c>
      <c r="L488" s="11" t="n">
        <f aca="false">IF(K488&gt;0,G488/K488,"")</f>
        <v>0.43448275862069</v>
      </c>
      <c r="M488" s="9" t="str">
        <f aca="false">IF(K488=0,"",IF(L488&lt;0.2,"Très masculine (&lt;20 % F)",IF(L488&lt;0.4,"Plutôt masculine (20-40 %)",IF(L488&lt;0.6,"Mixte (40-60 %)","À dominante féminine (≥60 %)"))))</f>
        <v>Mixte (40-60 %)</v>
      </c>
    </row>
    <row r="489" customFormat="false" ht="15" hidden="false" customHeight="false" outlineLevel="0" collapsed="false">
      <c r="A489" s="9" t="s">
        <v>1092</v>
      </c>
      <c r="B489" s="9" t="s">
        <v>1086</v>
      </c>
      <c r="C489" s="9" t="s">
        <v>433</v>
      </c>
      <c r="D489" s="9" t="s">
        <v>434</v>
      </c>
      <c r="E489" s="9" t="s">
        <v>115</v>
      </c>
      <c r="F489" s="9" t="s">
        <v>116</v>
      </c>
      <c r="G489" s="10" t="n">
        <v>113</v>
      </c>
      <c r="H489" s="10" t="n">
        <v>181</v>
      </c>
      <c r="I489" s="10" t="n">
        <v>28</v>
      </c>
      <c r="J489" s="10" t="n">
        <v>0</v>
      </c>
      <c r="K489" s="10" t="n">
        <f aca="false">G489+H489</f>
        <v>294</v>
      </c>
      <c r="L489" s="11" t="n">
        <f aca="false">IF(K489&gt;0,G489/K489,"")</f>
        <v>0.384353741496599</v>
      </c>
      <c r="M489" s="9" t="str">
        <f aca="false">IF(K489=0,"",IF(L489&lt;0.2,"Très masculine (&lt;20 % F)",IF(L489&lt;0.4,"Plutôt masculine (20-40 %)",IF(L489&lt;0.6,"Mixte (40-60 %)","À dominante féminine (≥60 %)"))))</f>
        <v>Plutôt masculine (20-40 %)</v>
      </c>
    </row>
    <row r="490" customFormat="false" ht="15" hidden="false" customHeight="false" outlineLevel="0" collapsed="false">
      <c r="A490" s="9" t="s">
        <v>1093</v>
      </c>
      <c r="B490" s="9" t="s">
        <v>1086</v>
      </c>
      <c r="C490" s="9" t="s">
        <v>433</v>
      </c>
      <c r="D490" s="9" t="s">
        <v>434</v>
      </c>
      <c r="E490" s="9" t="s">
        <v>115</v>
      </c>
      <c r="F490" s="9" t="s">
        <v>116</v>
      </c>
      <c r="G490" s="10" t="n">
        <v>32</v>
      </c>
      <c r="H490" s="10" t="n">
        <v>56</v>
      </c>
      <c r="I490" s="10" t="n">
        <v>28</v>
      </c>
      <c r="J490" s="10" t="n">
        <v>0</v>
      </c>
      <c r="K490" s="10" t="n">
        <f aca="false">G490+H490</f>
        <v>88</v>
      </c>
      <c r="L490" s="11" t="n">
        <f aca="false">IF(K490&gt;0,G490/K490,"")</f>
        <v>0.363636363636364</v>
      </c>
      <c r="M490" s="9" t="str">
        <f aca="false">IF(K490=0,"",IF(L490&lt;0.2,"Très masculine (&lt;20 % F)",IF(L490&lt;0.4,"Plutôt masculine (20-40 %)",IF(L490&lt;0.6,"Mixte (40-60 %)","À dominante féminine (≥60 %)"))))</f>
        <v>Plutôt masculine (20-40 %)</v>
      </c>
    </row>
    <row r="491" customFormat="false" ht="15" hidden="false" customHeight="false" outlineLevel="0" collapsed="false">
      <c r="A491" s="9" t="s">
        <v>1094</v>
      </c>
      <c r="B491" s="9" t="s">
        <v>1086</v>
      </c>
      <c r="C491" s="9" t="s">
        <v>433</v>
      </c>
      <c r="D491" s="9" t="s">
        <v>434</v>
      </c>
      <c r="E491" s="9" t="s">
        <v>115</v>
      </c>
      <c r="F491" s="9" t="s">
        <v>116</v>
      </c>
      <c r="G491" s="10" t="n">
        <v>100</v>
      </c>
      <c r="H491" s="10" t="n">
        <v>663</v>
      </c>
      <c r="I491" s="10" t="n">
        <v>67</v>
      </c>
      <c r="J491" s="10" t="n">
        <v>0</v>
      </c>
      <c r="K491" s="10" t="n">
        <f aca="false">G491+H491</f>
        <v>763</v>
      </c>
      <c r="L491" s="11" t="n">
        <f aca="false">IF(K491&gt;0,G491/K491,"")</f>
        <v>0.131061598951507</v>
      </c>
      <c r="M491" s="9" t="str">
        <f aca="false">IF(K491=0,"",IF(L491&lt;0.2,"Très masculine (&lt;20 % F)",IF(L491&lt;0.4,"Plutôt masculine (20-40 %)",IF(L491&lt;0.6,"Mixte (40-60 %)","À dominante féminine (≥60 %)"))))</f>
        <v>Très masculine (&lt;20 % F)</v>
      </c>
    </row>
    <row r="492" customFormat="false" ht="15" hidden="false" customHeight="false" outlineLevel="0" collapsed="false">
      <c r="A492" s="9" t="s">
        <v>1095</v>
      </c>
      <c r="B492" s="9" t="s">
        <v>1086</v>
      </c>
      <c r="C492" s="9" t="s">
        <v>433</v>
      </c>
      <c r="D492" s="9" t="s">
        <v>434</v>
      </c>
      <c r="E492" s="9" t="s">
        <v>115</v>
      </c>
      <c r="F492" s="9" t="s">
        <v>116</v>
      </c>
      <c r="G492" s="10" t="n">
        <v>147</v>
      </c>
      <c r="H492" s="10" t="n">
        <v>301</v>
      </c>
      <c r="I492" s="10" t="n">
        <v>10</v>
      </c>
      <c r="J492" s="10" t="n">
        <v>3</v>
      </c>
      <c r="K492" s="10" t="n">
        <f aca="false">G492+H492</f>
        <v>448</v>
      </c>
      <c r="L492" s="11" t="n">
        <f aca="false">IF(K492&gt;0,G492/K492,"")</f>
        <v>0.328125</v>
      </c>
      <c r="M492" s="9" t="str">
        <f aca="false">IF(K492=0,"",IF(L492&lt;0.2,"Très masculine (&lt;20 % F)",IF(L492&lt;0.4,"Plutôt masculine (20-40 %)",IF(L492&lt;0.6,"Mixte (40-60 %)","À dominante féminine (≥60 %)"))))</f>
        <v>Plutôt masculine (20-40 %)</v>
      </c>
    </row>
    <row r="493" customFormat="false" ht="15" hidden="false" customHeight="false" outlineLevel="0" collapsed="false">
      <c r="A493" s="9" t="s">
        <v>1096</v>
      </c>
      <c r="B493" s="9" t="s">
        <v>1086</v>
      </c>
      <c r="C493" s="9" t="s">
        <v>433</v>
      </c>
      <c r="D493" s="9" t="s">
        <v>434</v>
      </c>
      <c r="E493" s="9" t="s">
        <v>115</v>
      </c>
      <c r="F493" s="9" t="s">
        <v>116</v>
      </c>
      <c r="G493" s="10" t="n">
        <v>67</v>
      </c>
      <c r="H493" s="10" t="n">
        <v>168</v>
      </c>
      <c r="I493" s="10" t="n">
        <v>35</v>
      </c>
      <c r="J493" s="10" t="n">
        <v>0</v>
      </c>
      <c r="K493" s="10" t="n">
        <f aca="false">G493+H493</f>
        <v>235</v>
      </c>
      <c r="L493" s="11" t="n">
        <f aca="false">IF(K493&gt;0,G493/K493,"")</f>
        <v>0.285106382978723</v>
      </c>
      <c r="M493" s="9" t="str">
        <f aca="false">IF(K493=0,"",IF(L493&lt;0.2,"Très masculine (&lt;20 % F)",IF(L493&lt;0.4,"Plutôt masculine (20-40 %)",IF(L493&lt;0.6,"Mixte (40-60 %)","À dominante féminine (≥60 %)"))))</f>
        <v>Plutôt masculine (20-40 %)</v>
      </c>
    </row>
    <row r="494" customFormat="false" ht="15" hidden="false" customHeight="false" outlineLevel="0" collapsed="false">
      <c r="A494" s="9" t="s">
        <v>1097</v>
      </c>
      <c r="B494" s="9" t="s">
        <v>1098</v>
      </c>
      <c r="C494" s="9" t="s">
        <v>437</v>
      </c>
      <c r="D494" s="9" t="s">
        <v>151</v>
      </c>
      <c r="E494" s="9" t="s">
        <v>151</v>
      </c>
      <c r="F494" s="9" t="s">
        <v>152</v>
      </c>
      <c r="G494" s="10" t="n">
        <v>18</v>
      </c>
      <c r="H494" s="10" t="n">
        <v>71</v>
      </c>
      <c r="I494" s="10" t="n">
        <v>12</v>
      </c>
      <c r="J494" s="10" t="n">
        <v>0</v>
      </c>
      <c r="K494" s="10" t="n">
        <f aca="false">G494+H494</f>
        <v>89</v>
      </c>
      <c r="L494" s="11" t="n">
        <f aca="false">IF(K494&gt;0,G494/K494,"")</f>
        <v>0.202247191011236</v>
      </c>
      <c r="M494" s="9" t="str">
        <f aca="false">IF(K494=0,"",IF(L494&lt;0.2,"Très masculine (&lt;20 % F)",IF(L494&lt;0.4,"Plutôt masculine (20-40 %)",IF(L494&lt;0.6,"Mixte (40-60 %)","À dominante féminine (≥60 %)"))))</f>
        <v>Plutôt masculine (20-40 %)</v>
      </c>
    </row>
    <row r="495" customFormat="false" ht="15" hidden="false" customHeight="false" outlineLevel="0" collapsed="false">
      <c r="A495" s="9" t="s">
        <v>1099</v>
      </c>
      <c r="B495" s="9" t="s">
        <v>1098</v>
      </c>
      <c r="C495" s="9" t="s">
        <v>437</v>
      </c>
      <c r="D495" s="9" t="s">
        <v>151</v>
      </c>
      <c r="E495" s="9" t="s">
        <v>151</v>
      </c>
      <c r="F495" s="9" t="s">
        <v>152</v>
      </c>
      <c r="G495" s="10" t="n">
        <v>88</v>
      </c>
      <c r="H495" s="10" t="n">
        <v>116</v>
      </c>
      <c r="I495" s="10" t="n">
        <v>18</v>
      </c>
      <c r="J495" s="10" t="n">
        <v>0</v>
      </c>
      <c r="K495" s="10" t="n">
        <f aca="false">G495+H495</f>
        <v>204</v>
      </c>
      <c r="L495" s="11" t="n">
        <f aca="false">IF(K495&gt;0,G495/K495,"")</f>
        <v>0.431372549019608</v>
      </c>
      <c r="M495" s="9" t="str">
        <f aca="false">IF(K495=0,"",IF(L495&lt;0.2,"Très masculine (&lt;20 % F)",IF(L495&lt;0.4,"Plutôt masculine (20-40 %)",IF(L495&lt;0.6,"Mixte (40-60 %)","À dominante féminine (≥60 %)"))))</f>
        <v>Mixte (40-60 %)</v>
      </c>
    </row>
    <row r="496" customFormat="false" ht="15" hidden="false" customHeight="false" outlineLevel="0" collapsed="false">
      <c r="A496" s="9" t="s">
        <v>1100</v>
      </c>
      <c r="B496" s="9" t="s">
        <v>1098</v>
      </c>
      <c r="C496" s="9" t="s">
        <v>437</v>
      </c>
      <c r="D496" s="9" t="s">
        <v>151</v>
      </c>
      <c r="E496" s="9" t="s">
        <v>151</v>
      </c>
      <c r="F496" s="9" t="s">
        <v>152</v>
      </c>
      <c r="G496" s="10" t="n">
        <v>6</v>
      </c>
      <c r="H496" s="10" t="n">
        <v>10</v>
      </c>
      <c r="I496" s="10" t="n">
        <v>16</v>
      </c>
      <c r="J496" s="10" t="n">
        <v>0</v>
      </c>
      <c r="K496" s="10" t="n">
        <f aca="false">G496+H496</f>
        <v>16</v>
      </c>
      <c r="L496" s="11" t="n">
        <f aca="false">IF(K496&gt;0,G496/K496,"")</f>
        <v>0.375</v>
      </c>
      <c r="M496" s="9" t="str">
        <f aca="false">IF(K496=0,"",IF(L496&lt;0.2,"Très masculine (&lt;20 % F)",IF(L496&lt;0.4,"Plutôt masculine (20-40 %)",IF(L496&lt;0.6,"Mixte (40-60 %)","À dominante féminine (≥60 %)"))))</f>
        <v>Plutôt masculine (20-40 %)</v>
      </c>
    </row>
    <row r="497" customFormat="false" ht="15" hidden="false" customHeight="false" outlineLevel="0" collapsed="false">
      <c r="A497" s="9" t="s">
        <v>1101</v>
      </c>
      <c r="B497" s="9" t="s">
        <v>1098</v>
      </c>
      <c r="C497" s="9" t="s">
        <v>437</v>
      </c>
      <c r="D497" s="9" t="s">
        <v>151</v>
      </c>
      <c r="E497" s="9" t="s">
        <v>151</v>
      </c>
      <c r="F497" s="9" t="s">
        <v>152</v>
      </c>
      <c r="G497" s="10" t="n">
        <v>166</v>
      </c>
      <c r="H497" s="10" t="n">
        <v>196</v>
      </c>
      <c r="I497" s="10" t="n">
        <v>28</v>
      </c>
      <c r="J497" s="10" t="n">
        <v>0</v>
      </c>
      <c r="K497" s="10" t="n">
        <f aca="false">G497+H497</f>
        <v>362</v>
      </c>
      <c r="L497" s="11" t="n">
        <f aca="false">IF(K497&gt;0,G497/K497,"")</f>
        <v>0.458563535911602</v>
      </c>
      <c r="M497" s="9" t="str">
        <f aca="false">IF(K497=0,"",IF(L497&lt;0.2,"Très masculine (&lt;20 % F)",IF(L497&lt;0.4,"Plutôt masculine (20-40 %)",IF(L497&lt;0.6,"Mixte (40-60 %)","À dominante féminine (≥60 %)"))))</f>
        <v>Mixte (40-60 %)</v>
      </c>
    </row>
    <row r="498" customFormat="false" ht="15" hidden="false" customHeight="false" outlineLevel="0" collapsed="false">
      <c r="A498" s="9" t="s">
        <v>1102</v>
      </c>
      <c r="B498" s="9" t="s">
        <v>1098</v>
      </c>
      <c r="C498" s="9" t="s">
        <v>437</v>
      </c>
      <c r="D498" s="9" t="s">
        <v>151</v>
      </c>
      <c r="E498" s="9" t="s">
        <v>151</v>
      </c>
      <c r="F498" s="9" t="s">
        <v>152</v>
      </c>
      <c r="G498" s="10" t="n">
        <v>132</v>
      </c>
      <c r="H498" s="10" t="n">
        <v>820</v>
      </c>
      <c r="I498" s="10" t="n">
        <v>72</v>
      </c>
      <c r="J498" s="10" t="n">
        <v>3</v>
      </c>
      <c r="K498" s="10" t="n">
        <f aca="false">G498+H498</f>
        <v>952</v>
      </c>
      <c r="L498" s="11" t="n">
        <f aca="false">IF(K498&gt;0,G498/K498,"")</f>
        <v>0.138655462184874</v>
      </c>
      <c r="M498" s="9" t="str">
        <f aca="false">IF(K498=0,"",IF(L498&lt;0.2,"Très masculine (&lt;20 % F)",IF(L498&lt;0.4,"Plutôt masculine (20-40 %)",IF(L498&lt;0.6,"Mixte (40-60 %)","À dominante féminine (≥60 %)"))))</f>
        <v>Très masculine (&lt;20 % F)</v>
      </c>
    </row>
    <row r="499" customFormat="false" ht="15" hidden="false" customHeight="false" outlineLevel="0" collapsed="false">
      <c r="A499" s="9" t="s">
        <v>1103</v>
      </c>
      <c r="B499" s="9" t="s">
        <v>1098</v>
      </c>
      <c r="C499" s="9" t="s">
        <v>437</v>
      </c>
      <c r="D499" s="9" t="s">
        <v>151</v>
      </c>
      <c r="E499" s="9" t="s">
        <v>151</v>
      </c>
      <c r="F499" s="9" t="s">
        <v>152</v>
      </c>
      <c r="G499" s="10" t="n">
        <v>522</v>
      </c>
      <c r="H499" s="10" t="n">
        <v>38</v>
      </c>
      <c r="I499" s="10" t="n">
        <v>9</v>
      </c>
      <c r="J499" s="10" t="n">
        <v>11</v>
      </c>
      <c r="K499" s="10" t="n">
        <f aca="false">G499+H499</f>
        <v>560</v>
      </c>
      <c r="L499" s="11" t="n">
        <f aca="false">IF(K499&gt;0,G499/K499,"")</f>
        <v>0.932142857142857</v>
      </c>
      <c r="M499" s="9" t="str">
        <f aca="false">IF(K499=0,"",IF(L499&lt;0.2,"Très masculine (&lt;20 % F)",IF(L499&lt;0.4,"Plutôt masculine (20-40 %)",IF(L499&lt;0.6,"Mixte (40-60 %)","À dominante féminine (≥60 %)"))))</f>
        <v>À dominante féminine (≥60 %)</v>
      </c>
    </row>
    <row r="500" customFormat="false" ht="15" hidden="false" customHeight="false" outlineLevel="0" collapsed="false">
      <c r="A500" s="9" t="s">
        <v>1104</v>
      </c>
      <c r="B500" s="9" t="s">
        <v>1098</v>
      </c>
      <c r="C500" s="9" t="s">
        <v>437</v>
      </c>
      <c r="D500" s="9" t="s">
        <v>151</v>
      </c>
      <c r="E500" s="9" t="s">
        <v>151</v>
      </c>
      <c r="F500" s="9" t="s">
        <v>152</v>
      </c>
      <c r="G500" s="10" t="n">
        <v>211</v>
      </c>
      <c r="H500" s="10" t="n">
        <v>448</v>
      </c>
      <c r="I500" s="10" t="n">
        <v>20</v>
      </c>
      <c r="J500" s="10" t="n">
        <v>11</v>
      </c>
      <c r="K500" s="10" t="n">
        <f aca="false">G500+H500</f>
        <v>659</v>
      </c>
      <c r="L500" s="11" t="n">
        <f aca="false">IF(K500&gt;0,G500/K500,"")</f>
        <v>0.320182094081942</v>
      </c>
      <c r="M500" s="9" t="str">
        <f aca="false">IF(K500=0,"",IF(L500&lt;0.2,"Très masculine (&lt;20 % F)",IF(L500&lt;0.4,"Plutôt masculine (20-40 %)",IF(L500&lt;0.6,"Mixte (40-60 %)","À dominante féminine (≥60 %)"))))</f>
        <v>Plutôt masculine (20-40 %)</v>
      </c>
    </row>
    <row r="501" customFormat="false" ht="15" hidden="false" customHeight="false" outlineLevel="0" collapsed="false">
      <c r="A501" s="9" t="s">
        <v>1105</v>
      </c>
      <c r="B501" s="9" t="s">
        <v>1098</v>
      </c>
      <c r="C501" s="9" t="s">
        <v>437</v>
      </c>
      <c r="D501" s="9" t="s">
        <v>151</v>
      </c>
      <c r="E501" s="9" t="s">
        <v>151</v>
      </c>
      <c r="F501" s="9" t="s">
        <v>152</v>
      </c>
      <c r="G501" s="10" t="n">
        <v>261</v>
      </c>
      <c r="H501" s="10" t="n">
        <v>19</v>
      </c>
      <c r="I501" s="10" t="n">
        <v>20</v>
      </c>
      <c r="J501" s="10" t="n">
        <v>7</v>
      </c>
      <c r="K501" s="10" t="n">
        <f aca="false">G501+H501</f>
        <v>280</v>
      </c>
      <c r="L501" s="11" t="n">
        <f aca="false">IF(K501&gt;0,G501/K501,"")</f>
        <v>0.932142857142857</v>
      </c>
      <c r="M501" s="9" t="str">
        <f aca="false">IF(K501=0,"",IF(L501&lt;0.2,"Très masculine (&lt;20 % F)",IF(L501&lt;0.4,"Plutôt masculine (20-40 %)",IF(L501&lt;0.6,"Mixte (40-60 %)","À dominante féminine (≥60 %)"))))</f>
        <v>À dominante féminine (≥60 %)</v>
      </c>
    </row>
    <row r="502" customFormat="false" ht="15" hidden="false" customHeight="false" outlineLevel="0" collapsed="false">
      <c r="A502" s="9" t="s">
        <v>1106</v>
      </c>
      <c r="B502" s="9" t="s">
        <v>1098</v>
      </c>
      <c r="C502" s="9" t="s">
        <v>437</v>
      </c>
      <c r="D502" s="9" t="s">
        <v>151</v>
      </c>
      <c r="E502" s="9" t="s">
        <v>151</v>
      </c>
      <c r="F502" s="9" t="s">
        <v>152</v>
      </c>
      <c r="G502" s="10" t="n">
        <v>126</v>
      </c>
      <c r="H502" s="10" t="n">
        <v>209</v>
      </c>
      <c r="I502" s="10" t="n">
        <v>31</v>
      </c>
      <c r="J502" s="10" t="n">
        <v>0</v>
      </c>
      <c r="K502" s="10" t="n">
        <f aca="false">G502+H502</f>
        <v>335</v>
      </c>
      <c r="L502" s="11" t="n">
        <f aca="false">IF(K502&gt;0,G502/K502,"")</f>
        <v>0.376119402985075</v>
      </c>
      <c r="M502" s="9" t="str">
        <f aca="false">IF(K502=0,"",IF(L502&lt;0.2,"Très masculine (&lt;20 % F)",IF(L502&lt;0.4,"Plutôt masculine (20-40 %)",IF(L502&lt;0.6,"Mixte (40-60 %)","À dominante féminine (≥60 %)"))))</f>
        <v>Plutôt masculine (20-40 %)</v>
      </c>
    </row>
    <row r="503" customFormat="false" ht="15" hidden="false" customHeight="false" outlineLevel="0" collapsed="false">
      <c r="A503" s="9" t="s">
        <v>1107</v>
      </c>
      <c r="B503" s="9" t="s">
        <v>1098</v>
      </c>
      <c r="C503" s="9" t="s">
        <v>437</v>
      </c>
      <c r="D503" s="9" t="s">
        <v>151</v>
      </c>
      <c r="E503" s="9" t="s">
        <v>151</v>
      </c>
      <c r="F503" s="9" t="s">
        <v>152</v>
      </c>
      <c r="G503" s="10" t="n">
        <v>57</v>
      </c>
      <c r="H503" s="10" t="n">
        <v>80</v>
      </c>
      <c r="I503" s="10" t="n">
        <v>10</v>
      </c>
      <c r="J503" s="10" t="n">
        <v>1</v>
      </c>
      <c r="K503" s="10" t="n">
        <f aca="false">G503+H503</f>
        <v>137</v>
      </c>
      <c r="L503" s="11" t="n">
        <f aca="false">IF(K503&gt;0,G503/K503,"")</f>
        <v>0.416058394160584</v>
      </c>
      <c r="M503" s="9" t="str">
        <f aca="false">IF(K503=0,"",IF(L503&lt;0.2,"Très masculine (&lt;20 % F)",IF(L503&lt;0.4,"Plutôt masculine (20-40 %)",IF(L503&lt;0.6,"Mixte (40-60 %)","À dominante féminine (≥60 %)"))))</f>
        <v>Mixte (40-60 %)</v>
      </c>
    </row>
    <row r="504" customFormat="false" ht="15" hidden="false" customHeight="false" outlineLevel="0" collapsed="false">
      <c r="A504" s="9" t="s">
        <v>1108</v>
      </c>
      <c r="B504" s="9" t="s">
        <v>1098</v>
      </c>
      <c r="C504" s="9" t="s">
        <v>437</v>
      </c>
      <c r="D504" s="9" t="s">
        <v>151</v>
      </c>
      <c r="E504" s="9" t="s">
        <v>151</v>
      </c>
      <c r="F504" s="9" t="s">
        <v>152</v>
      </c>
      <c r="G504" s="10" t="n">
        <v>114</v>
      </c>
      <c r="H504" s="10" t="n">
        <v>220</v>
      </c>
      <c r="I504" s="10" t="n">
        <v>20</v>
      </c>
      <c r="J504" s="10" t="n">
        <v>3</v>
      </c>
      <c r="K504" s="10" t="n">
        <f aca="false">G504+H504</f>
        <v>334</v>
      </c>
      <c r="L504" s="11" t="n">
        <f aca="false">IF(K504&gt;0,G504/K504,"")</f>
        <v>0.341317365269461</v>
      </c>
      <c r="M504" s="9" t="str">
        <f aca="false">IF(K504=0,"",IF(L504&lt;0.2,"Très masculine (&lt;20 % F)",IF(L504&lt;0.4,"Plutôt masculine (20-40 %)",IF(L504&lt;0.6,"Mixte (40-60 %)","À dominante féminine (≥60 %)"))))</f>
        <v>Plutôt masculine (20-40 %)</v>
      </c>
    </row>
    <row r="505" customFormat="false" ht="15" hidden="false" customHeight="false" outlineLevel="0" collapsed="false">
      <c r="A505" s="9" t="s">
        <v>1109</v>
      </c>
      <c r="B505" s="9" t="s">
        <v>1098</v>
      </c>
      <c r="C505" s="9" t="s">
        <v>437</v>
      </c>
      <c r="D505" s="9" t="s">
        <v>151</v>
      </c>
      <c r="E505" s="9" t="s">
        <v>151</v>
      </c>
      <c r="F505" s="9" t="s">
        <v>152</v>
      </c>
      <c r="G505" s="10" t="n">
        <v>51</v>
      </c>
      <c r="H505" s="10" t="n">
        <v>24</v>
      </c>
      <c r="I505" s="10" t="n">
        <v>17</v>
      </c>
      <c r="J505" s="10" t="n">
        <v>0</v>
      </c>
      <c r="K505" s="10" t="n">
        <f aca="false">G505+H505</f>
        <v>75</v>
      </c>
      <c r="L505" s="11" t="n">
        <f aca="false">IF(K505&gt;0,G505/K505,"")</f>
        <v>0.68</v>
      </c>
      <c r="M505" s="9" t="str">
        <f aca="false">IF(K505=0,"",IF(L505&lt;0.2,"Très masculine (&lt;20 % F)",IF(L505&lt;0.4,"Plutôt masculine (20-40 %)",IF(L505&lt;0.6,"Mixte (40-60 %)","À dominante féminine (≥60 %)"))))</f>
        <v>À dominante féminine (≥60 %)</v>
      </c>
    </row>
    <row r="506" customFormat="false" ht="15" hidden="false" customHeight="false" outlineLevel="0" collapsed="false">
      <c r="A506" s="9" t="s">
        <v>1110</v>
      </c>
      <c r="B506" s="9" t="s">
        <v>1098</v>
      </c>
      <c r="C506" s="9" t="s">
        <v>437</v>
      </c>
      <c r="D506" s="9" t="s">
        <v>151</v>
      </c>
      <c r="E506" s="9" t="s">
        <v>151</v>
      </c>
      <c r="F506" s="9" t="s">
        <v>152</v>
      </c>
      <c r="G506" s="10" t="n">
        <v>650</v>
      </c>
      <c r="H506" s="10" t="n">
        <v>676</v>
      </c>
      <c r="I506" s="10" t="n">
        <v>110</v>
      </c>
      <c r="J506" s="10" t="n">
        <v>12</v>
      </c>
      <c r="K506" s="10" t="n">
        <f aca="false">G506+H506</f>
        <v>1326</v>
      </c>
      <c r="L506" s="11" t="n">
        <f aca="false">IF(K506&gt;0,G506/K506,"")</f>
        <v>0.490196078431373</v>
      </c>
      <c r="M506" s="9" t="str">
        <f aca="false">IF(K506=0,"",IF(L506&lt;0.2,"Très masculine (&lt;20 % F)",IF(L506&lt;0.4,"Plutôt masculine (20-40 %)",IF(L506&lt;0.6,"Mixte (40-60 %)","À dominante féminine (≥60 %)"))))</f>
        <v>Mixte (40-60 %)</v>
      </c>
    </row>
    <row r="507" customFormat="false" ht="15" hidden="false" customHeight="false" outlineLevel="0" collapsed="false">
      <c r="A507" s="9" t="s">
        <v>1111</v>
      </c>
      <c r="B507" s="9" t="s">
        <v>1098</v>
      </c>
      <c r="C507" s="9" t="s">
        <v>437</v>
      </c>
      <c r="D507" s="9" t="s">
        <v>151</v>
      </c>
      <c r="E507" s="9" t="s">
        <v>151</v>
      </c>
      <c r="F507" s="9" t="s">
        <v>152</v>
      </c>
      <c r="G507" s="10" t="n">
        <v>3</v>
      </c>
      <c r="H507" s="10" t="n">
        <v>51</v>
      </c>
      <c r="I507" s="10" t="n">
        <v>1</v>
      </c>
      <c r="J507" s="10" t="n">
        <v>0</v>
      </c>
      <c r="K507" s="10" t="n">
        <f aca="false">G507+H507</f>
        <v>54</v>
      </c>
      <c r="L507" s="11" t="n">
        <f aca="false">IF(K507&gt;0,G507/K507,"")</f>
        <v>0.0555555555555556</v>
      </c>
      <c r="M507" s="9" t="str">
        <f aca="false">IF(K507=0,"",IF(L507&lt;0.2,"Très masculine (&lt;20 % F)",IF(L507&lt;0.4,"Plutôt masculine (20-40 %)",IF(L507&lt;0.6,"Mixte (40-60 %)","À dominante féminine (≥60 %)"))))</f>
        <v>Très masculine (&lt;20 % F)</v>
      </c>
    </row>
    <row r="508" customFormat="false" ht="15" hidden="false" customHeight="false" outlineLevel="0" collapsed="false">
      <c r="A508" s="9" t="s">
        <v>1112</v>
      </c>
      <c r="B508" s="9" t="s">
        <v>1113</v>
      </c>
      <c r="C508" s="9" t="s">
        <v>442</v>
      </c>
      <c r="D508" s="9" t="s">
        <v>443</v>
      </c>
      <c r="E508" s="9" t="s">
        <v>100</v>
      </c>
      <c r="F508" s="9" t="s">
        <v>102</v>
      </c>
      <c r="G508" s="10" t="n">
        <v>17</v>
      </c>
      <c r="H508" s="10" t="n">
        <v>59</v>
      </c>
      <c r="I508" s="10" t="n">
        <v>8</v>
      </c>
      <c r="J508" s="10" t="n">
        <v>1</v>
      </c>
      <c r="K508" s="10" t="n">
        <f aca="false">G508+H508</f>
        <v>76</v>
      </c>
      <c r="L508" s="11" t="n">
        <f aca="false">IF(K508&gt;0,G508/K508,"")</f>
        <v>0.223684210526316</v>
      </c>
      <c r="M508" s="9" t="str">
        <f aca="false">IF(K508=0,"",IF(L508&lt;0.2,"Très masculine (&lt;20 % F)",IF(L508&lt;0.4,"Plutôt masculine (20-40 %)",IF(L508&lt;0.6,"Mixte (40-60 %)","À dominante féminine (≥60 %)"))))</f>
        <v>Plutôt masculine (20-40 %)</v>
      </c>
    </row>
    <row r="509" customFormat="false" ht="15" hidden="false" customHeight="false" outlineLevel="0" collapsed="false">
      <c r="A509" s="9" t="s">
        <v>1114</v>
      </c>
      <c r="B509" s="9" t="s">
        <v>1115</v>
      </c>
      <c r="C509" s="9" t="s">
        <v>450</v>
      </c>
      <c r="D509" s="9" t="s">
        <v>106</v>
      </c>
      <c r="E509" s="9" t="s">
        <v>106</v>
      </c>
      <c r="F509" s="9" t="s">
        <v>173</v>
      </c>
      <c r="G509" s="10" t="n">
        <v>32</v>
      </c>
      <c r="H509" s="10" t="n">
        <v>113</v>
      </c>
      <c r="I509" s="10" t="n">
        <v>3</v>
      </c>
      <c r="J509" s="10" t="n">
        <v>1</v>
      </c>
      <c r="K509" s="10" t="n">
        <f aca="false">G509+H509</f>
        <v>145</v>
      </c>
      <c r="L509" s="11" t="n">
        <f aca="false">IF(K509&gt;0,G509/K509,"")</f>
        <v>0.220689655172414</v>
      </c>
      <c r="M509" s="9" t="str">
        <f aca="false">IF(K509=0,"",IF(L509&lt;0.2,"Très masculine (&lt;20 % F)",IF(L509&lt;0.4,"Plutôt masculine (20-40 %)",IF(L509&lt;0.6,"Mixte (40-60 %)","À dominante féminine (≥60 %)"))))</f>
        <v>Plutôt masculine (20-40 %)</v>
      </c>
    </row>
    <row r="510" customFormat="false" ht="15" hidden="false" customHeight="false" outlineLevel="0" collapsed="false">
      <c r="A510" s="9" t="s">
        <v>1116</v>
      </c>
      <c r="B510" s="9" t="s">
        <v>1115</v>
      </c>
      <c r="C510" s="9" t="s">
        <v>450</v>
      </c>
      <c r="D510" s="9" t="s">
        <v>106</v>
      </c>
      <c r="E510" s="9" t="s">
        <v>106</v>
      </c>
      <c r="F510" s="9" t="s">
        <v>173</v>
      </c>
      <c r="G510" s="10" t="n">
        <v>50</v>
      </c>
      <c r="H510" s="10" t="n">
        <v>161</v>
      </c>
      <c r="I510" s="10" t="n">
        <v>40</v>
      </c>
      <c r="J510" s="10" t="n">
        <v>0</v>
      </c>
      <c r="K510" s="10" t="n">
        <f aca="false">G510+H510</f>
        <v>211</v>
      </c>
      <c r="L510" s="11" t="n">
        <f aca="false">IF(K510&gt;0,G510/K510,"")</f>
        <v>0.23696682464455</v>
      </c>
      <c r="M510" s="9" t="str">
        <f aca="false">IF(K510=0,"",IF(L510&lt;0.2,"Très masculine (&lt;20 % F)",IF(L510&lt;0.4,"Plutôt masculine (20-40 %)",IF(L510&lt;0.6,"Mixte (40-60 %)","À dominante féminine (≥60 %)"))))</f>
        <v>Plutôt masculine (20-40 %)</v>
      </c>
    </row>
    <row r="511" customFormat="false" ht="15" hidden="false" customHeight="false" outlineLevel="0" collapsed="false">
      <c r="A511" s="9" t="s">
        <v>1117</v>
      </c>
      <c r="B511" s="9" t="s">
        <v>1115</v>
      </c>
      <c r="C511" s="9" t="s">
        <v>450</v>
      </c>
      <c r="D511" s="9" t="s">
        <v>106</v>
      </c>
      <c r="E511" s="9" t="s">
        <v>106</v>
      </c>
      <c r="F511" s="9" t="s">
        <v>173</v>
      </c>
      <c r="G511" s="10" t="n">
        <v>80</v>
      </c>
      <c r="H511" s="10" t="n">
        <v>156</v>
      </c>
      <c r="I511" s="10" t="n">
        <v>5</v>
      </c>
      <c r="J511" s="10" t="n">
        <v>4</v>
      </c>
      <c r="K511" s="10" t="n">
        <f aca="false">G511+H511</f>
        <v>236</v>
      </c>
      <c r="L511" s="11" t="n">
        <f aca="false">IF(K511&gt;0,G511/K511,"")</f>
        <v>0.338983050847458</v>
      </c>
      <c r="M511" s="9" t="str">
        <f aca="false">IF(K511=0,"",IF(L511&lt;0.2,"Très masculine (&lt;20 % F)",IF(L511&lt;0.4,"Plutôt masculine (20-40 %)",IF(L511&lt;0.6,"Mixte (40-60 %)","À dominante féminine (≥60 %)"))))</f>
        <v>Plutôt masculine (20-40 %)</v>
      </c>
    </row>
    <row r="512" customFormat="false" ht="15" hidden="false" customHeight="false" outlineLevel="0" collapsed="false">
      <c r="A512" s="9" t="s">
        <v>1118</v>
      </c>
      <c r="B512" s="9" t="s">
        <v>1115</v>
      </c>
      <c r="C512" s="9" t="s">
        <v>450</v>
      </c>
      <c r="D512" s="9" t="s">
        <v>106</v>
      </c>
      <c r="E512" s="9" t="s">
        <v>106</v>
      </c>
      <c r="F512" s="9" t="s">
        <v>173</v>
      </c>
      <c r="G512" s="10" t="n">
        <v>4</v>
      </c>
      <c r="H512" s="10" t="n">
        <v>299</v>
      </c>
      <c r="I512" s="10" t="n">
        <v>16</v>
      </c>
      <c r="J512" s="10" t="n">
        <v>0</v>
      </c>
      <c r="K512" s="10" t="n">
        <f aca="false">G512+H512</f>
        <v>303</v>
      </c>
      <c r="L512" s="11" t="n">
        <f aca="false">IF(K512&gt;0,G512/K512,"")</f>
        <v>0.0132013201320132</v>
      </c>
      <c r="M512" s="9" t="str">
        <f aca="false">IF(K512=0,"",IF(L512&lt;0.2,"Très masculine (&lt;20 % F)",IF(L512&lt;0.4,"Plutôt masculine (20-40 %)",IF(L512&lt;0.6,"Mixte (40-60 %)","À dominante féminine (≥60 %)"))))</f>
        <v>Très masculine (&lt;20 % F)</v>
      </c>
    </row>
    <row r="513" customFormat="false" ht="15" hidden="false" customHeight="false" outlineLevel="0" collapsed="false">
      <c r="A513" s="9" t="s">
        <v>1119</v>
      </c>
      <c r="B513" s="9" t="s">
        <v>1115</v>
      </c>
      <c r="C513" s="9" t="s">
        <v>450</v>
      </c>
      <c r="D513" s="9" t="s">
        <v>106</v>
      </c>
      <c r="E513" s="9" t="s">
        <v>106</v>
      </c>
      <c r="F513" s="9" t="s">
        <v>173</v>
      </c>
      <c r="G513" s="10" t="n">
        <v>20</v>
      </c>
      <c r="H513" s="10" t="n">
        <v>28</v>
      </c>
      <c r="I513" s="10" t="n">
        <v>20</v>
      </c>
      <c r="J513" s="10" t="n">
        <v>2</v>
      </c>
      <c r="K513" s="10" t="n">
        <f aca="false">G513+H513</f>
        <v>48</v>
      </c>
      <c r="L513" s="11" t="n">
        <f aca="false">IF(K513&gt;0,G513/K513,"")</f>
        <v>0.416666666666667</v>
      </c>
      <c r="M513" s="9" t="str">
        <f aca="false">IF(K513=0,"",IF(L513&lt;0.2,"Très masculine (&lt;20 % F)",IF(L513&lt;0.4,"Plutôt masculine (20-40 %)",IF(L513&lt;0.6,"Mixte (40-60 %)","À dominante féminine (≥60 %)"))))</f>
        <v>Mixte (40-60 %)</v>
      </c>
    </row>
    <row r="514" customFormat="false" ht="15" hidden="false" customHeight="false" outlineLevel="0" collapsed="false">
      <c r="A514" s="9" t="s">
        <v>1120</v>
      </c>
      <c r="B514" s="9" t="s">
        <v>1115</v>
      </c>
      <c r="C514" s="9" t="s">
        <v>450</v>
      </c>
      <c r="D514" s="9" t="s">
        <v>106</v>
      </c>
      <c r="E514" s="9" t="s">
        <v>106</v>
      </c>
      <c r="F514" s="9" t="s">
        <v>173</v>
      </c>
      <c r="G514" s="10" t="n">
        <v>143</v>
      </c>
      <c r="H514" s="10" t="n">
        <v>0</v>
      </c>
      <c r="I514" s="10" t="n">
        <v>7</v>
      </c>
      <c r="J514" s="10" t="n">
        <v>1</v>
      </c>
      <c r="K514" s="10" t="n">
        <f aca="false">G514+H514</f>
        <v>143</v>
      </c>
      <c r="L514" s="11" t="n">
        <f aca="false">IF(K514&gt;0,G514/K514,"")</f>
        <v>1</v>
      </c>
      <c r="M514" s="9" t="str">
        <f aca="false">IF(K514=0,"",IF(L514&lt;0.2,"Très masculine (&lt;20 % F)",IF(L514&lt;0.4,"Plutôt masculine (20-40 %)",IF(L514&lt;0.6,"Mixte (40-60 %)","À dominante féminine (≥60 %)"))))</f>
        <v>À dominante féminine (≥60 %)</v>
      </c>
    </row>
    <row r="515" customFormat="false" ht="15" hidden="false" customHeight="false" outlineLevel="0" collapsed="false">
      <c r="A515" s="9" t="s">
        <v>1121</v>
      </c>
      <c r="B515" s="9" t="s">
        <v>1115</v>
      </c>
      <c r="C515" s="9" t="s">
        <v>450</v>
      </c>
      <c r="D515" s="9" t="s">
        <v>106</v>
      </c>
      <c r="E515" s="9" t="s">
        <v>106</v>
      </c>
      <c r="F515" s="9" t="s">
        <v>173</v>
      </c>
      <c r="G515" s="10" t="n">
        <v>13</v>
      </c>
      <c r="H515" s="10" t="n">
        <v>40</v>
      </c>
      <c r="I515" s="10" t="n">
        <v>12</v>
      </c>
      <c r="J515" s="10" t="n">
        <v>0</v>
      </c>
      <c r="K515" s="10" t="n">
        <f aca="false">G515+H515</f>
        <v>53</v>
      </c>
      <c r="L515" s="11" t="n">
        <f aca="false">IF(K515&gt;0,G515/K515,"")</f>
        <v>0.245283018867925</v>
      </c>
      <c r="M515" s="9" t="str">
        <f aca="false">IF(K515=0,"",IF(L515&lt;0.2,"Très masculine (&lt;20 % F)",IF(L515&lt;0.4,"Plutôt masculine (20-40 %)",IF(L515&lt;0.6,"Mixte (40-60 %)","À dominante féminine (≥60 %)"))))</f>
        <v>Plutôt masculine (20-40 %)</v>
      </c>
    </row>
    <row r="516" customFormat="false" ht="15" hidden="false" customHeight="false" outlineLevel="0" collapsed="false">
      <c r="A516" s="9" t="s">
        <v>1122</v>
      </c>
      <c r="B516" s="9" t="s">
        <v>1115</v>
      </c>
      <c r="C516" s="9" t="s">
        <v>450</v>
      </c>
      <c r="D516" s="9" t="s">
        <v>106</v>
      </c>
      <c r="E516" s="9" t="s">
        <v>106</v>
      </c>
      <c r="F516" s="9" t="s">
        <v>173</v>
      </c>
      <c r="G516" s="10" t="n">
        <v>101</v>
      </c>
      <c r="H516" s="10" t="n">
        <v>244</v>
      </c>
      <c r="I516" s="10" t="n">
        <v>14</v>
      </c>
      <c r="J516" s="10" t="n">
        <v>7</v>
      </c>
      <c r="K516" s="10" t="n">
        <f aca="false">G516+H516</f>
        <v>345</v>
      </c>
      <c r="L516" s="11" t="n">
        <f aca="false">IF(K516&gt;0,G516/K516,"")</f>
        <v>0.292753623188406</v>
      </c>
      <c r="M516" s="9" t="str">
        <f aca="false">IF(K516=0,"",IF(L516&lt;0.2,"Très masculine (&lt;20 % F)",IF(L516&lt;0.4,"Plutôt masculine (20-40 %)",IF(L516&lt;0.6,"Mixte (40-60 %)","À dominante féminine (≥60 %)"))))</f>
        <v>Plutôt masculine (20-40 %)</v>
      </c>
    </row>
    <row r="517" customFormat="false" ht="15" hidden="false" customHeight="false" outlineLevel="0" collapsed="false">
      <c r="A517" s="9" t="s">
        <v>1123</v>
      </c>
      <c r="B517" s="9" t="s">
        <v>1115</v>
      </c>
      <c r="C517" s="9" t="s">
        <v>450</v>
      </c>
      <c r="D517" s="9" t="s">
        <v>106</v>
      </c>
      <c r="E517" s="9" t="s">
        <v>106</v>
      </c>
      <c r="F517" s="9" t="s">
        <v>173</v>
      </c>
      <c r="G517" s="10" t="n">
        <v>24</v>
      </c>
      <c r="H517" s="10" t="n">
        <v>89</v>
      </c>
      <c r="I517" s="10" t="n">
        <v>10</v>
      </c>
      <c r="J517" s="10" t="n">
        <v>2</v>
      </c>
      <c r="K517" s="10" t="n">
        <f aca="false">G517+H517</f>
        <v>113</v>
      </c>
      <c r="L517" s="11" t="n">
        <f aca="false">IF(K517&gt;0,G517/K517,"")</f>
        <v>0.212389380530973</v>
      </c>
      <c r="M517" s="9" t="str">
        <f aca="false">IF(K517=0,"",IF(L517&lt;0.2,"Très masculine (&lt;20 % F)",IF(L517&lt;0.4,"Plutôt masculine (20-40 %)",IF(L517&lt;0.6,"Mixte (40-60 %)","À dominante féminine (≥60 %)"))))</f>
        <v>Plutôt masculine (20-40 %)</v>
      </c>
    </row>
    <row r="518" customFormat="false" ht="15" hidden="false" customHeight="false" outlineLevel="0" collapsed="false">
      <c r="A518" s="9" t="s">
        <v>1124</v>
      </c>
      <c r="B518" s="9" t="s">
        <v>1115</v>
      </c>
      <c r="C518" s="9" t="s">
        <v>450</v>
      </c>
      <c r="D518" s="9" t="s">
        <v>106</v>
      </c>
      <c r="E518" s="9" t="s">
        <v>106</v>
      </c>
      <c r="F518" s="9" t="s">
        <v>173</v>
      </c>
      <c r="G518" s="10" t="n">
        <v>38</v>
      </c>
      <c r="H518" s="10" t="n">
        <v>140</v>
      </c>
      <c r="I518" s="10" t="n">
        <v>12</v>
      </c>
      <c r="J518" s="10" t="n">
        <v>0</v>
      </c>
      <c r="K518" s="10" t="n">
        <f aca="false">G518+H518</f>
        <v>178</v>
      </c>
      <c r="L518" s="11" t="n">
        <f aca="false">IF(K518&gt;0,G518/K518,"")</f>
        <v>0.213483146067416</v>
      </c>
      <c r="M518" s="9" t="str">
        <f aca="false">IF(K518=0,"",IF(L518&lt;0.2,"Très masculine (&lt;20 % F)",IF(L518&lt;0.4,"Plutôt masculine (20-40 %)",IF(L518&lt;0.6,"Mixte (40-60 %)","À dominante féminine (≥60 %)"))))</f>
        <v>Plutôt masculine (20-40 %)</v>
      </c>
    </row>
    <row r="519" customFormat="false" ht="15" hidden="false" customHeight="false" outlineLevel="0" collapsed="false">
      <c r="A519" s="9" t="s">
        <v>1125</v>
      </c>
      <c r="B519" s="9" t="s">
        <v>1115</v>
      </c>
      <c r="C519" s="9" t="s">
        <v>450</v>
      </c>
      <c r="D519" s="9" t="s">
        <v>106</v>
      </c>
      <c r="E519" s="9" t="s">
        <v>106</v>
      </c>
      <c r="F519" s="9" t="s">
        <v>173</v>
      </c>
      <c r="G519" s="10" t="n">
        <v>7</v>
      </c>
      <c r="H519" s="10" t="n">
        <v>74</v>
      </c>
      <c r="I519" s="10" t="n">
        <v>9</v>
      </c>
      <c r="J519" s="10" t="n">
        <v>0</v>
      </c>
      <c r="K519" s="10" t="n">
        <f aca="false">G519+H519</f>
        <v>81</v>
      </c>
      <c r="L519" s="11" t="n">
        <f aca="false">IF(K519&gt;0,G519/K519,"")</f>
        <v>0.0864197530864198</v>
      </c>
      <c r="M519" s="9" t="str">
        <f aca="false">IF(K519=0,"",IF(L519&lt;0.2,"Très masculine (&lt;20 % F)",IF(L519&lt;0.4,"Plutôt masculine (20-40 %)",IF(L519&lt;0.6,"Mixte (40-60 %)","À dominante féminine (≥60 %)"))))</f>
        <v>Très masculine (&lt;20 % F)</v>
      </c>
    </row>
    <row r="520" customFormat="false" ht="15" hidden="false" customHeight="false" outlineLevel="0" collapsed="false">
      <c r="A520" s="9" t="s">
        <v>1126</v>
      </c>
      <c r="B520" s="9" t="s">
        <v>1115</v>
      </c>
      <c r="C520" s="9" t="s">
        <v>450</v>
      </c>
      <c r="D520" s="9" t="s">
        <v>106</v>
      </c>
      <c r="E520" s="9" t="s">
        <v>106</v>
      </c>
      <c r="F520" s="9" t="s">
        <v>173</v>
      </c>
      <c r="G520" s="10" t="n">
        <v>519</v>
      </c>
      <c r="H520" s="10" t="n">
        <v>18</v>
      </c>
      <c r="I520" s="10" t="n">
        <v>9</v>
      </c>
      <c r="J520" s="10" t="n">
        <v>16</v>
      </c>
      <c r="K520" s="10" t="n">
        <f aca="false">G520+H520</f>
        <v>537</v>
      </c>
      <c r="L520" s="11" t="n">
        <f aca="false">IF(K520&gt;0,G520/K520,"")</f>
        <v>0.966480446927374</v>
      </c>
      <c r="M520" s="9" t="str">
        <f aca="false">IF(K520=0,"",IF(L520&lt;0.2,"Très masculine (&lt;20 % F)",IF(L520&lt;0.4,"Plutôt masculine (20-40 %)",IF(L520&lt;0.6,"Mixte (40-60 %)","À dominante féminine (≥60 %)"))))</f>
        <v>À dominante féminine (≥60 %)</v>
      </c>
    </row>
    <row r="521" customFormat="false" ht="15" hidden="false" customHeight="false" outlineLevel="0" collapsed="false">
      <c r="A521" s="9" t="s">
        <v>1127</v>
      </c>
      <c r="B521" s="9" t="s">
        <v>1115</v>
      </c>
      <c r="C521" s="9" t="s">
        <v>450</v>
      </c>
      <c r="D521" s="9" t="s">
        <v>106</v>
      </c>
      <c r="E521" s="9" t="s">
        <v>106</v>
      </c>
      <c r="F521" s="9" t="s">
        <v>173</v>
      </c>
      <c r="G521" s="10" t="n">
        <v>2</v>
      </c>
      <c r="H521" s="10" t="n">
        <v>10</v>
      </c>
      <c r="I521" s="10" t="n">
        <v>3</v>
      </c>
      <c r="J521" s="10" t="n">
        <v>0</v>
      </c>
      <c r="K521" s="10" t="n">
        <f aca="false">G521+H521</f>
        <v>12</v>
      </c>
      <c r="L521" s="11" t="n">
        <f aca="false">IF(K521&gt;0,G521/K521,"")</f>
        <v>0.166666666666667</v>
      </c>
      <c r="M521" s="9" t="str">
        <f aca="false">IF(K521=0,"",IF(L521&lt;0.2,"Très masculine (&lt;20 % F)",IF(L521&lt;0.4,"Plutôt masculine (20-40 %)",IF(L521&lt;0.6,"Mixte (40-60 %)","À dominante féminine (≥60 %)"))))</f>
        <v>Très masculine (&lt;20 % F)</v>
      </c>
    </row>
    <row r="522" customFormat="false" ht="15" hidden="false" customHeight="false" outlineLevel="0" collapsed="false">
      <c r="A522" s="9" t="s">
        <v>1128</v>
      </c>
      <c r="B522" s="9" t="s">
        <v>1129</v>
      </c>
      <c r="C522" s="9" t="s">
        <v>451</v>
      </c>
      <c r="D522" s="9" t="s">
        <v>452</v>
      </c>
      <c r="E522" s="9" t="s">
        <v>133</v>
      </c>
      <c r="F522" s="9" t="s">
        <v>134</v>
      </c>
      <c r="G522" s="10" t="n">
        <v>69</v>
      </c>
      <c r="H522" s="10" t="n">
        <v>181</v>
      </c>
      <c r="I522" s="10" t="n">
        <v>9</v>
      </c>
      <c r="J522" s="10" t="n">
        <v>2</v>
      </c>
      <c r="K522" s="10" t="n">
        <f aca="false">G522+H522</f>
        <v>250</v>
      </c>
      <c r="L522" s="11" t="n">
        <f aca="false">IF(K522&gt;0,G522/K522,"")</f>
        <v>0.276</v>
      </c>
      <c r="M522" s="9" t="str">
        <f aca="false">IF(K522=0,"",IF(L522&lt;0.2,"Très masculine (&lt;20 % F)",IF(L522&lt;0.4,"Plutôt masculine (20-40 %)",IF(L522&lt;0.6,"Mixte (40-60 %)","À dominante féminine (≥60 %)"))))</f>
        <v>Plutôt masculine (20-40 %)</v>
      </c>
    </row>
    <row r="523" customFormat="false" ht="15" hidden="false" customHeight="false" outlineLevel="0" collapsed="false">
      <c r="A523" s="9" t="s">
        <v>1130</v>
      </c>
      <c r="B523" s="9" t="s">
        <v>1129</v>
      </c>
      <c r="C523" s="9" t="s">
        <v>451</v>
      </c>
      <c r="D523" s="9" t="s">
        <v>452</v>
      </c>
      <c r="E523" s="9" t="s">
        <v>133</v>
      </c>
      <c r="F523" s="9" t="s">
        <v>134</v>
      </c>
      <c r="G523" s="10" t="n">
        <v>23</v>
      </c>
      <c r="H523" s="10" t="n">
        <v>50</v>
      </c>
      <c r="I523" s="10" t="n">
        <v>73</v>
      </c>
      <c r="J523" s="10" t="n">
        <v>0</v>
      </c>
      <c r="K523" s="10" t="n">
        <f aca="false">G523+H523</f>
        <v>73</v>
      </c>
      <c r="L523" s="11" t="n">
        <f aca="false">IF(K523&gt;0,G523/K523,"")</f>
        <v>0.315068493150685</v>
      </c>
      <c r="M523" s="9" t="str">
        <f aca="false">IF(K523=0,"",IF(L523&lt;0.2,"Très masculine (&lt;20 % F)",IF(L523&lt;0.4,"Plutôt masculine (20-40 %)",IF(L523&lt;0.6,"Mixte (40-60 %)","À dominante féminine (≥60 %)"))))</f>
        <v>Plutôt masculine (20-40 %)</v>
      </c>
    </row>
    <row r="524" customFormat="false" ht="15" hidden="false" customHeight="false" outlineLevel="0" collapsed="false">
      <c r="A524" s="9" t="s">
        <v>1131</v>
      </c>
      <c r="B524" s="9" t="s">
        <v>1129</v>
      </c>
      <c r="C524" s="9" t="s">
        <v>451</v>
      </c>
      <c r="D524" s="9" t="s">
        <v>452</v>
      </c>
      <c r="E524" s="9" t="s">
        <v>133</v>
      </c>
      <c r="F524" s="9" t="s">
        <v>134</v>
      </c>
      <c r="G524" s="10" t="n">
        <v>84</v>
      </c>
      <c r="H524" s="10" t="n">
        <v>4</v>
      </c>
      <c r="I524" s="10" t="n">
        <v>3</v>
      </c>
      <c r="J524" s="10" t="n">
        <v>3</v>
      </c>
      <c r="K524" s="10" t="n">
        <f aca="false">G524+H524</f>
        <v>88</v>
      </c>
      <c r="L524" s="11" t="n">
        <f aca="false">IF(K524&gt;0,G524/K524,"")</f>
        <v>0.954545454545455</v>
      </c>
      <c r="M524" s="9" t="str">
        <f aca="false">IF(K524=0,"",IF(L524&lt;0.2,"Très masculine (&lt;20 % F)",IF(L524&lt;0.4,"Plutôt masculine (20-40 %)",IF(L524&lt;0.6,"Mixte (40-60 %)","À dominante féminine (≥60 %)"))))</f>
        <v>À dominante féminine (≥60 %)</v>
      </c>
    </row>
    <row r="525" customFormat="false" ht="15" hidden="false" customHeight="false" outlineLevel="0" collapsed="false">
      <c r="A525" s="9" t="s">
        <v>1132</v>
      </c>
      <c r="B525" s="9" t="s">
        <v>1129</v>
      </c>
      <c r="C525" s="9" t="s">
        <v>451</v>
      </c>
      <c r="D525" s="9" t="s">
        <v>452</v>
      </c>
      <c r="E525" s="9" t="s">
        <v>133</v>
      </c>
      <c r="F525" s="9" t="s">
        <v>134</v>
      </c>
      <c r="G525" s="10" t="n">
        <v>48</v>
      </c>
      <c r="H525" s="10" t="n">
        <v>65</v>
      </c>
      <c r="I525" s="10" t="n">
        <v>11</v>
      </c>
      <c r="J525" s="10" t="n">
        <v>0</v>
      </c>
      <c r="K525" s="10" t="n">
        <f aca="false">G525+H525</f>
        <v>113</v>
      </c>
      <c r="L525" s="11" t="n">
        <f aca="false">IF(K525&gt;0,G525/K525,"")</f>
        <v>0.424778761061947</v>
      </c>
      <c r="M525" s="9" t="str">
        <f aca="false">IF(K525=0,"",IF(L525&lt;0.2,"Très masculine (&lt;20 % F)",IF(L525&lt;0.4,"Plutôt masculine (20-40 %)",IF(L525&lt;0.6,"Mixte (40-60 %)","À dominante féminine (≥60 %)"))))</f>
        <v>Mixte (40-60 %)</v>
      </c>
    </row>
    <row r="526" customFormat="false" ht="15" hidden="false" customHeight="false" outlineLevel="0" collapsed="false">
      <c r="A526" s="9" t="s">
        <v>1133</v>
      </c>
      <c r="B526" s="9" t="s">
        <v>1129</v>
      </c>
      <c r="C526" s="9" t="s">
        <v>451</v>
      </c>
      <c r="D526" s="9" t="s">
        <v>452</v>
      </c>
      <c r="E526" s="9" t="s">
        <v>133</v>
      </c>
      <c r="F526" s="9" t="s">
        <v>134</v>
      </c>
      <c r="G526" s="10" t="n">
        <v>35</v>
      </c>
      <c r="H526" s="10" t="n">
        <v>488</v>
      </c>
      <c r="I526" s="10" t="n">
        <v>63</v>
      </c>
      <c r="J526" s="10" t="n">
        <v>0</v>
      </c>
      <c r="K526" s="10" t="n">
        <f aca="false">G526+H526</f>
        <v>523</v>
      </c>
      <c r="L526" s="11" t="n">
        <f aca="false">IF(K526&gt;0,G526/K526,"")</f>
        <v>0.0669216061185469</v>
      </c>
      <c r="M526" s="9" t="str">
        <f aca="false">IF(K526=0,"",IF(L526&lt;0.2,"Très masculine (&lt;20 % F)",IF(L526&lt;0.4,"Plutôt masculine (20-40 %)",IF(L526&lt;0.6,"Mixte (40-60 %)","À dominante féminine (≥60 %)"))))</f>
        <v>Très masculine (&lt;20 % F)</v>
      </c>
    </row>
    <row r="527" customFormat="false" ht="15" hidden="false" customHeight="false" outlineLevel="0" collapsed="false">
      <c r="A527" s="9" t="s">
        <v>1134</v>
      </c>
      <c r="B527" s="9" t="s">
        <v>1135</v>
      </c>
      <c r="C527" s="9" t="s">
        <v>455</v>
      </c>
      <c r="D527" s="9" t="s">
        <v>456</v>
      </c>
      <c r="E527" s="9" t="s">
        <v>106</v>
      </c>
      <c r="F527" s="9" t="s">
        <v>102</v>
      </c>
      <c r="G527" s="10" t="n">
        <v>26</v>
      </c>
      <c r="H527" s="10" t="n">
        <v>27</v>
      </c>
      <c r="I527" s="10" t="n">
        <v>6</v>
      </c>
      <c r="J527" s="10" t="n">
        <v>1</v>
      </c>
      <c r="K527" s="10" t="n">
        <f aca="false">G527+H527</f>
        <v>53</v>
      </c>
      <c r="L527" s="11" t="n">
        <f aca="false">IF(K527&gt;0,G527/K527,"")</f>
        <v>0.490566037735849</v>
      </c>
      <c r="M527" s="9" t="str">
        <f aca="false">IF(K527=0,"",IF(L527&lt;0.2,"Très masculine (&lt;20 % F)",IF(L527&lt;0.4,"Plutôt masculine (20-40 %)",IF(L527&lt;0.6,"Mixte (40-60 %)","À dominante féminine (≥60 %)"))))</f>
        <v>Mixte (40-60 %)</v>
      </c>
    </row>
    <row r="528" customFormat="false" ht="15" hidden="false" customHeight="false" outlineLevel="0" collapsed="false">
      <c r="A528" s="9" t="s">
        <v>1136</v>
      </c>
      <c r="B528" s="9" t="s">
        <v>1137</v>
      </c>
      <c r="C528" s="9" t="s">
        <v>463</v>
      </c>
      <c r="D528" s="9" t="s">
        <v>464</v>
      </c>
      <c r="E528" s="9" t="s">
        <v>155</v>
      </c>
      <c r="F528" s="9" t="s">
        <v>197</v>
      </c>
      <c r="G528" s="10" t="n">
        <v>56</v>
      </c>
      <c r="H528" s="10" t="n">
        <v>103</v>
      </c>
      <c r="I528" s="10" t="n">
        <v>3</v>
      </c>
      <c r="J528" s="10" t="n">
        <v>0</v>
      </c>
      <c r="K528" s="10" t="n">
        <f aca="false">G528+H528</f>
        <v>159</v>
      </c>
      <c r="L528" s="11" t="n">
        <f aca="false">IF(K528&gt;0,G528/K528,"")</f>
        <v>0.352201257861635</v>
      </c>
      <c r="M528" s="9" t="str">
        <f aca="false">IF(K528=0,"",IF(L528&lt;0.2,"Très masculine (&lt;20 % F)",IF(L528&lt;0.4,"Plutôt masculine (20-40 %)",IF(L528&lt;0.6,"Mixte (40-60 %)","À dominante féminine (≥60 %)"))))</f>
        <v>Plutôt masculine (20-40 %)</v>
      </c>
    </row>
    <row r="529" customFormat="false" ht="15" hidden="false" customHeight="false" outlineLevel="0" collapsed="false">
      <c r="A529" s="9" t="s">
        <v>1138</v>
      </c>
      <c r="B529" s="9" t="s">
        <v>1139</v>
      </c>
      <c r="C529" s="9" t="s">
        <v>465</v>
      </c>
      <c r="D529" s="9" t="s">
        <v>182</v>
      </c>
      <c r="E529" s="9" t="s">
        <v>182</v>
      </c>
      <c r="F529" s="9" t="s">
        <v>125</v>
      </c>
      <c r="G529" s="10" t="n">
        <v>8</v>
      </c>
      <c r="H529" s="10" t="n">
        <v>21</v>
      </c>
      <c r="I529" s="10" t="n">
        <v>3</v>
      </c>
      <c r="J529" s="10" t="n">
        <v>0</v>
      </c>
      <c r="K529" s="10" t="n">
        <f aca="false">G529+H529</f>
        <v>29</v>
      </c>
      <c r="L529" s="11" t="n">
        <f aca="false">IF(K529&gt;0,G529/K529,"")</f>
        <v>0.275862068965517</v>
      </c>
      <c r="M529" s="9" t="str">
        <f aca="false">IF(K529=0,"",IF(L529&lt;0.2,"Très masculine (&lt;20 % F)",IF(L529&lt;0.4,"Plutôt masculine (20-40 %)",IF(L529&lt;0.6,"Mixte (40-60 %)","À dominante féminine (≥60 %)"))))</f>
        <v>Plutôt masculine (20-40 %)</v>
      </c>
    </row>
    <row r="530" customFormat="false" ht="15" hidden="false" customHeight="false" outlineLevel="0" collapsed="false">
      <c r="A530" s="9" t="s">
        <v>1140</v>
      </c>
      <c r="B530" s="9" t="s">
        <v>1139</v>
      </c>
      <c r="C530" s="9" t="s">
        <v>465</v>
      </c>
      <c r="D530" s="9" t="s">
        <v>182</v>
      </c>
      <c r="E530" s="9" t="s">
        <v>182</v>
      </c>
      <c r="F530" s="9" t="s">
        <v>125</v>
      </c>
      <c r="G530" s="10" t="n">
        <v>60</v>
      </c>
      <c r="H530" s="10" t="n">
        <v>90</v>
      </c>
      <c r="I530" s="10" t="n">
        <v>7</v>
      </c>
      <c r="J530" s="10" t="n">
        <v>0</v>
      </c>
      <c r="K530" s="10" t="n">
        <f aca="false">G530+H530</f>
        <v>150</v>
      </c>
      <c r="L530" s="11" t="n">
        <f aca="false">IF(K530&gt;0,G530/K530,"")</f>
        <v>0.4</v>
      </c>
      <c r="M530" s="9" t="str">
        <f aca="false">IF(K530=0,"",IF(L530&lt;0.2,"Très masculine (&lt;20 % F)",IF(L530&lt;0.4,"Plutôt masculine (20-40 %)",IF(L530&lt;0.6,"Mixte (40-60 %)","À dominante féminine (≥60 %)"))))</f>
        <v>Mixte (40-60 %)</v>
      </c>
    </row>
    <row r="531" customFormat="false" ht="15" hidden="false" customHeight="false" outlineLevel="0" collapsed="false">
      <c r="A531" s="9" t="s">
        <v>1141</v>
      </c>
      <c r="B531" s="9" t="s">
        <v>1139</v>
      </c>
      <c r="C531" s="9" t="s">
        <v>465</v>
      </c>
      <c r="D531" s="9" t="s">
        <v>182</v>
      </c>
      <c r="E531" s="9" t="s">
        <v>182</v>
      </c>
      <c r="F531" s="9" t="s">
        <v>125</v>
      </c>
      <c r="G531" s="10" t="n">
        <v>304</v>
      </c>
      <c r="H531" s="10" t="n">
        <v>276</v>
      </c>
      <c r="I531" s="10" t="n">
        <v>6</v>
      </c>
      <c r="J531" s="10" t="n">
        <v>13</v>
      </c>
      <c r="K531" s="10" t="n">
        <f aca="false">G531+H531</f>
        <v>580</v>
      </c>
      <c r="L531" s="11" t="n">
        <f aca="false">IF(K531&gt;0,G531/K531,"")</f>
        <v>0.524137931034483</v>
      </c>
      <c r="M531" s="9" t="str">
        <f aca="false">IF(K531=0,"",IF(L531&lt;0.2,"Très masculine (&lt;20 % F)",IF(L531&lt;0.4,"Plutôt masculine (20-40 %)",IF(L531&lt;0.6,"Mixte (40-60 %)","À dominante féminine (≥60 %)"))))</f>
        <v>Mixte (40-60 %)</v>
      </c>
    </row>
    <row r="532" customFormat="false" ht="15" hidden="false" customHeight="false" outlineLevel="0" collapsed="false">
      <c r="A532" s="9" t="s">
        <v>1142</v>
      </c>
      <c r="B532" s="9" t="s">
        <v>1139</v>
      </c>
      <c r="C532" s="9" t="s">
        <v>465</v>
      </c>
      <c r="D532" s="9" t="s">
        <v>182</v>
      </c>
      <c r="E532" s="9" t="s">
        <v>182</v>
      </c>
      <c r="F532" s="9" t="s">
        <v>125</v>
      </c>
      <c r="G532" s="10" t="n">
        <v>57</v>
      </c>
      <c r="H532" s="10" t="n">
        <v>84</v>
      </c>
      <c r="I532" s="10" t="n">
        <v>7</v>
      </c>
      <c r="J532" s="10" t="n">
        <v>0</v>
      </c>
      <c r="K532" s="10" t="n">
        <f aca="false">G532+H532</f>
        <v>141</v>
      </c>
      <c r="L532" s="11" t="n">
        <f aca="false">IF(K532&gt;0,G532/K532,"")</f>
        <v>0.404255319148936</v>
      </c>
      <c r="M532" s="9" t="str">
        <f aca="false">IF(K532=0,"",IF(L532&lt;0.2,"Très masculine (&lt;20 % F)",IF(L532&lt;0.4,"Plutôt masculine (20-40 %)",IF(L532&lt;0.6,"Mixte (40-60 %)","À dominante féminine (≥60 %)"))))</f>
        <v>Mixte (40-60 %)</v>
      </c>
    </row>
    <row r="533" customFormat="false" ht="15" hidden="false" customHeight="false" outlineLevel="0" collapsed="false">
      <c r="A533" s="9" t="s">
        <v>1143</v>
      </c>
      <c r="B533" s="9" t="s">
        <v>1139</v>
      </c>
      <c r="C533" s="9" t="s">
        <v>465</v>
      </c>
      <c r="D533" s="9" t="s">
        <v>182</v>
      </c>
      <c r="E533" s="9" t="s">
        <v>182</v>
      </c>
      <c r="F533" s="9" t="s">
        <v>125</v>
      </c>
      <c r="G533" s="10" t="n">
        <v>20</v>
      </c>
      <c r="H533" s="10" t="n">
        <v>715</v>
      </c>
      <c r="I533" s="10" t="n">
        <v>30</v>
      </c>
      <c r="J533" s="10" t="n">
        <v>6</v>
      </c>
      <c r="K533" s="10" t="n">
        <f aca="false">G533+H533</f>
        <v>735</v>
      </c>
      <c r="L533" s="11" t="n">
        <f aca="false">IF(K533&gt;0,G533/K533,"")</f>
        <v>0.0272108843537415</v>
      </c>
      <c r="M533" s="9" t="str">
        <f aca="false">IF(K533=0,"",IF(L533&lt;0.2,"Très masculine (&lt;20 % F)",IF(L533&lt;0.4,"Plutôt masculine (20-40 %)",IF(L533&lt;0.6,"Mixte (40-60 %)","À dominante féminine (≥60 %)"))))</f>
        <v>Très masculine (&lt;20 % F)</v>
      </c>
    </row>
    <row r="534" customFormat="false" ht="15" hidden="false" customHeight="false" outlineLevel="0" collapsed="false">
      <c r="A534" s="9" t="s">
        <v>1144</v>
      </c>
      <c r="B534" s="9" t="s">
        <v>1139</v>
      </c>
      <c r="C534" s="9" t="s">
        <v>465</v>
      </c>
      <c r="D534" s="9" t="s">
        <v>182</v>
      </c>
      <c r="E534" s="9" t="s">
        <v>182</v>
      </c>
      <c r="F534" s="9" t="s">
        <v>125</v>
      </c>
      <c r="G534" s="10" t="n">
        <v>16</v>
      </c>
      <c r="H534" s="10" t="n">
        <v>114</v>
      </c>
      <c r="I534" s="10" t="n">
        <v>15</v>
      </c>
      <c r="J534" s="10" t="n">
        <v>0</v>
      </c>
      <c r="K534" s="10" t="n">
        <f aca="false">G534+H534</f>
        <v>130</v>
      </c>
      <c r="L534" s="11" t="n">
        <f aca="false">IF(K534&gt;0,G534/K534,"")</f>
        <v>0.123076923076923</v>
      </c>
      <c r="M534" s="9" t="str">
        <f aca="false">IF(K534=0,"",IF(L534&lt;0.2,"Très masculine (&lt;20 % F)",IF(L534&lt;0.4,"Plutôt masculine (20-40 %)",IF(L534&lt;0.6,"Mixte (40-60 %)","À dominante féminine (≥60 %)"))))</f>
        <v>Très masculine (&lt;20 % F)</v>
      </c>
    </row>
    <row r="535" customFormat="false" ht="15" hidden="false" customHeight="false" outlineLevel="0" collapsed="false">
      <c r="A535" s="9" t="s">
        <v>1145</v>
      </c>
      <c r="B535" s="9" t="s">
        <v>1139</v>
      </c>
      <c r="C535" s="9" t="s">
        <v>465</v>
      </c>
      <c r="D535" s="9" t="s">
        <v>182</v>
      </c>
      <c r="E535" s="9" t="s">
        <v>182</v>
      </c>
      <c r="F535" s="9" t="s">
        <v>125</v>
      </c>
      <c r="G535" s="10" t="n">
        <v>153</v>
      </c>
      <c r="H535" s="10" t="n">
        <v>199</v>
      </c>
      <c r="I535" s="10" t="n">
        <v>9</v>
      </c>
      <c r="J535" s="10" t="n">
        <v>3</v>
      </c>
      <c r="K535" s="10" t="n">
        <f aca="false">G535+H535</f>
        <v>352</v>
      </c>
      <c r="L535" s="11" t="n">
        <f aca="false">IF(K535&gt;0,G535/K535,"")</f>
        <v>0.434659090909091</v>
      </c>
      <c r="M535" s="9" t="str">
        <f aca="false">IF(K535=0,"",IF(L535&lt;0.2,"Très masculine (&lt;20 % F)",IF(L535&lt;0.4,"Plutôt masculine (20-40 %)",IF(L535&lt;0.6,"Mixte (40-60 %)","À dominante féminine (≥60 %)"))))</f>
        <v>Mixte (40-60 %)</v>
      </c>
    </row>
    <row r="536" customFormat="false" ht="15" hidden="false" customHeight="false" outlineLevel="0" collapsed="false">
      <c r="A536" s="9" t="s">
        <v>1146</v>
      </c>
      <c r="B536" s="9" t="s">
        <v>1139</v>
      </c>
      <c r="C536" s="9" t="s">
        <v>465</v>
      </c>
      <c r="D536" s="9" t="s">
        <v>182</v>
      </c>
      <c r="E536" s="9" t="s">
        <v>182</v>
      </c>
      <c r="F536" s="9" t="s">
        <v>125</v>
      </c>
      <c r="G536" s="10" t="n">
        <v>119</v>
      </c>
      <c r="H536" s="10" t="n">
        <v>93</v>
      </c>
      <c r="I536" s="10" t="n">
        <v>15</v>
      </c>
      <c r="J536" s="10" t="n">
        <v>3</v>
      </c>
      <c r="K536" s="10" t="n">
        <f aca="false">G536+H536</f>
        <v>212</v>
      </c>
      <c r="L536" s="11" t="n">
        <f aca="false">IF(K536&gt;0,G536/K536,"")</f>
        <v>0.561320754716981</v>
      </c>
      <c r="M536" s="9" t="str">
        <f aca="false">IF(K536=0,"",IF(L536&lt;0.2,"Très masculine (&lt;20 % F)",IF(L536&lt;0.4,"Plutôt masculine (20-40 %)",IF(L536&lt;0.6,"Mixte (40-60 %)","À dominante féminine (≥60 %)"))))</f>
        <v>Mixte (40-60 %)</v>
      </c>
    </row>
    <row r="537" customFormat="false" ht="15" hidden="false" customHeight="false" outlineLevel="0" collapsed="false">
      <c r="A537" s="9" t="s">
        <v>1147</v>
      </c>
      <c r="B537" s="9" t="s">
        <v>1139</v>
      </c>
      <c r="C537" s="9" t="s">
        <v>465</v>
      </c>
      <c r="D537" s="9" t="s">
        <v>182</v>
      </c>
      <c r="E537" s="9" t="s">
        <v>182</v>
      </c>
      <c r="F537" s="9" t="s">
        <v>125</v>
      </c>
      <c r="G537" s="10" t="n">
        <v>1</v>
      </c>
      <c r="H537" s="10" t="n">
        <v>18</v>
      </c>
      <c r="I537" s="10" t="n">
        <v>0</v>
      </c>
      <c r="J537" s="10" t="n">
        <v>0</v>
      </c>
      <c r="K537" s="10" t="n">
        <f aca="false">G537+H537</f>
        <v>19</v>
      </c>
      <c r="L537" s="11" t="n">
        <f aca="false">IF(K537&gt;0,G537/K537,"")</f>
        <v>0.0526315789473684</v>
      </c>
      <c r="M537" s="9" t="str">
        <f aca="false">IF(K537=0,"",IF(L537&lt;0.2,"Très masculine (&lt;20 % F)",IF(L537&lt;0.4,"Plutôt masculine (20-40 %)",IF(L537&lt;0.6,"Mixte (40-60 %)","À dominante féminine (≥60 %)"))))</f>
        <v>Très masculine (&lt;20 % F)</v>
      </c>
    </row>
    <row r="538" customFormat="false" ht="15" hidden="false" customHeight="false" outlineLevel="0" collapsed="false">
      <c r="A538" s="9" t="s">
        <v>1148</v>
      </c>
      <c r="B538" s="9" t="s">
        <v>1149</v>
      </c>
      <c r="C538" s="9" t="s">
        <v>468</v>
      </c>
      <c r="D538" s="9" t="s">
        <v>469</v>
      </c>
      <c r="E538" s="9" t="s">
        <v>216</v>
      </c>
      <c r="F538" s="9" t="s">
        <v>125</v>
      </c>
      <c r="G538" s="10" t="n">
        <v>110</v>
      </c>
      <c r="H538" s="10" t="n">
        <v>50</v>
      </c>
      <c r="I538" s="10" t="n">
        <v>8</v>
      </c>
      <c r="J538" s="10" t="n">
        <v>2</v>
      </c>
      <c r="K538" s="10" t="n">
        <f aca="false">G538+H538</f>
        <v>160</v>
      </c>
      <c r="L538" s="11" t="n">
        <f aca="false">IF(K538&gt;0,G538/K538,"")</f>
        <v>0.6875</v>
      </c>
      <c r="M538" s="9" t="str">
        <f aca="false">IF(K538=0,"",IF(L538&lt;0.2,"Très masculine (&lt;20 % F)",IF(L538&lt;0.4,"Plutôt masculine (20-40 %)",IF(L538&lt;0.6,"Mixte (40-60 %)","À dominante féminine (≥60 %)"))))</f>
        <v>À dominante féminine (≥60 %)</v>
      </c>
    </row>
    <row r="539" customFormat="false" ht="15" hidden="false" customHeight="false" outlineLevel="0" collapsed="false">
      <c r="A539" s="9" t="s">
        <v>1150</v>
      </c>
      <c r="B539" s="9" t="s">
        <v>1151</v>
      </c>
      <c r="C539" s="9" t="s">
        <v>470</v>
      </c>
      <c r="D539" s="9" t="s">
        <v>471</v>
      </c>
      <c r="E539" s="9" t="s">
        <v>106</v>
      </c>
      <c r="F539" s="9" t="s">
        <v>108</v>
      </c>
      <c r="G539" s="10" t="n">
        <v>13</v>
      </c>
      <c r="H539" s="10" t="n">
        <v>48</v>
      </c>
      <c r="I539" s="10" t="n">
        <v>5</v>
      </c>
      <c r="J539" s="10" t="n">
        <v>1</v>
      </c>
      <c r="K539" s="10" t="n">
        <f aca="false">G539+H539</f>
        <v>61</v>
      </c>
      <c r="L539" s="11" t="n">
        <f aca="false">IF(K539&gt;0,G539/K539,"")</f>
        <v>0.213114754098361</v>
      </c>
      <c r="M539" s="9" t="str">
        <f aca="false">IF(K539=0,"",IF(L539&lt;0.2,"Très masculine (&lt;20 % F)",IF(L539&lt;0.4,"Plutôt masculine (20-40 %)",IF(L539&lt;0.6,"Mixte (40-60 %)","À dominante féminine (≥60 %)"))))</f>
        <v>Plutôt masculine (20-40 %)</v>
      </c>
    </row>
    <row r="540" customFormat="false" ht="15" hidden="false" customHeight="false" outlineLevel="0" collapsed="false">
      <c r="A540" s="9" t="s">
        <v>1152</v>
      </c>
      <c r="B540" s="9" t="s">
        <v>1153</v>
      </c>
      <c r="C540" s="9" t="s">
        <v>474</v>
      </c>
      <c r="D540" s="9" t="s">
        <v>475</v>
      </c>
      <c r="E540" s="9" t="s">
        <v>133</v>
      </c>
      <c r="F540" s="9" t="s">
        <v>125</v>
      </c>
      <c r="G540" s="10" t="n">
        <v>33</v>
      </c>
      <c r="H540" s="10" t="n">
        <v>63</v>
      </c>
      <c r="I540" s="10" t="n">
        <v>48</v>
      </c>
      <c r="J540" s="10" t="n">
        <v>0</v>
      </c>
      <c r="K540" s="10" t="n">
        <f aca="false">G540+H540</f>
        <v>96</v>
      </c>
      <c r="L540" s="11" t="n">
        <f aca="false">IF(K540&gt;0,G540/K540,"")</f>
        <v>0.34375</v>
      </c>
      <c r="M540" s="9" t="str">
        <f aca="false">IF(K540=0,"",IF(L540&lt;0.2,"Très masculine (&lt;20 % F)",IF(L540&lt;0.4,"Plutôt masculine (20-40 %)",IF(L540&lt;0.6,"Mixte (40-60 %)","À dominante féminine (≥60 %)"))))</f>
        <v>Plutôt masculine (20-40 %)</v>
      </c>
    </row>
    <row r="541" customFormat="false" ht="15" hidden="false" customHeight="false" outlineLevel="0" collapsed="false">
      <c r="A541" s="9" t="s">
        <v>1154</v>
      </c>
      <c r="B541" s="9" t="s">
        <v>1153</v>
      </c>
      <c r="C541" s="9" t="s">
        <v>474</v>
      </c>
      <c r="D541" s="9" t="s">
        <v>475</v>
      </c>
      <c r="E541" s="9" t="s">
        <v>133</v>
      </c>
      <c r="F541" s="9" t="s">
        <v>125</v>
      </c>
      <c r="G541" s="10" t="n">
        <v>80</v>
      </c>
      <c r="H541" s="10" t="n">
        <v>35</v>
      </c>
      <c r="I541" s="10" t="n">
        <v>10</v>
      </c>
      <c r="J541" s="10" t="n">
        <v>0</v>
      </c>
      <c r="K541" s="10" t="n">
        <f aca="false">G541+H541</f>
        <v>115</v>
      </c>
      <c r="L541" s="11" t="n">
        <f aca="false">IF(K541&gt;0,G541/K541,"")</f>
        <v>0.695652173913044</v>
      </c>
      <c r="M541" s="9" t="str">
        <f aca="false">IF(K541=0,"",IF(L541&lt;0.2,"Très masculine (&lt;20 % F)",IF(L541&lt;0.4,"Plutôt masculine (20-40 %)",IF(L541&lt;0.6,"Mixte (40-60 %)","À dominante féminine (≥60 %)"))))</f>
        <v>À dominante féminine (≥60 %)</v>
      </c>
    </row>
    <row r="542" customFormat="false" ht="15" hidden="false" customHeight="false" outlineLevel="0" collapsed="false">
      <c r="A542" s="9" t="s">
        <v>1155</v>
      </c>
      <c r="B542" s="9" t="s">
        <v>1153</v>
      </c>
      <c r="C542" s="9" t="s">
        <v>474</v>
      </c>
      <c r="D542" s="9" t="s">
        <v>475</v>
      </c>
      <c r="E542" s="9" t="s">
        <v>133</v>
      </c>
      <c r="F542" s="9" t="s">
        <v>125</v>
      </c>
      <c r="G542" s="10" t="n">
        <v>8</v>
      </c>
      <c r="H542" s="10" t="n">
        <v>38</v>
      </c>
      <c r="I542" s="10" t="n">
        <v>100</v>
      </c>
      <c r="J542" s="10" t="n">
        <v>22</v>
      </c>
      <c r="K542" s="10" t="n">
        <f aca="false">G542+H542</f>
        <v>46</v>
      </c>
      <c r="L542" s="11" t="n">
        <f aca="false">IF(K542&gt;0,G542/K542,"")</f>
        <v>0.173913043478261</v>
      </c>
      <c r="M542" s="9" t="str">
        <f aca="false">IF(K542=0,"",IF(L542&lt;0.2,"Très masculine (&lt;20 % F)",IF(L542&lt;0.4,"Plutôt masculine (20-40 %)",IF(L542&lt;0.6,"Mixte (40-60 %)","À dominante féminine (≥60 %)"))))</f>
        <v>Très masculine (&lt;20 % F)</v>
      </c>
    </row>
    <row r="543" customFormat="false" ht="15" hidden="false" customHeight="false" outlineLevel="0" collapsed="false">
      <c r="A543" s="9" t="s">
        <v>1156</v>
      </c>
      <c r="B543" s="9" t="s">
        <v>1153</v>
      </c>
      <c r="C543" s="9" t="s">
        <v>474</v>
      </c>
      <c r="D543" s="9" t="s">
        <v>475</v>
      </c>
      <c r="E543" s="9" t="s">
        <v>133</v>
      </c>
      <c r="F543" s="9" t="s">
        <v>125</v>
      </c>
      <c r="G543" s="10" t="n">
        <v>47</v>
      </c>
      <c r="H543" s="10" t="n">
        <v>788</v>
      </c>
      <c r="I543" s="10" t="n">
        <v>81</v>
      </c>
      <c r="J543" s="10" t="n">
        <v>0</v>
      </c>
      <c r="K543" s="10" t="n">
        <f aca="false">G543+H543</f>
        <v>835</v>
      </c>
      <c r="L543" s="11" t="n">
        <f aca="false">IF(K543&gt;0,G543/K543,"")</f>
        <v>0.0562874251497006</v>
      </c>
      <c r="M543" s="9" t="str">
        <f aca="false">IF(K543=0,"",IF(L543&lt;0.2,"Très masculine (&lt;20 % F)",IF(L543&lt;0.4,"Plutôt masculine (20-40 %)",IF(L543&lt;0.6,"Mixte (40-60 %)","À dominante féminine (≥60 %)"))))</f>
        <v>Très masculine (&lt;20 % F)</v>
      </c>
    </row>
    <row r="544" customFormat="false" ht="15" hidden="false" customHeight="false" outlineLevel="0" collapsed="false">
      <c r="A544" s="9" t="s">
        <v>1157</v>
      </c>
      <c r="B544" s="9" t="s">
        <v>1158</v>
      </c>
      <c r="C544" s="9" t="s">
        <v>483</v>
      </c>
      <c r="D544" s="9" t="s">
        <v>484</v>
      </c>
      <c r="E544" s="9" t="s">
        <v>200</v>
      </c>
      <c r="F544" s="9" t="s">
        <v>173</v>
      </c>
      <c r="G544" s="10" t="n">
        <v>12</v>
      </c>
      <c r="H544" s="10" t="n">
        <v>18</v>
      </c>
      <c r="I544" s="10" t="n">
        <v>3</v>
      </c>
      <c r="J544" s="10" t="n">
        <v>1</v>
      </c>
      <c r="K544" s="10" t="n">
        <f aca="false">G544+H544</f>
        <v>30</v>
      </c>
      <c r="L544" s="11" t="n">
        <f aca="false">IF(K544&gt;0,G544/K544,"")</f>
        <v>0.4</v>
      </c>
      <c r="M544" s="9" t="str">
        <f aca="false">IF(K544=0,"",IF(L544&lt;0.2,"Très masculine (&lt;20 % F)",IF(L544&lt;0.4,"Plutôt masculine (20-40 %)",IF(L544&lt;0.6,"Mixte (40-60 %)","À dominante féminine (≥60 %)"))))</f>
        <v>Mixte (40-60 %)</v>
      </c>
    </row>
    <row r="545" customFormat="false" ht="15" hidden="false" customHeight="false" outlineLevel="0" collapsed="false">
      <c r="A545" s="9" t="s">
        <v>1159</v>
      </c>
      <c r="B545" s="9" t="s">
        <v>1158</v>
      </c>
      <c r="C545" s="9" t="s">
        <v>483</v>
      </c>
      <c r="D545" s="9" t="s">
        <v>484</v>
      </c>
      <c r="E545" s="9" t="s">
        <v>200</v>
      </c>
      <c r="F545" s="9" t="s">
        <v>173</v>
      </c>
      <c r="G545" s="10" t="n">
        <v>4</v>
      </c>
      <c r="H545" s="10" t="n">
        <v>51</v>
      </c>
      <c r="I545" s="10" t="n">
        <v>15</v>
      </c>
      <c r="J545" s="10" t="n">
        <v>0</v>
      </c>
      <c r="K545" s="10" t="n">
        <f aca="false">G545+H545</f>
        <v>55</v>
      </c>
      <c r="L545" s="11" t="n">
        <f aca="false">IF(K545&gt;0,G545/K545,"")</f>
        <v>0.0727272727272727</v>
      </c>
      <c r="M545" s="9" t="str">
        <f aca="false">IF(K545=0,"",IF(L545&lt;0.2,"Très masculine (&lt;20 % F)",IF(L545&lt;0.4,"Plutôt masculine (20-40 %)",IF(L545&lt;0.6,"Mixte (40-60 %)","À dominante féminine (≥60 %)"))))</f>
        <v>Très masculine (&lt;20 % F)</v>
      </c>
    </row>
    <row r="546" customFormat="false" ht="15" hidden="false" customHeight="false" outlineLevel="0" collapsed="false">
      <c r="A546" s="9" t="s">
        <v>1160</v>
      </c>
      <c r="B546" s="9" t="s">
        <v>1158</v>
      </c>
      <c r="C546" s="9" t="s">
        <v>483</v>
      </c>
      <c r="D546" s="9" t="s">
        <v>484</v>
      </c>
      <c r="E546" s="9" t="s">
        <v>200</v>
      </c>
      <c r="F546" s="9" t="s">
        <v>173</v>
      </c>
      <c r="G546" s="10" t="n">
        <v>102</v>
      </c>
      <c r="H546" s="10" t="n">
        <v>641</v>
      </c>
      <c r="I546" s="10" t="n">
        <v>56</v>
      </c>
      <c r="J546" s="10" t="n">
        <v>1</v>
      </c>
      <c r="K546" s="10" t="n">
        <f aca="false">G546+H546</f>
        <v>743</v>
      </c>
      <c r="L546" s="11" t="n">
        <f aca="false">IF(K546&gt;0,G546/K546,"")</f>
        <v>0.137281292059219</v>
      </c>
      <c r="M546" s="9" t="str">
        <f aca="false">IF(K546=0,"",IF(L546&lt;0.2,"Très masculine (&lt;20 % F)",IF(L546&lt;0.4,"Plutôt masculine (20-40 %)",IF(L546&lt;0.6,"Mixte (40-60 %)","À dominante féminine (≥60 %)"))))</f>
        <v>Très masculine (&lt;20 % F)</v>
      </c>
    </row>
    <row r="547" customFormat="false" ht="15" hidden="false" customHeight="false" outlineLevel="0" collapsed="false">
      <c r="A547" s="9" t="s">
        <v>1161</v>
      </c>
      <c r="B547" s="9" t="s">
        <v>1158</v>
      </c>
      <c r="C547" s="9" t="s">
        <v>483</v>
      </c>
      <c r="D547" s="9" t="s">
        <v>484</v>
      </c>
      <c r="E547" s="9" t="s">
        <v>200</v>
      </c>
      <c r="F547" s="9" t="s">
        <v>173</v>
      </c>
      <c r="G547" s="10" t="n">
        <v>19</v>
      </c>
      <c r="H547" s="10" t="n">
        <v>37</v>
      </c>
      <c r="I547" s="10" t="n">
        <v>17</v>
      </c>
      <c r="J547" s="10" t="n">
        <v>0</v>
      </c>
      <c r="K547" s="10" t="n">
        <f aca="false">G547+H547</f>
        <v>56</v>
      </c>
      <c r="L547" s="11" t="n">
        <f aca="false">IF(K547&gt;0,G547/K547,"")</f>
        <v>0.339285714285714</v>
      </c>
      <c r="M547" s="9" t="str">
        <f aca="false">IF(K547=0,"",IF(L547&lt;0.2,"Très masculine (&lt;20 % F)",IF(L547&lt;0.4,"Plutôt masculine (20-40 %)",IF(L547&lt;0.6,"Mixte (40-60 %)","À dominante féminine (≥60 %)"))))</f>
        <v>Plutôt masculine (20-40 %)</v>
      </c>
    </row>
    <row r="548" customFormat="false" ht="15" hidden="false" customHeight="false" outlineLevel="0" collapsed="false">
      <c r="A548" s="9" t="s">
        <v>1162</v>
      </c>
      <c r="B548" s="9" t="s">
        <v>1158</v>
      </c>
      <c r="C548" s="9" t="s">
        <v>483</v>
      </c>
      <c r="D548" s="9" t="s">
        <v>484</v>
      </c>
      <c r="E548" s="9" t="s">
        <v>200</v>
      </c>
      <c r="F548" s="9" t="s">
        <v>173</v>
      </c>
      <c r="G548" s="10" t="n">
        <v>70</v>
      </c>
      <c r="H548" s="10" t="n">
        <v>118</v>
      </c>
      <c r="I548" s="10" t="n">
        <v>8</v>
      </c>
      <c r="J548" s="10" t="n">
        <v>0</v>
      </c>
      <c r="K548" s="10" t="n">
        <f aca="false">G548+H548</f>
        <v>188</v>
      </c>
      <c r="L548" s="11" t="n">
        <f aca="false">IF(K548&gt;0,G548/K548,"")</f>
        <v>0.372340425531915</v>
      </c>
      <c r="M548" s="9" t="str">
        <f aca="false">IF(K548=0,"",IF(L548&lt;0.2,"Très masculine (&lt;20 % F)",IF(L548&lt;0.4,"Plutôt masculine (20-40 %)",IF(L548&lt;0.6,"Mixte (40-60 %)","À dominante féminine (≥60 %)"))))</f>
        <v>Plutôt masculine (20-40 %)</v>
      </c>
    </row>
    <row r="549" customFormat="false" ht="15" hidden="false" customHeight="false" outlineLevel="0" collapsed="false">
      <c r="A549" s="9" t="s">
        <v>1163</v>
      </c>
      <c r="B549" s="9" t="s">
        <v>1158</v>
      </c>
      <c r="C549" s="9" t="s">
        <v>483</v>
      </c>
      <c r="D549" s="9" t="s">
        <v>484</v>
      </c>
      <c r="E549" s="9" t="s">
        <v>200</v>
      </c>
      <c r="F549" s="9" t="s">
        <v>173</v>
      </c>
      <c r="G549" s="10" t="n">
        <v>17</v>
      </c>
      <c r="H549" s="10" t="n">
        <v>22</v>
      </c>
      <c r="I549" s="10" t="n">
        <v>0</v>
      </c>
      <c r="J549" s="10" t="n">
        <v>0</v>
      </c>
      <c r="K549" s="10" t="n">
        <f aca="false">G549+H549</f>
        <v>39</v>
      </c>
      <c r="L549" s="11" t="n">
        <f aca="false">IF(K549&gt;0,G549/K549,"")</f>
        <v>0.435897435897436</v>
      </c>
      <c r="M549" s="9" t="str">
        <f aca="false">IF(K549=0,"",IF(L549&lt;0.2,"Très masculine (&lt;20 % F)",IF(L549&lt;0.4,"Plutôt masculine (20-40 %)",IF(L549&lt;0.6,"Mixte (40-60 %)","À dominante féminine (≥60 %)"))))</f>
        <v>Mixte (40-60 %)</v>
      </c>
    </row>
    <row r="550" customFormat="false" ht="15" hidden="false" customHeight="false" outlineLevel="0" collapsed="false">
      <c r="A550" s="9" t="s">
        <v>1164</v>
      </c>
      <c r="B550" s="9" t="s">
        <v>1158</v>
      </c>
      <c r="C550" s="9" t="s">
        <v>483</v>
      </c>
      <c r="D550" s="9" t="s">
        <v>484</v>
      </c>
      <c r="E550" s="9" t="s">
        <v>200</v>
      </c>
      <c r="F550" s="9" t="s">
        <v>173</v>
      </c>
      <c r="G550" s="10" t="n">
        <v>46</v>
      </c>
      <c r="H550" s="10" t="n">
        <v>96</v>
      </c>
      <c r="I550" s="10" t="n">
        <v>3</v>
      </c>
      <c r="J550" s="10" t="n">
        <v>2</v>
      </c>
      <c r="K550" s="10" t="n">
        <f aca="false">G550+H550</f>
        <v>142</v>
      </c>
      <c r="L550" s="11" t="n">
        <f aca="false">IF(K550&gt;0,G550/K550,"")</f>
        <v>0.323943661971831</v>
      </c>
      <c r="M550" s="9" t="str">
        <f aca="false">IF(K550=0,"",IF(L550&lt;0.2,"Très masculine (&lt;20 % F)",IF(L550&lt;0.4,"Plutôt masculine (20-40 %)",IF(L550&lt;0.6,"Mixte (40-60 %)","À dominante féminine (≥60 %)"))))</f>
        <v>Plutôt masculine (20-40 %)</v>
      </c>
    </row>
    <row r="551" customFormat="false" ht="15" hidden="false" customHeight="false" outlineLevel="0" collapsed="false">
      <c r="A551" s="9" t="s">
        <v>1165</v>
      </c>
      <c r="B551" s="9" t="s">
        <v>1158</v>
      </c>
      <c r="C551" s="9" t="s">
        <v>483</v>
      </c>
      <c r="D551" s="9" t="s">
        <v>484</v>
      </c>
      <c r="E551" s="9" t="s">
        <v>200</v>
      </c>
      <c r="F551" s="9" t="s">
        <v>173</v>
      </c>
      <c r="G551" s="10" t="n">
        <v>321</v>
      </c>
      <c r="H551" s="10" t="n">
        <v>29</v>
      </c>
      <c r="I551" s="10" t="n">
        <v>9</v>
      </c>
      <c r="J551" s="10" t="n">
        <v>6</v>
      </c>
      <c r="K551" s="10" t="n">
        <f aca="false">G551+H551</f>
        <v>350</v>
      </c>
      <c r="L551" s="11" t="n">
        <f aca="false">IF(K551&gt;0,G551/K551,"")</f>
        <v>0.917142857142857</v>
      </c>
      <c r="M551" s="9" t="str">
        <f aca="false">IF(K551=0,"",IF(L551&lt;0.2,"Très masculine (&lt;20 % F)",IF(L551&lt;0.4,"Plutôt masculine (20-40 %)",IF(L551&lt;0.6,"Mixte (40-60 %)","À dominante féminine (≥60 %)"))))</f>
        <v>À dominante féminine (≥60 %)</v>
      </c>
    </row>
    <row r="552" customFormat="false" ht="15" hidden="false" customHeight="false" outlineLevel="0" collapsed="false">
      <c r="A552" s="9" t="s">
        <v>1166</v>
      </c>
      <c r="B552" s="9" t="s">
        <v>1158</v>
      </c>
      <c r="C552" s="9" t="s">
        <v>483</v>
      </c>
      <c r="D552" s="9" t="s">
        <v>484</v>
      </c>
      <c r="E552" s="9" t="s">
        <v>200</v>
      </c>
      <c r="F552" s="9" t="s">
        <v>173</v>
      </c>
      <c r="G552" s="10" t="n">
        <v>39</v>
      </c>
      <c r="H552" s="10" t="n">
        <v>79</v>
      </c>
      <c r="I552" s="10" t="n">
        <v>10</v>
      </c>
      <c r="J552" s="10" t="n">
        <v>0</v>
      </c>
      <c r="K552" s="10" t="n">
        <f aca="false">G552+H552</f>
        <v>118</v>
      </c>
      <c r="L552" s="11" t="n">
        <f aca="false">IF(K552&gt;0,G552/K552,"")</f>
        <v>0.330508474576271</v>
      </c>
      <c r="M552" s="9" t="str">
        <f aca="false">IF(K552=0,"",IF(L552&lt;0.2,"Très masculine (&lt;20 % F)",IF(L552&lt;0.4,"Plutôt masculine (20-40 %)",IF(L552&lt;0.6,"Mixte (40-60 %)","À dominante féminine (≥60 %)"))))</f>
        <v>Plutôt masculine (20-40 %)</v>
      </c>
    </row>
    <row r="553" customFormat="false" ht="15" hidden="false" customHeight="false" outlineLevel="0" collapsed="false">
      <c r="A553" s="9" t="s">
        <v>1167</v>
      </c>
      <c r="B553" s="9" t="s">
        <v>1158</v>
      </c>
      <c r="C553" s="9" t="s">
        <v>483</v>
      </c>
      <c r="D553" s="9" t="s">
        <v>484</v>
      </c>
      <c r="E553" s="9" t="s">
        <v>200</v>
      </c>
      <c r="F553" s="9" t="s">
        <v>173</v>
      </c>
      <c r="G553" s="10" t="n">
        <v>375</v>
      </c>
      <c r="H553" s="10" t="n">
        <v>204</v>
      </c>
      <c r="I553" s="10" t="n">
        <v>11</v>
      </c>
      <c r="J553" s="10" t="n">
        <v>9</v>
      </c>
      <c r="K553" s="10" t="n">
        <f aca="false">G553+H553</f>
        <v>579</v>
      </c>
      <c r="L553" s="11" t="n">
        <f aca="false">IF(K553&gt;0,G553/K553,"")</f>
        <v>0.647668393782383</v>
      </c>
      <c r="M553" s="9" t="str">
        <f aca="false">IF(K553=0,"",IF(L553&lt;0.2,"Très masculine (&lt;20 % F)",IF(L553&lt;0.4,"Plutôt masculine (20-40 %)",IF(L553&lt;0.6,"Mixte (40-60 %)","À dominante féminine (≥60 %)"))))</f>
        <v>À dominante féminine (≥60 %)</v>
      </c>
    </row>
    <row r="554" customFormat="false" ht="15" hidden="false" customHeight="false" outlineLevel="0" collapsed="false">
      <c r="A554" s="9" t="s">
        <v>1168</v>
      </c>
      <c r="B554" s="9" t="s">
        <v>1158</v>
      </c>
      <c r="C554" s="9" t="s">
        <v>483</v>
      </c>
      <c r="D554" s="9" t="s">
        <v>484</v>
      </c>
      <c r="E554" s="9" t="s">
        <v>200</v>
      </c>
      <c r="F554" s="9" t="s">
        <v>173</v>
      </c>
      <c r="G554" s="10" t="n">
        <v>390</v>
      </c>
      <c r="H554" s="10" t="n">
        <v>69</v>
      </c>
      <c r="I554" s="10" t="n">
        <v>15</v>
      </c>
      <c r="J554" s="10" t="n">
        <v>6</v>
      </c>
      <c r="K554" s="10" t="n">
        <f aca="false">G554+H554</f>
        <v>459</v>
      </c>
      <c r="L554" s="11" t="n">
        <f aca="false">IF(K554&gt;0,G554/K554,"")</f>
        <v>0.849673202614379</v>
      </c>
      <c r="M554" s="9" t="str">
        <f aca="false">IF(K554=0,"",IF(L554&lt;0.2,"Très masculine (&lt;20 % F)",IF(L554&lt;0.4,"Plutôt masculine (20-40 %)",IF(L554&lt;0.6,"Mixte (40-60 %)","À dominante féminine (≥60 %)"))))</f>
        <v>À dominante féminine (≥60 %)</v>
      </c>
    </row>
    <row r="555" customFormat="false" ht="15" hidden="false" customHeight="false" outlineLevel="0" collapsed="false">
      <c r="A555" s="9" t="s">
        <v>1169</v>
      </c>
      <c r="B555" s="9" t="s">
        <v>1158</v>
      </c>
      <c r="C555" s="9" t="s">
        <v>483</v>
      </c>
      <c r="D555" s="9" t="s">
        <v>484</v>
      </c>
      <c r="E555" s="9" t="s">
        <v>200</v>
      </c>
      <c r="F555" s="9" t="s">
        <v>173</v>
      </c>
      <c r="G555" s="10" t="n">
        <v>132</v>
      </c>
      <c r="H555" s="10" t="n">
        <v>322</v>
      </c>
      <c r="I555" s="10" t="n">
        <v>9</v>
      </c>
      <c r="J555" s="10" t="n">
        <v>4</v>
      </c>
      <c r="K555" s="10" t="n">
        <f aca="false">G555+H555</f>
        <v>454</v>
      </c>
      <c r="L555" s="11" t="n">
        <f aca="false">IF(K555&gt;0,G555/K555,"")</f>
        <v>0.290748898678414</v>
      </c>
      <c r="M555" s="9" t="str">
        <f aca="false">IF(K555=0,"",IF(L555&lt;0.2,"Très masculine (&lt;20 % F)",IF(L555&lt;0.4,"Plutôt masculine (20-40 %)",IF(L555&lt;0.6,"Mixte (40-60 %)","À dominante féminine (≥60 %)"))))</f>
        <v>Plutôt masculine (20-40 %)</v>
      </c>
    </row>
    <row r="556" customFormat="false" ht="15" hidden="false" customHeight="false" outlineLevel="0" collapsed="false">
      <c r="A556" s="9" t="s">
        <v>1170</v>
      </c>
      <c r="B556" s="9" t="s">
        <v>1171</v>
      </c>
      <c r="C556" s="9" t="s">
        <v>485</v>
      </c>
      <c r="D556" s="9" t="s">
        <v>486</v>
      </c>
      <c r="E556" s="9" t="s">
        <v>133</v>
      </c>
      <c r="F556" s="9" t="s">
        <v>116</v>
      </c>
      <c r="G556" s="10" t="n">
        <v>472</v>
      </c>
      <c r="H556" s="10" t="n">
        <v>442</v>
      </c>
      <c r="I556" s="10" t="n">
        <v>15</v>
      </c>
      <c r="J556" s="10" t="n">
        <v>15</v>
      </c>
      <c r="K556" s="10" t="n">
        <f aca="false">G556+H556</f>
        <v>914</v>
      </c>
      <c r="L556" s="11" t="n">
        <f aca="false">IF(K556&gt;0,G556/K556,"")</f>
        <v>0.516411378555799</v>
      </c>
      <c r="M556" s="9" t="str">
        <f aca="false">IF(K556=0,"",IF(L556&lt;0.2,"Très masculine (&lt;20 % F)",IF(L556&lt;0.4,"Plutôt masculine (20-40 %)",IF(L556&lt;0.6,"Mixte (40-60 %)","À dominante féminine (≥60 %)"))))</f>
        <v>Mixte (40-60 %)</v>
      </c>
    </row>
    <row r="557" customFormat="false" ht="15" hidden="false" customHeight="false" outlineLevel="0" collapsed="false">
      <c r="A557" s="9" t="s">
        <v>1172</v>
      </c>
      <c r="B557" s="9" t="s">
        <v>1171</v>
      </c>
      <c r="C557" s="9" t="s">
        <v>485</v>
      </c>
      <c r="D557" s="9" t="s">
        <v>486</v>
      </c>
      <c r="E557" s="9" t="s">
        <v>133</v>
      </c>
      <c r="F557" s="9" t="s">
        <v>116</v>
      </c>
      <c r="G557" s="10" t="n">
        <v>627</v>
      </c>
      <c r="H557" s="10" t="n">
        <v>1384</v>
      </c>
      <c r="I557" s="10" t="n">
        <v>280</v>
      </c>
      <c r="J557" s="10" t="n">
        <v>10</v>
      </c>
      <c r="K557" s="10" t="n">
        <f aca="false">G557+H557</f>
        <v>2011</v>
      </c>
      <c r="L557" s="11" t="n">
        <f aca="false">IF(K557&gt;0,G557/K557,"")</f>
        <v>0.31178518150174</v>
      </c>
      <c r="M557" s="9" t="str">
        <f aca="false">IF(K557=0,"",IF(L557&lt;0.2,"Très masculine (&lt;20 % F)",IF(L557&lt;0.4,"Plutôt masculine (20-40 %)",IF(L557&lt;0.6,"Mixte (40-60 %)","À dominante féminine (≥60 %)"))))</f>
        <v>Plutôt masculine (20-40 %)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1173</v>
      </c>
    </row>
    <row r="2" customFormat="false" ht="15" hidden="false" customHeight="false" outlineLevel="0" collapsed="false">
      <c r="A2" s="2" t="s">
        <v>1174</v>
      </c>
    </row>
    <row r="4" customFormat="false" ht="42" hidden="false" customHeight="true" outlineLevel="0" collapsed="false">
      <c r="A4" s="8" t="s">
        <v>1175</v>
      </c>
      <c r="B4" s="8" t="s">
        <v>1176</v>
      </c>
      <c r="C4" s="8" t="s">
        <v>1177</v>
      </c>
      <c r="D4" s="8" t="s">
        <v>1178</v>
      </c>
      <c r="E4" s="8" t="s">
        <v>497</v>
      </c>
      <c r="F4" s="8" t="s">
        <v>502</v>
      </c>
    </row>
    <row r="5" customFormat="false" ht="15" hidden="false" customHeight="false" outlineLevel="0" collapsed="false">
      <c r="A5" s="9" t="s">
        <v>1179</v>
      </c>
      <c r="B5" s="10" t="n">
        <f aca="false">SUM(Communes!AE5:AE187)</f>
        <v>542</v>
      </c>
      <c r="C5" s="10" t="n">
        <f aca="false">SUM(Communes!AJ5:AJ187)</f>
        <v>134103</v>
      </c>
      <c r="D5" s="9" t="s">
        <v>1180</v>
      </c>
      <c r="E5" s="9" t="s">
        <v>1181</v>
      </c>
      <c r="F5" s="9"/>
    </row>
    <row r="6" customFormat="false" ht="15" hidden="false" customHeight="false" outlineLevel="0" collapsed="false">
      <c r="A6" s="9" t="s">
        <v>1182</v>
      </c>
      <c r="B6" s="10" t="n">
        <f aca="false">SUM(Communes!AF5:AF187)</f>
        <v>574</v>
      </c>
      <c r="C6" s="10" t="n">
        <f aca="false">SUM(Communes!AK5:AK187)</f>
        <v>143678</v>
      </c>
      <c r="D6" s="9" t="s">
        <v>1180</v>
      </c>
      <c r="E6" s="9" t="s">
        <v>1181</v>
      </c>
      <c r="F6" s="9"/>
    </row>
    <row r="7" customFormat="false" ht="15" hidden="false" customHeight="false" outlineLevel="0" collapsed="false">
      <c r="A7" s="9" t="s">
        <v>1183</v>
      </c>
      <c r="B7" s="10" t="n">
        <f aca="false">SUM(Communes!AG5:AG187)</f>
        <v>571</v>
      </c>
      <c r="C7" s="10" t="n">
        <f aca="false">SUM(Communes!AL5:AL187)</f>
        <v>131605</v>
      </c>
      <c r="D7" s="9" t="s">
        <v>1180</v>
      </c>
      <c r="E7" s="9" t="s">
        <v>1181</v>
      </c>
      <c r="F7" s="9"/>
    </row>
    <row r="8" customFormat="false" ht="15" hidden="false" customHeight="false" outlineLevel="0" collapsed="false">
      <c r="A8" s="9" t="s">
        <v>1184</v>
      </c>
      <c r="B8" s="10" t="n">
        <f aca="false">SUM(Communes!AH5:AH187)</f>
        <v>552</v>
      </c>
      <c r="C8" s="10" t="n">
        <f aca="false">SUM(Communes!AM5:AM187)</f>
        <v>122840</v>
      </c>
      <c r="D8" s="9" t="s">
        <v>1180</v>
      </c>
      <c r="E8" s="9" t="s">
        <v>1181</v>
      </c>
      <c r="F8" s="9"/>
    </row>
    <row r="9" customFormat="false" ht="15" hidden="false" customHeight="false" outlineLevel="0" collapsed="false">
      <c r="A9" s="9" t="s">
        <v>1185</v>
      </c>
      <c r="B9" s="10" t="n">
        <f aca="false">SUM(Communes!AI5:AI187)</f>
        <v>553</v>
      </c>
      <c r="C9" s="10" t="n">
        <f aca="false">SUM(Communes!AN5:AN187)</f>
        <v>135863</v>
      </c>
      <c r="D9" s="9" t="s">
        <v>1180</v>
      </c>
      <c r="E9" s="9" t="s">
        <v>1181</v>
      </c>
      <c r="F9" s="9"/>
    </row>
    <row r="10" customFormat="false" ht="15" hidden="false" customHeight="false" outlineLevel="0" collapsed="false">
      <c r="A10" s="9" t="s">
        <v>1186</v>
      </c>
      <c r="B10" s="10" t="n">
        <f aca="false">SUM(Communes!O5:O187)</f>
        <v>569</v>
      </c>
      <c r="C10" s="10" t="n">
        <f aca="false">SUM(Communes!AO5:AO187)</f>
        <v>158852</v>
      </c>
      <c r="D10" s="9" t="s">
        <v>1187</v>
      </c>
      <c r="E10" s="10" t="n">
        <f aca="false">SUM(Communes!P5:P187)</f>
        <v>68120</v>
      </c>
      <c r="F10" s="11" t="n">
        <f aca="false">E10/C10</f>
        <v>0.428826832523355</v>
      </c>
    </row>
    <row r="11" customFormat="false" ht="15" hidden="false" customHeight="false" outlineLevel="0" collapsed="false">
      <c r="A11" s="9" t="s">
        <v>1188</v>
      </c>
      <c r="B11" s="10" t="n">
        <f aca="false">SUM(Communes!H5:H187)</f>
        <v>551</v>
      </c>
      <c r="C11" s="10" t="n">
        <f aca="false">SUM(Communes!AP5:AP187)</f>
        <v>159975</v>
      </c>
      <c r="D11" s="9" t="s">
        <v>1187</v>
      </c>
      <c r="E11" s="10" t="n">
        <f aca="false">SUM(Communes!I5:I187)</f>
        <v>68623</v>
      </c>
      <c r="F11" s="11" t="n">
        <f aca="false">E11/C11</f>
        <v>0.428960775121113</v>
      </c>
    </row>
    <row r="13" customFormat="false" ht="15" hidden="false" customHeight="false" outlineLevel="0" collapsed="false">
      <c r="A13" s="2" t="s">
        <v>1189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5" min="2" style="0" width="10"/>
  </cols>
  <sheetData>
    <row r="1" customFormat="false" ht="17.35" hidden="false" customHeight="false" outlineLevel="0" collapsed="false">
      <c r="A1" s="1" t="s">
        <v>1190</v>
      </c>
    </row>
    <row r="2" customFormat="false" ht="15" hidden="false" customHeight="false" outlineLevel="0" collapsed="false">
      <c r="A2" s="2" t="s">
        <v>1191</v>
      </c>
    </row>
    <row r="4" customFormat="false" ht="15" hidden="false" customHeight="false" outlineLevel="0" collapsed="false">
      <c r="A4" s="7" t="s">
        <v>1192</v>
      </c>
    </row>
    <row r="5" customFormat="false" ht="31.5" hidden="false" customHeight="true" outlineLevel="0" collapsed="false">
      <c r="A5" s="8" t="s">
        <v>52</v>
      </c>
      <c r="B5" s="8" t="s">
        <v>1193</v>
      </c>
      <c r="C5" s="8" t="s">
        <v>1194</v>
      </c>
      <c r="D5" s="8" t="s">
        <v>1195</v>
      </c>
      <c r="E5" s="8" t="s">
        <v>1196</v>
      </c>
      <c r="F5" s="8" t="s">
        <v>1197</v>
      </c>
      <c r="G5" s="8" t="s">
        <v>1198</v>
      </c>
      <c r="H5" s="8" t="s">
        <v>1199</v>
      </c>
      <c r="I5" s="8" t="s">
        <v>1200</v>
      </c>
      <c r="J5" s="8" t="s">
        <v>1201</v>
      </c>
      <c r="K5" s="8" t="s">
        <v>1202</v>
      </c>
      <c r="L5" s="8" t="s">
        <v>1203</v>
      </c>
      <c r="M5" s="8" t="s">
        <v>1204</v>
      </c>
      <c r="N5" s="8" t="s">
        <v>1205</v>
      </c>
      <c r="O5" s="8" t="s">
        <v>1206</v>
      </c>
      <c r="P5" s="8" t="s">
        <v>1207</v>
      </c>
      <c r="Q5" s="8" t="s">
        <v>1208</v>
      </c>
      <c r="R5" s="8" t="s">
        <v>1209</v>
      </c>
      <c r="S5" s="8" t="s">
        <v>1210</v>
      </c>
      <c r="T5" s="8" t="s">
        <v>1211</v>
      </c>
      <c r="U5" s="8" t="s">
        <v>1212</v>
      </c>
      <c r="V5" s="8" t="s">
        <v>1213</v>
      </c>
      <c r="W5" s="8" t="s">
        <v>1214</v>
      </c>
      <c r="X5" s="8" t="s">
        <v>1215</v>
      </c>
      <c r="Y5" s="8" t="s">
        <v>1216</v>
      </c>
    </row>
    <row r="6" customFormat="false" ht="15" hidden="false" customHeight="false" outlineLevel="0" collapsed="false">
      <c r="A6" s="9" t="s">
        <v>120</v>
      </c>
      <c r="B6" s="10" t="n">
        <v>35</v>
      </c>
      <c r="C6" s="10" t="n">
        <v>40</v>
      </c>
      <c r="D6" s="10" t="n">
        <v>38</v>
      </c>
      <c r="E6" s="10" t="n">
        <v>36</v>
      </c>
      <c r="F6" s="10" t="n">
        <v>34</v>
      </c>
      <c r="G6" s="10" t="n">
        <v>33</v>
      </c>
      <c r="H6" s="10" t="n">
        <v>37</v>
      </c>
      <c r="I6" s="10" t="n">
        <v>12104</v>
      </c>
      <c r="J6" s="10" t="n">
        <v>13474</v>
      </c>
      <c r="K6" s="10" t="n">
        <v>12159</v>
      </c>
      <c r="L6" s="10" t="n">
        <v>10325</v>
      </c>
      <c r="M6" s="10" t="n">
        <v>10715</v>
      </c>
      <c r="N6" s="10" t="n">
        <v>12042</v>
      </c>
      <c r="O6" s="10" t="n">
        <v>14201</v>
      </c>
      <c r="P6" s="10" t="n">
        <v>11091</v>
      </c>
      <c r="Q6" s="10" t="n">
        <v>10799</v>
      </c>
      <c r="R6" s="10" t="n">
        <v>9612</v>
      </c>
      <c r="S6" s="10" t="n">
        <v>8394</v>
      </c>
      <c r="T6" s="10" t="n">
        <v>9496</v>
      </c>
      <c r="U6" s="10" t="n">
        <v>10686</v>
      </c>
      <c r="V6" s="10" t="n">
        <v>10843</v>
      </c>
      <c r="W6" s="16" t="n">
        <f aca="false">H6-B6</f>
        <v>2</v>
      </c>
      <c r="X6" s="11" t="n">
        <f aca="false">IF(P6&gt;0,S6/P6-1,"")</f>
        <v>-0.243170137949689</v>
      </c>
      <c r="Y6" s="11" t="n">
        <f aca="false">IF(P6&gt;0,V6/P6-1,"")</f>
        <v>-0.0223604724551438</v>
      </c>
    </row>
    <row r="7" customFormat="false" ht="15" hidden="false" customHeight="false" outlineLevel="0" collapsed="false">
      <c r="A7" s="9" t="s">
        <v>200</v>
      </c>
      <c r="B7" s="10" t="n">
        <v>56</v>
      </c>
      <c r="C7" s="10" t="n">
        <v>62</v>
      </c>
      <c r="D7" s="10" t="n">
        <v>59</v>
      </c>
      <c r="E7" s="10" t="n">
        <v>60</v>
      </c>
      <c r="F7" s="10" t="n">
        <v>58</v>
      </c>
      <c r="G7" s="10" t="n">
        <v>62</v>
      </c>
      <c r="H7" s="10" t="n">
        <v>59</v>
      </c>
      <c r="I7" s="10" t="n">
        <v>10575</v>
      </c>
      <c r="J7" s="10" t="n">
        <v>11173</v>
      </c>
      <c r="K7" s="10" t="n">
        <v>10256</v>
      </c>
      <c r="L7" s="10" t="n">
        <v>10592</v>
      </c>
      <c r="M7" s="10" t="n">
        <v>11871</v>
      </c>
      <c r="N7" s="10" t="n">
        <v>15784</v>
      </c>
      <c r="O7" s="10" t="n">
        <v>16668</v>
      </c>
      <c r="P7" s="10" t="n">
        <v>7414</v>
      </c>
      <c r="Q7" s="10" t="n">
        <v>7583</v>
      </c>
      <c r="R7" s="10" t="n">
        <v>6870</v>
      </c>
      <c r="S7" s="10" t="n">
        <v>6741</v>
      </c>
      <c r="T7" s="10" t="n">
        <v>7865</v>
      </c>
      <c r="U7" s="10" t="n">
        <v>10292</v>
      </c>
      <c r="V7" s="10" t="n">
        <v>11456</v>
      </c>
      <c r="W7" s="16" t="n">
        <f aca="false">H7-B7</f>
        <v>3</v>
      </c>
      <c r="X7" s="11" t="n">
        <f aca="false">IF(P7&gt;0,S7/P7-1,"")</f>
        <v>-0.0907742109522525</v>
      </c>
      <c r="Y7" s="11" t="n">
        <f aca="false">IF(P7&gt;0,V7/P7-1,"")</f>
        <v>0.545184785540869</v>
      </c>
    </row>
    <row r="8" customFormat="false" ht="15" hidden="false" customHeight="false" outlineLevel="0" collapsed="false">
      <c r="A8" s="9" t="s">
        <v>237</v>
      </c>
      <c r="B8" s="10" t="n">
        <v>22</v>
      </c>
      <c r="C8" s="10" t="n">
        <v>21</v>
      </c>
      <c r="D8" s="10" t="n">
        <v>21</v>
      </c>
      <c r="E8" s="10" t="n">
        <v>18</v>
      </c>
      <c r="F8" s="10" t="n">
        <v>17</v>
      </c>
      <c r="G8" s="10" t="n">
        <v>18</v>
      </c>
      <c r="H8" s="10" t="n">
        <v>14</v>
      </c>
      <c r="I8" s="10" t="n">
        <v>6928</v>
      </c>
      <c r="J8" s="10" t="n">
        <v>6664</v>
      </c>
      <c r="K8" s="10" t="n">
        <v>6225</v>
      </c>
      <c r="L8" s="10" t="n">
        <v>5732</v>
      </c>
      <c r="M8" s="10" t="n">
        <v>5844</v>
      </c>
      <c r="N8" s="10" t="n">
        <v>6717</v>
      </c>
      <c r="O8" s="10" t="n">
        <v>5773</v>
      </c>
      <c r="P8" s="10" t="n">
        <v>4127</v>
      </c>
      <c r="Q8" s="10" t="n">
        <v>4140</v>
      </c>
      <c r="R8" s="10" t="n">
        <v>3942</v>
      </c>
      <c r="S8" s="10" t="n">
        <v>4144</v>
      </c>
      <c r="T8" s="10" t="n">
        <v>4694</v>
      </c>
      <c r="U8" s="10" t="n">
        <v>5635</v>
      </c>
      <c r="V8" s="10" t="n">
        <v>5750</v>
      </c>
      <c r="W8" s="16" t="n">
        <f aca="false">H8-B8</f>
        <v>-8</v>
      </c>
      <c r="X8" s="11" t="n">
        <f aca="false">IF(P8&gt;0,S8/P8-1,"")</f>
        <v>0.00411921492609646</v>
      </c>
      <c r="Y8" s="11" t="n">
        <f aca="false">IF(P8&gt;0,V8/P8-1,"")</f>
        <v>0.393263872062031</v>
      </c>
    </row>
    <row r="9" customFormat="false" ht="15" hidden="false" customHeight="false" outlineLevel="0" collapsed="false">
      <c r="A9" s="9" t="s">
        <v>146</v>
      </c>
      <c r="B9" s="10" t="n">
        <v>43</v>
      </c>
      <c r="C9" s="10" t="n">
        <v>41</v>
      </c>
      <c r="D9" s="10" t="n">
        <v>46</v>
      </c>
      <c r="E9" s="10" t="n">
        <v>46</v>
      </c>
      <c r="F9" s="10" t="n">
        <v>44</v>
      </c>
      <c r="G9" s="10" t="n">
        <v>45</v>
      </c>
      <c r="H9" s="10" t="n">
        <v>47</v>
      </c>
      <c r="I9" s="10" t="n">
        <v>8032</v>
      </c>
      <c r="J9" s="10" t="n">
        <v>8520</v>
      </c>
      <c r="K9" s="10" t="n">
        <v>9187</v>
      </c>
      <c r="L9" s="10" t="n">
        <v>9320</v>
      </c>
      <c r="M9" s="10" t="n">
        <v>9994</v>
      </c>
      <c r="N9" s="10" t="n">
        <v>10699</v>
      </c>
      <c r="O9" s="10" t="n">
        <v>11756</v>
      </c>
      <c r="P9" s="10" t="n">
        <v>5731</v>
      </c>
      <c r="Q9" s="10" t="n">
        <v>6865</v>
      </c>
      <c r="R9" s="10" t="n">
        <v>6530</v>
      </c>
      <c r="S9" s="10" t="n">
        <v>6984</v>
      </c>
      <c r="T9" s="10" t="n">
        <v>7958</v>
      </c>
      <c r="U9" s="10" t="n">
        <v>8131</v>
      </c>
      <c r="V9" s="10" t="n">
        <v>8325</v>
      </c>
      <c r="W9" s="16" t="n">
        <f aca="false">H9-B9</f>
        <v>4</v>
      </c>
      <c r="X9" s="11" t="n">
        <f aca="false">IF(P9&gt;0,S9/P9-1,"")</f>
        <v>0.218635491188274</v>
      </c>
      <c r="Y9" s="11" t="n">
        <f aca="false">IF(P9&gt;0,V9/P9-1,"")</f>
        <v>0.452626068748909</v>
      </c>
    </row>
    <row r="10" customFormat="false" ht="15" hidden="false" customHeight="false" outlineLevel="0" collapsed="false">
      <c r="A10" s="9" t="s">
        <v>241</v>
      </c>
      <c r="B10" s="10" t="n">
        <v>22</v>
      </c>
      <c r="C10" s="10" t="n">
        <v>22</v>
      </c>
      <c r="D10" s="10" t="n">
        <v>21</v>
      </c>
      <c r="E10" s="10" t="n">
        <v>21</v>
      </c>
      <c r="F10" s="10" t="n">
        <v>21</v>
      </c>
      <c r="G10" s="10" t="n">
        <v>22</v>
      </c>
      <c r="H10" s="10" t="n">
        <v>22</v>
      </c>
      <c r="I10" s="10" t="n">
        <v>8111</v>
      </c>
      <c r="J10" s="10" t="n">
        <v>8955</v>
      </c>
      <c r="K10" s="10" t="n">
        <v>7629</v>
      </c>
      <c r="L10" s="10" t="n">
        <v>5004</v>
      </c>
      <c r="M10" s="10" t="n">
        <v>5010</v>
      </c>
      <c r="N10" s="10" t="n">
        <v>5716</v>
      </c>
      <c r="O10" s="10" t="n">
        <v>6289</v>
      </c>
      <c r="P10" s="10" t="n">
        <v>3428</v>
      </c>
      <c r="Q10" s="10" t="n">
        <v>3752</v>
      </c>
      <c r="R10" s="10" t="n">
        <v>3230</v>
      </c>
      <c r="S10" s="10" t="n">
        <v>3382</v>
      </c>
      <c r="T10" s="10" t="n">
        <v>3646</v>
      </c>
      <c r="U10" s="10" t="n">
        <v>3826</v>
      </c>
      <c r="V10" s="10" t="n">
        <v>4357</v>
      </c>
      <c r="W10" s="16" t="n">
        <f aca="false">H10-B10</f>
        <v>0</v>
      </c>
      <c r="X10" s="11" t="n">
        <f aca="false">IF(P10&gt;0,S10/P10-1,"")</f>
        <v>-0.0134189031505251</v>
      </c>
      <c r="Y10" s="11" t="n">
        <f aca="false">IF(P10&gt;0,V10/P10-1,"")</f>
        <v>0.271003500583431</v>
      </c>
    </row>
    <row r="11" customFormat="false" ht="15" hidden="false" customHeight="false" outlineLevel="0" collapsed="false">
      <c r="A11" s="9" t="s">
        <v>133</v>
      </c>
      <c r="B11" s="10" t="n">
        <v>38</v>
      </c>
      <c r="C11" s="10" t="n">
        <v>41</v>
      </c>
      <c r="D11" s="10" t="n">
        <v>45</v>
      </c>
      <c r="E11" s="10" t="n">
        <v>42</v>
      </c>
      <c r="F11" s="10" t="n">
        <v>40</v>
      </c>
      <c r="G11" s="10" t="n">
        <v>43</v>
      </c>
      <c r="H11" s="10" t="n">
        <v>42</v>
      </c>
      <c r="I11" s="10" t="n">
        <v>8495</v>
      </c>
      <c r="J11" s="10" t="n">
        <v>8124</v>
      </c>
      <c r="K11" s="10" t="n">
        <v>7403</v>
      </c>
      <c r="L11" s="10" t="n">
        <v>7197</v>
      </c>
      <c r="M11" s="10" t="n">
        <v>7683</v>
      </c>
      <c r="N11" s="10" t="n">
        <v>11019</v>
      </c>
      <c r="O11" s="10" t="n">
        <v>9630</v>
      </c>
      <c r="P11" s="10" t="n">
        <v>5395</v>
      </c>
      <c r="Q11" s="10" t="n">
        <v>5563</v>
      </c>
      <c r="R11" s="10" t="n">
        <v>4988</v>
      </c>
      <c r="S11" s="10" t="n">
        <v>4989</v>
      </c>
      <c r="T11" s="10" t="n">
        <v>5495</v>
      </c>
      <c r="U11" s="10" t="n">
        <v>6557</v>
      </c>
      <c r="V11" s="10" t="n">
        <v>6522</v>
      </c>
      <c r="W11" s="16" t="n">
        <f aca="false">H11-B11</f>
        <v>4</v>
      </c>
      <c r="X11" s="11" t="n">
        <f aca="false">IF(P11&gt;0,S11/P11-1,"")</f>
        <v>-0.0752548656163115</v>
      </c>
      <c r="Y11" s="11" t="n">
        <f aca="false">IF(P11&gt;0,V11/P11-1,"")</f>
        <v>0.208897126969416</v>
      </c>
    </row>
    <row r="12" customFormat="false" ht="15" hidden="false" customHeight="false" outlineLevel="0" collapsed="false">
      <c r="A12" s="9" t="s">
        <v>229</v>
      </c>
      <c r="B12" s="10" t="n">
        <v>15</v>
      </c>
      <c r="C12" s="10" t="n">
        <v>18</v>
      </c>
      <c r="D12" s="10" t="n">
        <v>17</v>
      </c>
      <c r="E12" s="10" t="n">
        <v>18</v>
      </c>
      <c r="F12" s="10" t="n">
        <v>18</v>
      </c>
      <c r="G12" s="10" t="n">
        <v>17</v>
      </c>
      <c r="H12" s="10" t="n">
        <v>14</v>
      </c>
      <c r="I12" s="10" t="n">
        <v>7547</v>
      </c>
      <c r="J12" s="10" t="n">
        <v>8893</v>
      </c>
      <c r="K12" s="10" t="n">
        <v>8210</v>
      </c>
      <c r="L12" s="10" t="n">
        <v>7595</v>
      </c>
      <c r="M12" s="10" t="n">
        <v>9916</v>
      </c>
      <c r="N12" s="10" t="n">
        <v>10269</v>
      </c>
      <c r="O12" s="10" t="n">
        <v>10428</v>
      </c>
      <c r="P12" s="10" t="n">
        <v>6904</v>
      </c>
      <c r="Q12" s="10" t="n">
        <v>7561</v>
      </c>
      <c r="R12" s="10" t="n">
        <v>7292</v>
      </c>
      <c r="S12" s="10" t="n">
        <v>6363</v>
      </c>
      <c r="T12" s="10" t="n">
        <v>8556</v>
      </c>
      <c r="U12" s="10" t="n">
        <v>8950</v>
      </c>
      <c r="V12" s="10" t="n">
        <v>9812</v>
      </c>
      <c r="W12" s="16" t="n">
        <f aca="false">H12-B12</f>
        <v>-1</v>
      </c>
      <c r="X12" s="11" t="n">
        <f aca="false">IF(P12&gt;0,S12/P12-1,"")</f>
        <v>-0.0783603707995365</v>
      </c>
      <c r="Y12" s="11" t="n">
        <f aca="false">IF(P12&gt;0,V12/P12-1,"")</f>
        <v>0.421205098493627</v>
      </c>
    </row>
    <row r="13" customFormat="false" ht="15" hidden="false" customHeight="false" outlineLevel="0" collapsed="false">
      <c r="A13" s="9" t="s">
        <v>124</v>
      </c>
      <c r="B13" s="10" t="n">
        <v>12</v>
      </c>
      <c r="C13" s="10" t="n">
        <v>11</v>
      </c>
      <c r="D13" s="10" t="n">
        <v>9</v>
      </c>
      <c r="E13" s="10" t="n">
        <v>8</v>
      </c>
      <c r="F13" s="10" t="n">
        <v>9</v>
      </c>
      <c r="G13" s="10" t="n">
        <v>9</v>
      </c>
      <c r="H13" s="10" t="n">
        <v>9</v>
      </c>
      <c r="I13" s="10" t="n">
        <v>2697</v>
      </c>
      <c r="J13" s="10" t="n">
        <v>2651</v>
      </c>
      <c r="K13" s="10" t="n">
        <v>2591</v>
      </c>
      <c r="L13" s="10" t="n">
        <v>881</v>
      </c>
      <c r="M13" s="10" t="n">
        <v>770</v>
      </c>
      <c r="N13" s="10" t="n">
        <v>2218</v>
      </c>
      <c r="O13" s="10" t="n">
        <v>2289</v>
      </c>
      <c r="P13" s="10" t="n">
        <v>1817</v>
      </c>
      <c r="Q13" s="10" t="n">
        <v>1751</v>
      </c>
      <c r="R13" s="10" t="n">
        <v>2071</v>
      </c>
      <c r="S13" s="10" t="n">
        <v>592</v>
      </c>
      <c r="T13" s="10" t="n">
        <v>282</v>
      </c>
      <c r="U13" s="10" t="n">
        <v>1637</v>
      </c>
      <c r="V13" s="10" t="n">
        <v>1567</v>
      </c>
      <c r="W13" s="16" t="n">
        <f aca="false">H13-B13</f>
        <v>-3</v>
      </c>
      <c r="X13" s="11" t="n">
        <f aca="false">IF(P13&gt;0,S13/P13-1,"")</f>
        <v>-0.674188222344524</v>
      </c>
      <c r="Y13" s="11" t="n">
        <f aca="false">IF(P13&gt;0,V13/P13-1,"")</f>
        <v>-0.137589433131536</v>
      </c>
    </row>
    <row r="14" customFormat="false" ht="15" hidden="false" customHeight="false" outlineLevel="0" collapsed="false">
      <c r="A14" s="9" t="s">
        <v>216</v>
      </c>
      <c r="B14" s="10" t="n">
        <v>20</v>
      </c>
      <c r="C14" s="10" t="n">
        <v>21</v>
      </c>
      <c r="D14" s="10" t="n">
        <v>22</v>
      </c>
      <c r="E14" s="10" t="n">
        <v>19</v>
      </c>
      <c r="F14" s="10" t="n">
        <v>17</v>
      </c>
      <c r="G14" s="10" t="n">
        <v>22</v>
      </c>
      <c r="H14" s="10" t="n">
        <v>19</v>
      </c>
      <c r="I14" s="10" t="n">
        <v>4410</v>
      </c>
      <c r="J14" s="10" t="n">
        <v>4772</v>
      </c>
      <c r="K14" s="10" t="n">
        <v>4489</v>
      </c>
      <c r="L14" s="10" t="n">
        <v>4505</v>
      </c>
      <c r="M14" s="10" t="n">
        <v>4888</v>
      </c>
      <c r="N14" s="10" t="n">
        <v>6096</v>
      </c>
      <c r="O14" s="10" t="n">
        <v>2951</v>
      </c>
      <c r="P14" s="10" t="n">
        <v>1914</v>
      </c>
      <c r="Q14" s="10" t="n">
        <v>1899</v>
      </c>
      <c r="R14" s="10" t="n">
        <v>1568</v>
      </c>
      <c r="S14" s="10" t="n">
        <v>1985</v>
      </c>
      <c r="T14" s="10" t="n">
        <v>1893</v>
      </c>
      <c r="U14" s="10" t="n">
        <v>2185</v>
      </c>
      <c r="V14" s="10" t="n">
        <v>2061</v>
      </c>
      <c r="W14" s="16" t="n">
        <f aca="false">H14-B14</f>
        <v>-1</v>
      </c>
      <c r="X14" s="11" t="n">
        <f aca="false">IF(P14&gt;0,S14/P14-1,"")</f>
        <v>0.0370950888192267</v>
      </c>
      <c r="Y14" s="11" t="n">
        <f aca="false">IF(P14&gt;0,V14/P14-1,"")</f>
        <v>0.0768025078369905</v>
      </c>
    </row>
    <row r="15" customFormat="false" ht="15" hidden="false" customHeight="false" outlineLevel="0" collapsed="false">
      <c r="A15" s="9" t="s">
        <v>278</v>
      </c>
      <c r="B15" s="10" t="n">
        <v>22</v>
      </c>
      <c r="C15" s="10" t="n">
        <v>22</v>
      </c>
      <c r="D15" s="10" t="n">
        <v>22</v>
      </c>
      <c r="E15" s="10" t="n">
        <v>21</v>
      </c>
      <c r="F15" s="10" t="n">
        <v>24</v>
      </c>
      <c r="G15" s="10" t="n">
        <v>25</v>
      </c>
      <c r="H15" s="10" t="n">
        <v>26</v>
      </c>
      <c r="I15" s="10" t="n">
        <v>5344</v>
      </c>
      <c r="J15" s="10" t="n">
        <v>4792</v>
      </c>
      <c r="K15" s="10" t="n">
        <v>4600</v>
      </c>
      <c r="L15" s="10" t="n">
        <v>3947</v>
      </c>
      <c r="M15" s="10" t="n">
        <v>4495</v>
      </c>
      <c r="N15" s="10" t="n">
        <v>5077</v>
      </c>
      <c r="O15" s="10" t="n">
        <v>5652</v>
      </c>
      <c r="P15" s="10" t="n">
        <v>4227</v>
      </c>
      <c r="Q15" s="10" t="n">
        <v>4267</v>
      </c>
      <c r="R15" s="10" t="n">
        <v>4099</v>
      </c>
      <c r="S15" s="10" t="n">
        <v>3869</v>
      </c>
      <c r="T15" s="10" t="n">
        <v>4156</v>
      </c>
      <c r="U15" s="10" t="n">
        <v>4459</v>
      </c>
      <c r="V15" s="10" t="n">
        <v>4565</v>
      </c>
      <c r="W15" s="16" t="n">
        <f aca="false">H15-B15</f>
        <v>4</v>
      </c>
      <c r="X15" s="11" t="n">
        <f aca="false">IF(P15&gt;0,S15/P15-1,"")</f>
        <v>-0.0846936361485687</v>
      </c>
      <c r="Y15" s="11" t="n">
        <f aca="false">IF(P15&gt;0,V15/P15-1,"")</f>
        <v>0.0799621480955761</v>
      </c>
    </row>
    <row r="16" customFormat="false" ht="15" hidden="false" customHeight="false" outlineLevel="0" collapsed="false">
      <c r="A16" s="9" t="s">
        <v>155</v>
      </c>
      <c r="B16" s="10" t="n">
        <v>46</v>
      </c>
      <c r="C16" s="10" t="n">
        <v>53</v>
      </c>
      <c r="D16" s="10" t="n">
        <v>54</v>
      </c>
      <c r="E16" s="10" t="n">
        <v>51</v>
      </c>
      <c r="F16" s="10" t="n">
        <v>53</v>
      </c>
      <c r="G16" s="10" t="n">
        <v>50</v>
      </c>
      <c r="H16" s="10" t="n">
        <v>51</v>
      </c>
      <c r="I16" s="10" t="n">
        <v>6565</v>
      </c>
      <c r="J16" s="10" t="n">
        <v>7253</v>
      </c>
      <c r="K16" s="10" t="n">
        <v>6680</v>
      </c>
      <c r="L16" s="10" t="n">
        <v>7184</v>
      </c>
      <c r="M16" s="10" t="n">
        <v>7194</v>
      </c>
      <c r="N16" s="10" t="n">
        <v>8366</v>
      </c>
      <c r="O16" s="10" t="n">
        <v>8676</v>
      </c>
      <c r="P16" s="10" t="n">
        <v>3186</v>
      </c>
      <c r="Q16" s="10" t="n">
        <v>3200</v>
      </c>
      <c r="R16" s="10" t="n">
        <v>2840</v>
      </c>
      <c r="S16" s="10" t="n">
        <v>2956</v>
      </c>
      <c r="T16" s="10" t="n">
        <v>3297</v>
      </c>
      <c r="U16" s="10" t="n">
        <v>3909</v>
      </c>
      <c r="V16" s="10" t="n">
        <v>3858</v>
      </c>
      <c r="W16" s="16" t="n">
        <f aca="false">H16-B16</f>
        <v>5</v>
      </c>
      <c r="X16" s="11" t="n">
        <f aca="false">IF(P16&gt;0,S16/P16-1,"")</f>
        <v>-0.0721908349026993</v>
      </c>
      <c r="Y16" s="11" t="n">
        <f aca="false">IF(P16&gt;0,V16/P16-1,"")</f>
        <v>0.210922787193974</v>
      </c>
    </row>
    <row r="17" customFormat="false" ht="15" hidden="false" customHeight="false" outlineLevel="0" collapsed="false">
      <c r="A17" s="9" t="s">
        <v>115</v>
      </c>
      <c r="B17" s="10" t="n">
        <v>22</v>
      </c>
      <c r="C17" s="10" t="n">
        <v>25</v>
      </c>
      <c r="D17" s="10" t="n">
        <v>26</v>
      </c>
      <c r="E17" s="10" t="n">
        <v>28</v>
      </c>
      <c r="F17" s="10" t="n">
        <v>29</v>
      </c>
      <c r="G17" s="10" t="n">
        <v>28</v>
      </c>
      <c r="H17" s="10" t="n">
        <v>28</v>
      </c>
      <c r="I17" s="10" t="n">
        <v>4206</v>
      </c>
      <c r="J17" s="10" t="n">
        <v>5029</v>
      </c>
      <c r="K17" s="10" t="n">
        <v>4642</v>
      </c>
      <c r="L17" s="10" t="n">
        <v>5276</v>
      </c>
      <c r="M17" s="10" t="n">
        <v>5969</v>
      </c>
      <c r="N17" s="10" t="n">
        <v>6334</v>
      </c>
      <c r="O17" s="10" t="n">
        <v>5895</v>
      </c>
      <c r="P17" s="10" t="n">
        <v>3174</v>
      </c>
      <c r="Q17" s="10" t="n">
        <v>3253</v>
      </c>
      <c r="R17" s="10" t="n">
        <v>2856</v>
      </c>
      <c r="S17" s="10" t="n">
        <v>3062</v>
      </c>
      <c r="T17" s="10" t="n">
        <v>3240</v>
      </c>
      <c r="U17" s="10" t="n">
        <v>3381</v>
      </c>
      <c r="V17" s="10" t="n">
        <v>3386</v>
      </c>
      <c r="W17" s="16" t="n">
        <f aca="false">H17-B17</f>
        <v>6</v>
      </c>
      <c r="X17" s="11" t="n">
        <f aca="false">IF(P17&gt;0,S17/P17-1,"")</f>
        <v>-0.0352867044738501</v>
      </c>
      <c r="Y17" s="11" t="n">
        <f aca="false">IF(P17&gt;0,V17/P17-1,"")</f>
        <v>0.0667926906112162</v>
      </c>
    </row>
    <row r="18" customFormat="false" ht="15" hidden="false" customHeight="false" outlineLevel="0" collapsed="false">
      <c r="A18" s="9" t="s">
        <v>100</v>
      </c>
      <c r="B18" s="10" t="n">
        <v>45</v>
      </c>
      <c r="C18" s="10" t="n">
        <v>45</v>
      </c>
      <c r="D18" s="10" t="n">
        <v>40</v>
      </c>
      <c r="E18" s="10" t="n">
        <v>39</v>
      </c>
      <c r="F18" s="10" t="n">
        <v>37</v>
      </c>
      <c r="G18" s="10" t="n">
        <v>39</v>
      </c>
      <c r="H18" s="10" t="n">
        <v>37</v>
      </c>
      <c r="I18" s="10" t="n">
        <v>8688</v>
      </c>
      <c r="J18" s="10" t="n">
        <v>9052</v>
      </c>
      <c r="K18" s="10" t="n">
        <v>7695</v>
      </c>
      <c r="L18" s="10" t="n">
        <v>6884</v>
      </c>
      <c r="M18" s="10" t="n">
        <v>7626</v>
      </c>
      <c r="N18" s="10" t="n">
        <v>8638</v>
      </c>
      <c r="O18" s="10" t="n">
        <v>9604</v>
      </c>
      <c r="P18" s="10" t="n">
        <v>5983</v>
      </c>
      <c r="Q18" s="10" t="n">
        <v>6159</v>
      </c>
      <c r="R18" s="10" t="n">
        <v>5427</v>
      </c>
      <c r="S18" s="10" t="n">
        <v>4959</v>
      </c>
      <c r="T18" s="10" t="n">
        <v>5687</v>
      </c>
      <c r="U18" s="10" t="n">
        <v>5834</v>
      </c>
      <c r="V18" s="10" t="n">
        <v>6977</v>
      </c>
      <c r="W18" s="16" t="n">
        <f aca="false">H18-B18</f>
        <v>-8</v>
      </c>
      <c r="X18" s="11" t="n">
        <f aca="false">IF(P18&gt;0,S18/P18-1,"")</f>
        <v>-0.171151596189203</v>
      </c>
      <c r="Y18" s="11" t="n">
        <f aca="false">IF(P18&gt;0,V18/P18-1,"")</f>
        <v>0.166137389269597</v>
      </c>
    </row>
    <row r="19" customFormat="false" ht="15" hidden="false" customHeight="false" outlineLevel="0" collapsed="false">
      <c r="A19" s="9" t="s">
        <v>140</v>
      </c>
      <c r="B19" s="10" t="n">
        <v>36</v>
      </c>
      <c r="C19" s="10" t="n">
        <v>38</v>
      </c>
      <c r="D19" s="10" t="n">
        <v>38</v>
      </c>
      <c r="E19" s="10" t="n">
        <v>33</v>
      </c>
      <c r="F19" s="10" t="n">
        <v>37</v>
      </c>
      <c r="G19" s="10" t="n">
        <v>39</v>
      </c>
      <c r="H19" s="10" t="n">
        <v>37</v>
      </c>
      <c r="I19" s="10" t="n">
        <v>11868</v>
      </c>
      <c r="J19" s="10" t="n">
        <v>15156</v>
      </c>
      <c r="K19" s="10" t="n">
        <v>12881</v>
      </c>
      <c r="L19" s="10" t="n">
        <v>12148</v>
      </c>
      <c r="M19" s="10" t="n">
        <v>12887</v>
      </c>
      <c r="N19" s="10" t="n">
        <v>15124</v>
      </c>
      <c r="O19" s="10" t="n">
        <v>14966</v>
      </c>
      <c r="P19" s="10" t="n">
        <v>9306</v>
      </c>
      <c r="Q19" s="10" t="n">
        <v>9344</v>
      </c>
      <c r="R19" s="10" t="n">
        <v>8770</v>
      </c>
      <c r="S19" s="10" t="n">
        <v>7436</v>
      </c>
      <c r="T19" s="10" t="n">
        <v>8007</v>
      </c>
      <c r="U19" s="10" t="n">
        <v>8792</v>
      </c>
      <c r="V19" s="10" t="n">
        <v>9006</v>
      </c>
      <c r="W19" s="16" t="n">
        <f aca="false">H19-B19</f>
        <v>1</v>
      </c>
      <c r="X19" s="11" t="n">
        <f aca="false">IF(P19&gt;0,S19/P19-1,"")</f>
        <v>-0.200945626477541</v>
      </c>
      <c r="Y19" s="11" t="n">
        <f aca="false">IF(P19&gt;0,V19/P19-1,"")</f>
        <v>-0.0322372662798195</v>
      </c>
    </row>
    <row r="20" customFormat="false" ht="15" hidden="false" customHeight="false" outlineLevel="0" collapsed="false">
      <c r="A20" s="9" t="s">
        <v>428</v>
      </c>
      <c r="B20" s="10" t="n">
        <v>24</v>
      </c>
      <c r="C20" s="10" t="n">
        <v>26</v>
      </c>
      <c r="D20" s="10" t="n">
        <v>26</v>
      </c>
      <c r="E20" s="10" t="n">
        <v>25</v>
      </c>
      <c r="F20" s="10" t="n">
        <v>25</v>
      </c>
      <c r="G20" s="10" t="n">
        <v>22</v>
      </c>
      <c r="H20" s="10" t="n">
        <v>23</v>
      </c>
      <c r="I20" s="10" t="n">
        <v>13985</v>
      </c>
      <c r="J20" s="10" t="n">
        <v>12818</v>
      </c>
      <c r="K20" s="10" t="n">
        <v>12760</v>
      </c>
      <c r="L20" s="10" t="n">
        <v>12531</v>
      </c>
      <c r="M20" s="10" t="n">
        <v>15594</v>
      </c>
      <c r="N20" s="10" t="n">
        <v>15680</v>
      </c>
      <c r="O20" s="10" t="n">
        <v>16343</v>
      </c>
      <c r="P20" s="10" t="n">
        <v>12408</v>
      </c>
      <c r="Q20" s="10" t="n">
        <v>11043</v>
      </c>
      <c r="R20" s="10" t="n">
        <v>11069</v>
      </c>
      <c r="S20" s="10" t="n">
        <v>10988</v>
      </c>
      <c r="T20" s="10" t="n">
        <v>13722</v>
      </c>
      <c r="U20" s="10" t="n">
        <v>13919</v>
      </c>
      <c r="V20" s="10" t="n">
        <v>14680</v>
      </c>
      <c r="W20" s="16" t="n">
        <f aca="false">H20-B20</f>
        <v>-1</v>
      </c>
      <c r="X20" s="11" t="n">
        <f aca="false">IF(P20&gt;0,S20/P20-1,"")</f>
        <v>-0.114442295293359</v>
      </c>
      <c r="Y20" s="11" t="n">
        <f aca="false">IF(P20&gt;0,V20/P20-1,"")</f>
        <v>0.183107672469375</v>
      </c>
    </row>
    <row r="21" customFormat="false" ht="15" hidden="false" customHeight="false" outlineLevel="0" collapsed="false">
      <c r="A21" s="9" t="s">
        <v>151</v>
      </c>
      <c r="B21" s="10" t="n">
        <v>27</v>
      </c>
      <c r="C21" s="10" t="n">
        <v>28</v>
      </c>
      <c r="D21" s="10" t="n">
        <v>25</v>
      </c>
      <c r="E21" s="10" t="n">
        <v>25</v>
      </c>
      <c r="F21" s="10" t="n">
        <v>30</v>
      </c>
      <c r="G21" s="10" t="n">
        <v>32</v>
      </c>
      <c r="H21" s="10" t="n">
        <v>28</v>
      </c>
      <c r="I21" s="10" t="n">
        <v>5986</v>
      </c>
      <c r="J21" s="10" t="n">
        <v>7328</v>
      </c>
      <c r="K21" s="10" t="n">
        <v>5834</v>
      </c>
      <c r="L21" s="10" t="n">
        <v>5995</v>
      </c>
      <c r="M21" s="10" t="n">
        <v>7083</v>
      </c>
      <c r="N21" s="10" t="n">
        <v>8559</v>
      </c>
      <c r="O21" s="10" t="n">
        <v>8313</v>
      </c>
      <c r="P21" s="10" t="n">
        <v>5005</v>
      </c>
      <c r="Q21" s="10" t="n">
        <v>5826</v>
      </c>
      <c r="R21" s="10" t="n">
        <v>4952</v>
      </c>
      <c r="S21" s="10" t="n">
        <v>4877</v>
      </c>
      <c r="T21" s="10" t="n">
        <v>5456</v>
      </c>
      <c r="U21" s="10" t="n">
        <v>6488</v>
      </c>
      <c r="V21" s="10" t="n">
        <v>6401</v>
      </c>
      <c r="W21" s="16" t="n">
        <f aca="false">H21-B21</f>
        <v>1</v>
      </c>
      <c r="X21" s="11" t="n">
        <f aca="false">IF(P21&gt;0,S21/P21-1,"")</f>
        <v>-0.0255744255744256</v>
      </c>
      <c r="Y21" s="11" t="n">
        <f aca="false">IF(P21&gt;0,V21/P21-1,"")</f>
        <v>0.278921078921079</v>
      </c>
    </row>
    <row r="22" customFormat="false" ht="15" hidden="false" customHeight="false" outlineLevel="0" collapsed="false">
      <c r="A22" s="9" t="s">
        <v>106</v>
      </c>
      <c r="B22" s="10" t="n">
        <v>37</v>
      </c>
      <c r="C22" s="10" t="n">
        <v>41</v>
      </c>
      <c r="D22" s="10" t="n">
        <v>40</v>
      </c>
      <c r="E22" s="10" t="n">
        <v>38</v>
      </c>
      <c r="F22" s="10" t="n">
        <v>38</v>
      </c>
      <c r="G22" s="10" t="n">
        <v>40</v>
      </c>
      <c r="H22" s="10" t="n">
        <v>36</v>
      </c>
      <c r="I22" s="10" t="n">
        <v>4778</v>
      </c>
      <c r="J22" s="10" t="n">
        <v>4945</v>
      </c>
      <c r="K22" s="10" t="n">
        <v>3700</v>
      </c>
      <c r="L22" s="10" t="n">
        <v>4219</v>
      </c>
      <c r="M22" s="10" t="n">
        <v>4591</v>
      </c>
      <c r="N22" s="10" t="n">
        <v>6293</v>
      </c>
      <c r="O22" s="10" t="n">
        <v>6247</v>
      </c>
      <c r="P22" s="10" t="n">
        <v>2541</v>
      </c>
      <c r="Q22" s="10" t="n">
        <v>2280</v>
      </c>
      <c r="R22" s="10" t="n">
        <v>2100</v>
      </c>
      <c r="S22" s="10" t="n">
        <v>2228</v>
      </c>
      <c r="T22" s="10" t="n">
        <v>2249</v>
      </c>
      <c r="U22" s="10" t="n">
        <v>3337</v>
      </c>
      <c r="V22" s="10" t="n">
        <v>3404</v>
      </c>
      <c r="W22" s="16" t="n">
        <f aca="false">H22-B22</f>
        <v>-1</v>
      </c>
      <c r="X22" s="11" t="n">
        <f aca="false">IF(P22&gt;0,S22/P22-1,"")</f>
        <v>-0.123179850452578</v>
      </c>
      <c r="Y22" s="11" t="n">
        <f aca="false">IF(P22&gt;0,V22/P22-1,"")</f>
        <v>0.339630066902794</v>
      </c>
    </row>
    <row r="23" customFormat="false" ht="15" hidden="false" customHeight="false" outlineLevel="0" collapsed="false">
      <c r="A23" s="9" t="s">
        <v>182</v>
      </c>
      <c r="B23" s="10" t="n">
        <v>20</v>
      </c>
      <c r="C23" s="10" t="n">
        <v>19</v>
      </c>
      <c r="D23" s="10" t="n">
        <v>22</v>
      </c>
      <c r="E23" s="10" t="n">
        <v>24</v>
      </c>
      <c r="F23" s="10" t="n">
        <v>22</v>
      </c>
      <c r="G23" s="10" t="n">
        <v>23</v>
      </c>
      <c r="H23" s="10" t="n">
        <v>22</v>
      </c>
      <c r="I23" s="10" t="n">
        <v>3784</v>
      </c>
      <c r="J23" s="10" t="n">
        <v>4079</v>
      </c>
      <c r="K23" s="10" t="n">
        <v>4664</v>
      </c>
      <c r="L23" s="10" t="n">
        <v>3505</v>
      </c>
      <c r="M23" s="10" t="n">
        <v>3733</v>
      </c>
      <c r="N23" s="10" t="n">
        <v>3260</v>
      </c>
      <c r="O23" s="10" t="n">
        <v>4294</v>
      </c>
      <c r="P23" s="10" t="n">
        <v>1333</v>
      </c>
      <c r="Q23" s="10" t="n">
        <v>1377</v>
      </c>
      <c r="R23" s="10" t="n">
        <v>1170</v>
      </c>
      <c r="S23" s="10" t="n">
        <v>1169</v>
      </c>
      <c r="T23" s="10" t="n">
        <v>1313</v>
      </c>
      <c r="U23" s="10" t="n">
        <v>1505</v>
      </c>
      <c r="V23" s="10" t="n">
        <v>1557</v>
      </c>
      <c r="W23" s="16" t="n">
        <f aca="false">H23-B23</f>
        <v>2</v>
      </c>
      <c r="X23" s="11" t="n">
        <f aca="false">IF(P23&gt;0,S23/P23-1,"")</f>
        <v>-0.123030757689422</v>
      </c>
      <c r="Y23" s="11" t="n">
        <f aca="false">IF(P23&gt;0,V23/P23-1,"")</f>
        <v>0.168042010502626</v>
      </c>
    </row>
    <row r="24" customFormat="false" ht="15" hidden="false" customHeight="false" outlineLevel="0" collapsed="false">
      <c r="A24" s="5" t="s">
        <v>491</v>
      </c>
      <c r="B24" s="13" t="n">
        <f aca="false">SUM(B6:B23)</f>
        <v>542</v>
      </c>
      <c r="C24" s="13" t="n">
        <f aca="false">SUM(C6:C23)</f>
        <v>574</v>
      </c>
      <c r="D24" s="13" t="n">
        <f aca="false">SUM(D6:D23)</f>
        <v>571</v>
      </c>
      <c r="E24" s="13" t="n">
        <f aca="false">SUM(E6:E23)</f>
        <v>552</v>
      </c>
      <c r="F24" s="13" t="n">
        <f aca="false">SUM(F6:F23)</f>
        <v>553</v>
      </c>
      <c r="G24" s="13" t="n">
        <f aca="false">SUM(G6:G23)</f>
        <v>569</v>
      </c>
      <c r="H24" s="13" t="n">
        <f aca="false">SUM(H6:H23)</f>
        <v>551</v>
      </c>
      <c r="I24" s="13" t="n">
        <f aca="false">SUM(I6:I23)</f>
        <v>134103</v>
      </c>
      <c r="J24" s="13" t="n">
        <f aca="false">SUM(J6:J23)</f>
        <v>143678</v>
      </c>
      <c r="K24" s="13" t="n">
        <f aca="false">SUM(K6:K23)</f>
        <v>131605</v>
      </c>
      <c r="L24" s="13" t="n">
        <f aca="false">SUM(L6:L23)</f>
        <v>122840</v>
      </c>
      <c r="M24" s="13" t="n">
        <f aca="false">SUM(M6:M23)</f>
        <v>135863</v>
      </c>
      <c r="N24" s="13" t="n">
        <f aca="false">SUM(N6:N23)</f>
        <v>157891</v>
      </c>
      <c r="O24" s="13" t="n">
        <f aca="false">SUM(O6:O23)</f>
        <v>159975</v>
      </c>
      <c r="P24" s="13" t="n">
        <f aca="false">SUM(P6:P23)</f>
        <v>94984</v>
      </c>
      <c r="Q24" s="13" t="n">
        <f aca="false">SUM(Q6:Q23)</f>
        <v>96662</v>
      </c>
      <c r="R24" s="13" t="n">
        <f aca="false">SUM(R6:R23)</f>
        <v>89386</v>
      </c>
      <c r="S24" s="13" t="n">
        <f aca="false">SUM(S6:S23)</f>
        <v>85118</v>
      </c>
      <c r="T24" s="13" t="n">
        <f aca="false">SUM(T6:T23)</f>
        <v>97012</v>
      </c>
      <c r="U24" s="13" t="n">
        <f aca="false">SUM(U6:U23)</f>
        <v>109523</v>
      </c>
      <c r="V24" s="13" t="n">
        <f aca="false">SUM(V6:V23)</f>
        <v>114527</v>
      </c>
      <c r="W24" s="17" t="n">
        <f aca="false">H24-B24</f>
        <v>9</v>
      </c>
      <c r="X24" s="14" t="n">
        <f aca="false">S24/P24-1</f>
        <v>-0.10387012549482</v>
      </c>
      <c r="Y24" s="14" t="n">
        <f aca="false">V24/P24-1</f>
        <v>0.205750442179736</v>
      </c>
    </row>
    <row r="27" customFormat="false" ht="15" hidden="false" customHeight="false" outlineLevel="0" collapsed="false">
      <c r="A27" s="7" t="s">
        <v>1217</v>
      </c>
    </row>
    <row r="28" customFormat="false" ht="31.5" hidden="false" customHeight="true" outlineLevel="0" collapsed="false">
      <c r="A28" s="8" t="s">
        <v>1218</v>
      </c>
      <c r="B28" s="8" t="s">
        <v>1193</v>
      </c>
      <c r="C28" s="8" t="s">
        <v>1194</v>
      </c>
      <c r="D28" s="8" t="s">
        <v>1195</v>
      </c>
      <c r="E28" s="8" t="s">
        <v>1196</v>
      </c>
      <c r="F28" s="8" t="s">
        <v>1197</v>
      </c>
      <c r="G28" s="8" t="s">
        <v>1198</v>
      </c>
      <c r="H28" s="8" t="s">
        <v>1199</v>
      </c>
      <c r="I28" s="8" t="s">
        <v>1200</v>
      </c>
      <c r="J28" s="8" t="s">
        <v>1201</v>
      </c>
      <c r="K28" s="8" t="s">
        <v>1202</v>
      </c>
      <c r="L28" s="8" t="s">
        <v>1203</v>
      </c>
      <c r="M28" s="8" t="s">
        <v>1204</v>
      </c>
      <c r="N28" s="8" t="s">
        <v>1205</v>
      </c>
      <c r="O28" s="8" t="s">
        <v>1206</v>
      </c>
      <c r="P28" s="8" t="s">
        <v>1207</v>
      </c>
      <c r="Q28" s="8" t="s">
        <v>1208</v>
      </c>
      <c r="R28" s="8" t="s">
        <v>1209</v>
      </c>
      <c r="S28" s="8" t="s">
        <v>1210</v>
      </c>
      <c r="T28" s="8" t="s">
        <v>1211</v>
      </c>
      <c r="U28" s="8" t="s">
        <v>1212</v>
      </c>
      <c r="V28" s="8" t="s">
        <v>1213</v>
      </c>
      <c r="W28" s="8" t="s">
        <v>1214</v>
      </c>
      <c r="X28" s="8" t="s">
        <v>1215</v>
      </c>
      <c r="Y28" s="8" t="s">
        <v>1216</v>
      </c>
    </row>
    <row r="29" customFormat="false" ht="15" hidden="false" customHeight="false" outlineLevel="0" collapsed="false">
      <c r="A29" s="9" t="s">
        <v>116</v>
      </c>
      <c r="B29" s="10" t="n">
        <v>75</v>
      </c>
      <c r="C29" s="10" t="n">
        <v>78</v>
      </c>
      <c r="D29" s="10" t="n">
        <v>83</v>
      </c>
      <c r="E29" s="10" t="n">
        <v>77</v>
      </c>
      <c r="F29" s="10" t="n">
        <v>76</v>
      </c>
      <c r="G29" s="10" t="n">
        <v>76</v>
      </c>
      <c r="H29" s="10" t="n">
        <v>74</v>
      </c>
      <c r="I29" s="10" t="n">
        <v>18453</v>
      </c>
      <c r="J29" s="10" t="n">
        <v>18826</v>
      </c>
      <c r="K29" s="10" t="n">
        <v>18285</v>
      </c>
      <c r="L29" s="10" t="n">
        <v>18023</v>
      </c>
      <c r="M29" s="10" t="n">
        <v>19162</v>
      </c>
      <c r="N29" s="10" t="n">
        <v>21886</v>
      </c>
      <c r="O29" s="10" t="n">
        <v>21432</v>
      </c>
      <c r="P29" s="10" t="n">
        <v>12983</v>
      </c>
      <c r="Q29" s="10" t="n">
        <v>12914</v>
      </c>
      <c r="R29" s="10" t="n">
        <v>11841</v>
      </c>
      <c r="S29" s="10" t="n">
        <v>12492</v>
      </c>
      <c r="T29" s="10" t="n">
        <v>13485</v>
      </c>
      <c r="U29" s="10" t="n">
        <v>15442</v>
      </c>
      <c r="V29" s="10" t="n">
        <v>16182</v>
      </c>
      <c r="W29" s="16" t="n">
        <f aca="false">H29-B29</f>
        <v>-1</v>
      </c>
      <c r="X29" s="11" t="n">
        <f aca="false">IF(P29&gt;0,S29/P29-1,"")</f>
        <v>-0.037818685973966</v>
      </c>
      <c r="Y29" s="11" t="n">
        <f aca="false">IF(P29&gt;0,V29/P29-1,"")</f>
        <v>0.246399137333436</v>
      </c>
    </row>
    <row r="30" customFormat="false" ht="15" hidden="false" customHeight="false" outlineLevel="0" collapsed="false">
      <c r="A30" s="9" t="s">
        <v>125</v>
      </c>
      <c r="B30" s="10" t="n">
        <v>88</v>
      </c>
      <c r="C30" s="10" t="n">
        <v>92</v>
      </c>
      <c r="D30" s="10" t="n">
        <v>96</v>
      </c>
      <c r="E30" s="10" t="n">
        <v>92</v>
      </c>
      <c r="F30" s="10" t="n">
        <v>87</v>
      </c>
      <c r="G30" s="10" t="n">
        <v>93</v>
      </c>
      <c r="H30" s="10" t="n">
        <v>92</v>
      </c>
      <c r="I30" s="10" t="n">
        <v>27609</v>
      </c>
      <c r="J30" s="10" t="n">
        <v>26605</v>
      </c>
      <c r="K30" s="10" t="n">
        <v>26537</v>
      </c>
      <c r="L30" s="10" t="n">
        <v>23295</v>
      </c>
      <c r="M30" s="10" t="n">
        <v>26940</v>
      </c>
      <c r="N30" s="10" t="n">
        <v>30988</v>
      </c>
      <c r="O30" s="10" t="n">
        <v>28606</v>
      </c>
      <c r="P30" s="10" t="n">
        <v>18989</v>
      </c>
      <c r="Q30" s="10" t="n">
        <v>17662</v>
      </c>
      <c r="R30" s="10" t="n">
        <v>17327</v>
      </c>
      <c r="S30" s="10" t="n">
        <v>16256</v>
      </c>
      <c r="T30" s="10" t="n">
        <v>18953</v>
      </c>
      <c r="U30" s="10" t="n">
        <v>21186</v>
      </c>
      <c r="V30" s="10" t="n">
        <v>21683</v>
      </c>
      <c r="W30" s="16" t="n">
        <f aca="false">H30-B30</f>
        <v>4</v>
      </c>
      <c r="X30" s="11" t="n">
        <f aca="false">IF(P30&gt;0,S30/P30-1,"")</f>
        <v>-0.143925430512402</v>
      </c>
      <c r="Y30" s="11" t="n">
        <f aca="false">IF(P30&gt;0,V30/P30-1,"")</f>
        <v>0.141871609879404</v>
      </c>
    </row>
    <row r="31" customFormat="false" ht="15" hidden="false" customHeight="false" outlineLevel="0" collapsed="false">
      <c r="A31" s="9" t="s">
        <v>170</v>
      </c>
      <c r="B31" s="10" t="n">
        <v>3</v>
      </c>
      <c r="C31" s="10" t="n">
        <v>2</v>
      </c>
      <c r="D31" s="10" t="n">
        <v>2</v>
      </c>
      <c r="E31" s="10" t="n">
        <v>1</v>
      </c>
      <c r="F31" s="10" t="n">
        <v>2</v>
      </c>
      <c r="G31" s="10" t="n">
        <v>2</v>
      </c>
      <c r="H31" s="10" t="n">
        <v>2</v>
      </c>
      <c r="I31" s="10" t="n">
        <v>2334</v>
      </c>
      <c r="J31" s="10" t="n">
        <v>2196</v>
      </c>
      <c r="K31" s="10" t="n">
        <v>1861</v>
      </c>
      <c r="L31" s="10" t="n">
        <v>2216</v>
      </c>
      <c r="M31" s="10" t="n">
        <v>2310</v>
      </c>
      <c r="N31" s="10" t="n">
        <v>2993</v>
      </c>
      <c r="O31" s="10" t="n">
        <v>3079</v>
      </c>
      <c r="P31" s="10" t="n">
        <v>2232</v>
      </c>
      <c r="Q31" s="10" t="n">
        <v>2136</v>
      </c>
      <c r="R31" s="10" t="n">
        <v>1835</v>
      </c>
      <c r="S31" s="10" t="n">
        <v>2216</v>
      </c>
      <c r="T31" s="10" t="n">
        <v>2280</v>
      </c>
      <c r="U31" s="10" t="n">
        <v>2951</v>
      </c>
      <c r="V31" s="10" t="n">
        <v>3019</v>
      </c>
      <c r="W31" s="16" t="n">
        <f aca="false">H31-B31</f>
        <v>-1</v>
      </c>
      <c r="X31" s="11" t="n">
        <f aca="false">IF(P31&gt;0,S31/P31-1,"")</f>
        <v>-0.00716845878136196</v>
      </c>
      <c r="Y31" s="11" t="n">
        <f aca="false">IF(P31&gt;0,V31/P31-1,"")</f>
        <v>0.352598566308244</v>
      </c>
    </row>
    <row r="32" customFormat="false" ht="15" hidden="false" customHeight="false" outlineLevel="0" collapsed="false">
      <c r="A32" s="9" t="s">
        <v>152</v>
      </c>
      <c r="B32" s="10" t="n">
        <v>118</v>
      </c>
      <c r="C32" s="10" t="n">
        <v>121</v>
      </c>
      <c r="D32" s="10" t="n">
        <v>117</v>
      </c>
      <c r="E32" s="10" t="n">
        <v>118</v>
      </c>
      <c r="F32" s="10" t="n">
        <v>124</v>
      </c>
      <c r="G32" s="10" t="n">
        <v>127</v>
      </c>
      <c r="H32" s="10" t="n">
        <v>124</v>
      </c>
      <c r="I32" s="10" t="n">
        <v>32578</v>
      </c>
      <c r="J32" s="10" t="n">
        <v>36508</v>
      </c>
      <c r="K32" s="10" t="n">
        <v>33489</v>
      </c>
      <c r="L32" s="10" t="n">
        <v>28788</v>
      </c>
      <c r="M32" s="10" t="n">
        <v>33515</v>
      </c>
      <c r="N32" s="10" t="n">
        <v>37460</v>
      </c>
      <c r="O32" s="10" t="n">
        <v>39377</v>
      </c>
      <c r="P32" s="10" t="n">
        <v>23835</v>
      </c>
      <c r="Q32" s="10" t="n">
        <v>26673</v>
      </c>
      <c r="R32" s="10" t="n">
        <v>25275</v>
      </c>
      <c r="S32" s="10" t="n">
        <v>23644</v>
      </c>
      <c r="T32" s="10" t="n">
        <v>27806</v>
      </c>
      <c r="U32" s="10" t="n">
        <v>30361</v>
      </c>
      <c r="V32" s="10" t="n">
        <v>31774</v>
      </c>
      <c r="W32" s="16" t="n">
        <f aca="false">H32-B32</f>
        <v>6</v>
      </c>
      <c r="X32" s="11" t="n">
        <f aca="false">IF(P32&gt;0,S32/P32-1,"")</f>
        <v>-0.00801342563457097</v>
      </c>
      <c r="Y32" s="11" t="n">
        <f aca="false">IF(P32&gt;0,V32/P32-1,"")</f>
        <v>0.333081602685127</v>
      </c>
    </row>
    <row r="33" customFormat="false" ht="15" hidden="false" customHeight="false" outlineLevel="0" collapsed="false">
      <c r="A33" s="9" t="s">
        <v>173</v>
      </c>
      <c r="B33" s="10" t="n">
        <v>101</v>
      </c>
      <c r="C33" s="10" t="n">
        <v>112</v>
      </c>
      <c r="D33" s="10" t="n">
        <v>106</v>
      </c>
      <c r="E33" s="10" t="n">
        <v>105</v>
      </c>
      <c r="F33" s="10" t="n">
        <v>105</v>
      </c>
      <c r="G33" s="10" t="n">
        <v>112</v>
      </c>
      <c r="H33" s="10" t="n">
        <v>106</v>
      </c>
      <c r="I33" s="10" t="n">
        <v>24293</v>
      </c>
      <c r="J33" s="10" t="n">
        <v>26235</v>
      </c>
      <c r="K33" s="10" t="n">
        <v>22304</v>
      </c>
      <c r="L33" s="10" t="n">
        <v>21735</v>
      </c>
      <c r="M33" s="10" t="n">
        <v>24622</v>
      </c>
      <c r="N33" s="10" t="n">
        <v>30274</v>
      </c>
      <c r="O33" s="10" t="n">
        <v>32550</v>
      </c>
      <c r="P33" s="10" t="n">
        <v>17558</v>
      </c>
      <c r="Q33" s="10" t="n">
        <v>18246</v>
      </c>
      <c r="R33" s="10" t="n">
        <v>16085</v>
      </c>
      <c r="S33" s="10" t="n">
        <v>14767</v>
      </c>
      <c r="T33" s="10" t="n">
        <v>16895</v>
      </c>
      <c r="U33" s="10" t="n">
        <v>19914</v>
      </c>
      <c r="V33" s="10" t="n">
        <v>22363</v>
      </c>
      <c r="W33" s="16" t="n">
        <f aca="false">H33-B33</f>
        <v>5</v>
      </c>
      <c r="X33" s="11" t="n">
        <f aca="false">IF(P33&gt;0,S33/P33-1,"")</f>
        <v>-0.15895887914341</v>
      </c>
      <c r="Y33" s="11" t="n">
        <f aca="false">IF(P33&gt;0,V33/P33-1,"")</f>
        <v>0.273664426472263</v>
      </c>
    </row>
    <row r="34" customFormat="false" ht="15" hidden="false" customHeight="false" outlineLevel="0" collapsed="false">
      <c r="A34" s="9" t="s">
        <v>134</v>
      </c>
      <c r="B34" s="10" t="n">
        <v>24</v>
      </c>
      <c r="C34" s="10" t="n">
        <v>22</v>
      </c>
      <c r="D34" s="10" t="n">
        <v>23</v>
      </c>
      <c r="E34" s="10" t="n">
        <v>24</v>
      </c>
      <c r="F34" s="10" t="n">
        <v>24</v>
      </c>
      <c r="G34" s="10" t="n">
        <v>25</v>
      </c>
      <c r="H34" s="10" t="n">
        <v>22</v>
      </c>
      <c r="I34" s="10" t="n">
        <v>5272</v>
      </c>
      <c r="J34" s="10" t="n">
        <v>5371</v>
      </c>
      <c r="K34" s="10" t="n">
        <v>4696</v>
      </c>
      <c r="L34" s="10" t="n">
        <v>4965</v>
      </c>
      <c r="M34" s="10" t="n">
        <v>5340</v>
      </c>
      <c r="N34" s="10" t="n">
        <v>5924</v>
      </c>
      <c r="O34" s="10" t="n">
        <v>5242</v>
      </c>
      <c r="P34" s="10" t="n">
        <v>3612</v>
      </c>
      <c r="Q34" s="10" t="n">
        <v>3876</v>
      </c>
      <c r="R34" s="10" t="n">
        <v>3261</v>
      </c>
      <c r="S34" s="10" t="n">
        <v>3241</v>
      </c>
      <c r="T34" s="10" t="n">
        <v>3648</v>
      </c>
      <c r="U34" s="10" t="n">
        <v>3728</v>
      </c>
      <c r="V34" s="10" t="n">
        <v>3568</v>
      </c>
      <c r="W34" s="16" t="n">
        <f aca="false">H34-B34</f>
        <v>-2</v>
      </c>
      <c r="X34" s="11" t="n">
        <f aca="false">IF(P34&gt;0,S34/P34-1,"")</f>
        <v>-0.102713178294574</v>
      </c>
      <c r="Y34" s="11" t="n">
        <f aca="false">IF(P34&gt;0,V34/P34-1,"")</f>
        <v>-0.0121816168327796</v>
      </c>
    </row>
    <row r="35" customFormat="false" ht="15" hidden="false" customHeight="false" outlineLevel="0" collapsed="false">
      <c r="A35" s="9" t="s">
        <v>128</v>
      </c>
      <c r="B35" s="10" t="n">
        <v>19</v>
      </c>
      <c r="C35" s="10" t="n">
        <v>18</v>
      </c>
      <c r="D35" s="10" t="n">
        <v>17</v>
      </c>
      <c r="E35" s="10" t="n">
        <v>14</v>
      </c>
      <c r="F35" s="10" t="n">
        <v>15</v>
      </c>
      <c r="G35" s="10" t="n">
        <v>15</v>
      </c>
      <c r="H35" s="10" t="n">
        <v>14</v>
      </c>
      <c r="I35" s="10" t="n">
        <v>3030</v>
      </c>
      <c r="J35" s="10" t="n">
        <v>2610</v>
      </c>
      <c r="K35" s="10" t="n">
        <v>2068</v>
      </c>
      <c r="L35" s="10" t="n">
        <v>1884</v>
      </c>
      <c r="M35" s="10" t="n">
        <v>1917</v>
      </c>
      <c r="N35" s="10" t="n">
        <v>2150</v>
      </c>
      <c r="O35" s="10" t="n">
        <v>2139</v>
      </c>
      <c r="P35" s="10" t="n">
        <v>1752</v>
      </c>
      <c r="Q35" s="10" t="n">
        <v>1443</v>
      </c>
      <c r="R35" s="10" t="n">
        <v>1283</v>
      </c>
      <c r="S35" s="10" t="n">
        <v>1408</v>
      </c>
      <c r="T35" s="10" t="n">
        <v>1428</v>
      </c>
      <c r="U35" s="10" t="n">
        <v>1627</v>
      </c>
      <c r="V35" s="10" t="n">
        <v>1658</v>
      </c>
      <c r="W35" s="16" t="n">
        <f aca="false">H35-B35</f>
        <v>-5</v>
      </c>
      <c r="X35" s="11" t="n">
        <f aca="false">IF(P35&gt;0,S35/P35-1,"")</f>
        <v>-0.19634703196347</v>
      </c>
      <c r="Y35" s="11" t="n">
        <f aca="false">IF(P35&gt;0,V35/P35-1,"")</f>
        <v>-0.0536529680365296</v>
      </c>
    </row>
    <row r="36" customFormat="false" ht="15" hidden="false" customHeight="false" outlineLevel="0" collapsed="false">
      <c r="A36" s="9" t="s">
        <v>102</v>
      </c>
      <c r="B36" s="10" t="n">
        <v>28</v>
      </c>
      <c r="C36" s="10" t="n">
        <v>29</v>
      </c>
      <c r="D36" s="10" t="n">
        <v>26</v>
      </c>
      <c r="E36" s="10" t="n">
        <v>25</v>
      </c>
      <c r="F36" s="10" t="n">
        <v>23</v>
      </c>
      <c r="G36" s="10" t="n">
        <v>24</v>
      </c>
      <c r="H36" s="10" t="n">
        <v>22</v>
      </c>
      <c r="I36" s="10" t="n">
        <v>2817</v>
      </c>
      <c r="J36" s="10" t="n">
        <v>2418</v>
      </c>
      <c r="K36" s="10" t="n">
        <v>2000</v>
      </c>
      <c r="L36" s="10" t="n">
        <v>1951</v>
      </c>
      <c r="M36" s="10" t="n">
        <v>1735</v>
      </c>
      <c r="N36" s="10" t="n">
        <v>3349</v>
      </c>
      <c r="O36" s="10" t="n">
        <v>2950</v>
      </c>
      <c r="P36" s="10" t="n">
        <v>1616</v>
      </c>
      <c r="Q36" s="10" t="n">
        <v>1486</v>
      </c>
      <c r="R36" s="10" t="n">
        <v>1280</v>
      </c>
      <c r="S36" s="10" t="n">
        <v>1258</v>
      </c>
      <c r="T36" s="10" t="n">
        <v>1321</v>
      </c>
      <c r="U36" s="10" t="n">
        <v>2258</v>
      </c>
      <c r="V36" s="10" t="n">
        <v>2160</v>
      </c>
      <c r="W36" s="16" t="n">
        <f aca="false">H36-B36</f>
        <v>-6</v>
      </c>
      <c r="X36" s="11" t="n">
        <f aca="false">IF(P36&gt;0,S36/P36-1,"")</f>
        <v>-0.221534653465347</v>
      </c>
      <c r="Y36" s="11" t="n">
        <f aca="false">IF(P36&gt;0,V36/P36-1,"")</f>
        <v>0.336633663366337</v>
      </c>
    </row>
    <row r="37" customFormat="false" ht="15" hidden="false" customHeight="false" outlineLevel="0" collapsed="false">
      <c r="A37" s="9" t="s">
        <v>197</v>
      </c>
      <c r="B37" s="10" t="n">
        <v>29</v>
      </c>
      <c r="C37" s="10" t="n">
        <v>34</v>
      </c>
      <c r="D37" s="10" t="n">
        <v>35</v>
      </c>
      <c r="E37" s="10" t="n">
        <v>31</v>
      </c>
      <c r="F37" s="10" t="n">
        <v>32</v>
      </c>
      <c r="G37" s="10" t="n">
        <v>34</v>
      </c>
      <c r="H37" s="10" t="n">
        <v>35</v>
      </c>
      <c r="I37" s="10" t="n">
        <v>5205</v>
      </c>
      <c r="J37" s="10" t="n">
        <v>8871</v>
      </c>
      <c r="K37" s="10" t="n">
        <v>7245</v>
      </c>
      <c r="L37" s="10" t="n">
        <v>7875</v>
      </c>
      <c r="M37" s="10" t="n">
        <v>8143</v>
      </c>
      <c r="N37" s="10" t="n">
        <v>9543</v>
      </c>
      <c r="O37" s="10" t="n">
        <v>10177</v>
      </c>
      <c r="P37" s="10" t="n">
        <v>2766</v>
      </c>
      <c r="Q37" s="10" t="n">
        <v>2813</v>
      </c>
      <c r="R37" s="10" t="n">
        <v>2518</v>
      </c>
      <c r="S37" s="10" t="n">
        <v>2536</v>
      </c>
      <c r="T37" s="10" t="n">
        <v>2876</v>
      </c>
      <c r="U37" s="10" t="n">
        <v>2975</v>
      </c>
      <c r="V37" s="10" t="n">
        <v>3203</v>
      </c>
      <c r="W37" s="16" t="n">
        <f aca="false">H37-B37</f>
        <v>6</v>
      </c>
      <c r="X37" s="11" t="n">
        <f aca="false">IF(P37&gt;0,S37/P37-1,"")</f>
        <v>-0.0831525668835864</v>
      </c>
      <c r="Y37" s="11" t="n">
        <f aca="false">IF(P37&gt;0,V37/P37-1,"")</f>
        <v>0.157989877078814</v>
      </c>
    </row>
    <row r="38" customFormat="false" ht="15" hidden="false" customHeight="false" outlineLevel="0" collapsed="false">
      <c r="A38" s="9" t="s">
        <v>156</v>
      </c>
      <c r="B38" s="10" t="n">
        <v>26</v>
      </c>
      <c r="C38" s="10" t="n">
        <v>30</v>
      </c>
      <c r="D38" s="10" t="n">
        <v>31</v>
      </c>
      <c r="E38" s="10" t="n">
        <v>30</v>
      </c>
      <c r="F38" s="10" t="n">
        <v>31</v>
      </c>
      <c r="G38" s="10" t="n">
        <v>28</v>
      </c>
      <c r="H38" s="10" t="n">
        <v>27</v>
      </c>
      <c r="I38" s="10" t="n">
        <v>3603</v>
      </c>
      <c r="J38" s="10" t="n">
        <v>4212</v>
      </c>
      <c r="K38" s="10" t="n">
        <v>4015</v>
      </c>
      <c r="L38" s="10" t="n">
        <v>4526</v>
      </c>
      <c r="M38" s="10" t="n">
        <v>4494</v>
      </c>
      <c r="N38" s="10" t="n">
        <v>5055</v>
      </c>
      <c r="O38" s="10" t="n">
        <v>4587</v>
      </c>
      <c r="P38" s="10" t="n">
        <v>1538</v>
      </c>
      <c r="Q38" s="10" t="n">
        <v>1493</v>
      </c>
      <c r="R38" s="10" t="n">
        <v>1355</v>
      </c>
      <c r="S38" s="10" t="n">
        <v>1419</v>
      </c>
      <c r="T38" s="10" t="n">
        <v>1576</v>
      </c>
      <c r="U38" s="10" t="n">
        <v>2029</v>
      </c>
      <c r="V38" s="10" t="n">
        <v>1779</v>
      </c>
      <c r="W38" s="16" t="n">
        <f aca="false">H38-B38</f>
        <v>1</v>
      </c>
      <c r="X38" s="11" t="n">
        <f aca="false">IF(P38&gt;0,S38/P38-1,"")</f>
        <v>-0.077373211963589</v>
      </c>
      <c r="Y38" s="11" t="n">
        <f aca="false">IF(P38&gt;0,V38/P38-1,"")</f>
        <v>0.156697009102731</v>
      </c>
    </row>
    <row r="39" customFormat="false" ht="15" hidden="false" customHeight="false" outlineLevel="0" collapsed="false">
      <c r="A39" s="9" t="s">
        <v>108</v>
      </c>
      <c r="B39" s="10" t="n">
        <v>10</v>
      </c>
      <c r="C39" s="10" t="n">
        <v>10</v>
      </c>
      <c r="D39" s="10" t="n">
        <v>10</v>
      </c>
      <c r="E39" s="10" t="n">
        <v>10</v>
      </c>
      <c r="F39" s="10" t="n">
        <v>11</v>
      </c>
      <c r="G39" s="10" t="n">
        <v>11</v>
      </c>
      <c r="H39" s="10" t="n">
        <v>9</v>
      </c>
      <c r="I39" s="10" t="n">
        <v>1055</v>
      </c>
      <c r="J39" s="10" t="n">
        <v>871</v>
      </c>
      <c r="K39" s="10" t="n">
        <v>837</v>
      </c>
      <c r="L39" s="10" t="n">
        <v>831</v>
      </c>
      <c r="M39" s="10" t="n">
        <v>952</v>
      </c>
      <c r="N39" s="10" t="n">
        <v>1183</v>
      </c>
      <c r="O39" s="10" t="n">
        <v>1138</v>
      </c>
      <c r="P39" s="10" t="n">
        <v>873</v>
      </c>
      <c r="Q39" s="10" t="n">
        <v>723</v>
      </c>
      <c r="R39" s="10" t="n">
        <v>743</v>
      </c>
      <c r="S39" s="10" t="n">
        <v>707</v>
      </c>
      <c r="T39" s="10" t="n">
        <v>703</v>
      </c>
      <c r="U39" s="10" t="n">
        <v>710</v>
      </c>
      <c r="V39" s="10" t="n">
        <v>930</v>
      </c>
      <c r="W39" s="16" t="n">
        <f aca="false">H39-B39</f>
        <v>-1</v>
      </c>
      <c r="X39" s="11" t="n">
        <f aca="false">IF(P39&gt;0,S39/P39-1,"")</f>
        <v>-0.190148911798396</v>
      </c>
      <c r="Y39" s="11" t="n">
        <f aca="false">IF(P39&gt;0,V39/P39-1,"")</f>
        <v>0.0652920962199313</v>
      </c>
    </row>
    <row r="40" customFormat="false" ht="15" hidden="false" customHeight="false" outlineLevel="0" collapsed="false">
      <c r="A40" s="9" t="s">
        <v>121</v>
      </c>
      <c r="B40" s="10" t="n">
        <v>21</v>
      </c>
      <c r="C40" s="10" t="n">
        <v>26</v>
      </c>
      <c r="D40" s="10" t="n">
        <v>25</v>
      </c>
      <c r="E40" s="10" t="n">
        <v>25</v>
      </c>
      <c r="F40" s="10" t="n">
        <v>23</v>
      </c>
      <c r="G40" s="10" t="n">
        <v>22</v>
      </c>
      <c r="H40" s="10" t="n">
        <v>24</v>
      </c>
      <c r="I40" s="10" t="n">
        <v>7854</v>
      </c>
      <c r="J40" s="10" t="n">
        <v>8955</v>
      </c>
      <c r="K40" s="10" t="n">
        <v>8268</v>
      </c>
      <c r="L40" s="10" t="n">
        <v>6751</v>
      </c>
      <c r="M40" s="10" t="n">
        <v>6733</v>
      </c>
      <c r="N40" s="10" t="n">
        <v>7086</v>
      </c>
      <c r="O40" s="10" t="n">
        <v>8698</v>
      </c>
      <c r="P40" s="10" t="n">
        <v>7230</v>
      </c>
      <c r="Q40" s="10" t="n">
        <v>7197</v>
      </c>
      <c r="R40" s="10" t="n">
        <v>6583</v>
      </c>
      <c r="S40" s="10" t="n">
        <v>5174</v>
      </c>
      <c r="T40" s="10" t="n">
        <v>6041</v>
      </c>
      <c r="U40" s="10" t="n">
        <v>6342</v>
      </c>
      <c r="V40" s="10" t="n">
        <v>6208</v>
      </c>
      <c r="W40" s="16" t="n">
        <f aca="false">H40-B40</f>
        <v>3</v>
      </c>
      <c r="X40" s="11" t="n">
        <f aca="false">IF(P40&gt;0,S40/P40-1,"")</f>
        <v>-0.284370677731674</v>
      </c>
      <c r="Y40" s="11" t="n">
        <f aca="false">IF(P40&gt;0,V40/P40-1,"")</f>
        <v>-0.141355463347165</v>
      </c>
    </row>
    <row r="41" customFormat="false" ht="15" hidden="false" customHeight="false" outlineLevel="0" collapsed="false">
      <c r="A41" s="5" t="s">
        <v>491</v>
      </c>
      <c r="B41" s="13" t="n">
        <f aca="false">SUM(B29:B40)</f>
        <v>542</v>
      </c>
      <c r="C41" s="13" t="n">
        <f aca="false">SUM(C29:C40)</f>
        <v>574</v>
      </c>
      <c r="D41" s="13" t="n">
        <f aca="false">SUM(D29:D40)</f>
        <v>571</v>
      </c>
      <c r="E41" s="13" t="n">
        <f aca="false">SUM(E29:E40)</f>
        <v>552</v>
      </c>
      <c r="F41" s="13" t="n">
        <f aca="false">SUM(F29:F40)</f>
        <v>553</v>
      </c>
      <c r="G41" s="13" t="n">
        <f aca="false">SUM(G29:G40)</f>
        <v>569</v>
      </c>
      <c r="H41" s="13" t="n">
        <f aca="false">SUM(H29:H40)</f>
        <v>551</v>
      </c>
      <c r="I41" s="13" t="n">
        <f aca="false">SUM(I29:I40)</f>
        <v>134103</v>
      </c>
      <c r="J41" s="13" t="n">
        <f aca="false">SUM(J29:J40)</f>
        <v>143678</v>
      </c>
      <c r="K41" s="13" t="n">
        <f aca="false">SUM(K29:K40)</f>
        <v>131605</v>
      </c>
      <c r="L41" s="13" t="n">
        <f aca="false">SUM(L29:L40)</f>
        <v>122840</v>
      </c>
      <c r="M41" s="13" t="n">
        <f aca="false">SUM(M29:M40)</f>
        <v>135863</v>
      </c>
      <c r="N41" s="13" t="n">
        <f aca="false">SUM(N29:N40)</f>
        <v>157891</v>
      </c>
      <c r="O41" s="13" t="n">
        <f aca="false">SUM(O29:O40)</f>
        <v>159975</v>
      </c>
      <c r="P41" s="13" t="n">
        <f aca="false">SUM(P29:P40)</f>
        <v>94984</v>
      </c>
      <c r="Q41" s="13" t="n">
        <f aca="false">SUM(Q29:Q40)</f>
        <v>96662</v>
      </c>
      <c r="R41" s="13" t="n">
        <f aca="false">SUM(R29:R40)</f>
        <v>89386</v>
      </c>
      <c r="S41" s="13" t="n">
        <f aca="false">SUM(S29:S40)</f>
        <v>85118</v>
      </c>
      <c r="T41" s="13" t="n">
        <f aca="false">SUM(T29:T40)</f>
        <v>97012</v>
      </c>
      <c r="U41" s="13" t="n">
        <f aca="false">SUM(U29:U40)</f>
        <v>109523</v>
      </c>
      <c r="V41" s="13" t="n">
        <f aca="false">SUM(V29:V40)</f>
        <v>114527</v>
      </c>
      <c r="W41" s="17" t="n">
        <f aca="false">H41-B41</f>
        <v>9</v>
      </c>
      <c r="X41" s="14" t="n">
        <f aca="false">S41/P41-1</f>
        <v>-0.10387012549482</v>
      </c>
      <c r="Y41" s="14" t="n">
        <f aca="false">V41/P41-1</f>
        <v>0.205750442179736</v>
      </c>
    </row>
    <row r="44" customFormat="false" ht="15" hidden="false" customHeight="false" outlineLevel="0" collapsed="false">
      <c r="A44" s="2" t="s">
        <v>1219</v>
      </c>
    </row>
    <row r="45" customFormat="false" ht="15" hidden="false" customHeight="false" outlineLevel="0" collapsed="false">
      <c r="A45" s="2" t="s">
        <v>1220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1221</v>
      </c>
    </row>
    <row r="2" customFormat="false" ht="15" hidden="false" customHeight="false" outlineLevel="0" collapsed="false">
      <c r="A2" s="2" t="s">
        <v>1222</v>
      </c>
    </row>
    <row r="4" customFormat="false" ht="42" hidden="false" customHeight="true" outlineLevel="0" collapsed="false">
      <c r="A4" s="8" t="s">
        <v>1223</v>
      </c>
      <c r="B4" s="8" t="s">
        <v>1224</v>
      </c>
      <c r="C4" s="8" t="s">
        <v>1225</v>
      </c>
      <c r="D4" s="8" t="s">
        <v>1226</v>
      </c>
      <c r="E4" s="8" t="s">
        <v>1227</v>
      </c>
      <c r="F4" s="8" t="s">
        <v>1228</v>
      </c>
      <c r="G4" s="8" t="s">
        <v>1229</v>
      </c>
      <c r="H4" s="8" t="s">
        <v>1230</v>
      </c>
      <c r="I4" s="8" t="s">
        <v>1231</v>
      </c>
      <c r="J4" s="8" t="s">
        <v>1232</v>
      </c>
      <c r="K4" s="8" t="s">
        <v>1233</v>
      </c>
      <c r="L4" s="8" t="s">
        <v>1234</v>
      </c>
      <c r="M4" s="8" t="s">
        <v>1235</v>
      </c>
      <c r="N4" s="8" t="s">
        <v>1236</v>
      </c>
    </row>
    <row r="5" customFormat="false" ht="15" hidden="false" customHeight="false" outlineLevel="0" collapsed="false">
      <c r="A5" s="9" t="s">
        <v>1237</v>
      </c>
      <c r="B5" s="10" t="n">
        <v>489</v>
      </c>
      <c r="C5" s="10" t="n">
        <v>148</v>
      </c>
      <c r="D5" s="11" t="n">
        <f aca="false">IF(AND(ISNUMBER(B5),ISNUMBER(C5),N(B5)&gt;0),C5/B5,"")</f>
        <v>0.302658486707566</v>
      </c>
      <c r="E5" s="10" t="n">
        <v>429</v>
      </c>
      <c r="F5" s="10" t="n">
        <v>118</v>
      </c>
      <c r="G5" s="11" t="n">
        <f aca="false">IF(AND(ISNUMBER(E5),ISNUMBER(F5),N(E5)&gt;0),F5/E5,"")</f>
        <v>0.275058275058275</v>
      </c>
      <c r="H5" s="10" t="n">
        <v>421</v>
      </c>
      <c r="I5" s="10" t="n">
        <v>125</v>
      </c>
      <c r="J5" s="11" t="n">
        <f aca="false">IF(AND(ISNUMBER(H5),ISNUMBER(I5),N(H5)&gt;0),I5/H5,"")</f>
        <v>0.296912114014252</v>
      </c>
      <c r="K5" s="10" t="n">
        <v>424</v>
      </c>
      <c r="L5" s="10" t="n">
        <v>91</v>
      </c>
      <c r="M5" s="11" t="n">
        <f aca="false">IF(AND(ISNUMBER(K5),ISNUMBER(L5),N(K5)&gt;0),L5/K5,"")</f>
        <v>0.214622641509434</v>
      </c>
      <c r="N5" s="10" t="n">
        <v>1</v>
      </c>
    </row>
    <row r="6" customFormat="false" ht="15" hidden="false" customHeight="false" outlineLevel="0" collapsed="false">
      <c r="A6" s="9" t="s">
        <v>1238</v>
      </c>
      <c r="B6" s="10" t="n">
        <v>5719</v>
      </c>
      <c r="C6" s="10" t="n">
        <v>2754</v>
      </c>
      <c r="D6" s="11" t="n">
        <f aca="false">IF(AND(ISNUMBER(B6),ISNUMBER(C6),N(B6)&gt;0),C6/B6,"")</f>
        <v>0.481552719006819</v>
      </c>
      <c r="E6" s="10" t="n">
        <v>5716</v>
      </c>
      <c r="F6" s="10" t="n">
        <v>2802</v>
      </c>
      <c r="G6" s="11" t="n">
        <f aca="false">IF(AND(ISNUMBER(E6),ISNUMBER(F6),N(E6)&gt;0),F6/E6,"")</f>
        <v>0.490202939118265</v>
      </c>
      <c r="H6" s="10" t="n">
        <v>5971</v>
      </c>
      <c r="I6" s="10" t="n">
        <v>2925</v>
      </c>
      <c r="J6" s="11" t="n">
        <f aca="false">IF(AND(ISNUMBER(H6),ISNUMBER(I6),N(H6)&gt;0),I6/H6,"")</f>
        <v>0.489867693853626</v>
      </c>
      <c r="K6" s="10" t="n">
        <v>6271</v>
      </c>
      <c r="L6" s="10" t="n">
        <v>3082</v>
      </c>
      <c r="M6" s="11" t="n">
        <f aca="false">IF(AND(ISNUMBER(K6),ISNUMBER(L6),N(K6)&gt;0),L6/K6,"")</f>
        <v>0.491468665284644</v>
      </c>
      <c r="N6" s="10" t="n">
        <v>19</v>
      </c>
    </row>
    <row r="7" customFormat="false" ht="15" hidden="false" customHeight="false" outlineLevel="0" collapsed="false">
      <c r="A7" s="9" t="s">
        <v>1239</v>
      </c>
      <c r="B7" s="10" t="n">
        <v>600</v>
      </c>
      <c r="C7" s="10" t="n">
        <v>260</v>
      </c>
      <c r="D7" s="11" t="n">
        <f aca="false">IF(AND(ISNUMBER(B7),ISNUMBER(C7),N(B7)&gt;0),C7/B7,"")</f>
        <v>0.433333333333333</v>
      </c>
      <c r="E7" s="10" t="n">
        <v>640</v>
      </c>
      <c r="F7" s="10" t="n">
        <v>263</v>
      </c>
      <c r="G7" s="11" t="n">
        <f aca="false">IF(AND(ISNUMBER(E7),ISNUMBER(F7),N(E7)&gt;0),F7/E7,"")</f>
        <v>0.4109375</v>
      </c>
      <c r="H7" s="10" t="n">
        <v>650</v>
      </c>
      <c r="I7" s="10" t="n">
        <v>300</v>
      </c>
      <c r="J7" s="11" t="n">
        <f aca="false">IF(AND(ISNUMBER(H7),ISNUMBER(I7),N(H7)&gt;0),I7/H7,"")</f>
        <v>0.461538461538462</v>
      </c>
      <c r="K7" s="10" t="n">
        <v>650</v>
      </c>
      <c r="L7" s="10" t="n">
        <v>300</v>
      </c>
      <c r="M7" s="11" t="n">
        <f aca="false">IF(AND(ISNUMBER(K7),ISNUMBER(L7),N(K7)&gt;0),L7/K7,"")</f>
        <v>0.461538461538462</v>
      </c>
      <c r="N7" s="10" t="n">
        <v>2</v>
      </c>
    </row>
    <row r="8" customFormat="false" ht="15" hidden="false" customHeight="false" outlineLevel="0" collapsed="false">
      <c r="A8" s="9" t="s">
        <v>1240</v>
      </c>
      <c r="B8" s="10" t="n">
        <v>3458</v>
      </c>
      <c r="C8" s="10" t="n">
        <v>1264</v>
      </c>
      <c r="D8" s="11" t="n">
        <f aca="false">IF(AND(ISNUMBER(B8),ISNUMBER(C8),N(B8)&gt;0),C8/B8,"")</f>
        <v>0.365529207634471</v>
      </c>
      <c r="E8" s="10" t="n">
        <v>3705</v>
      </c>
      <c r="F8" s="10" t="n">
        <v>1346</v>
      </c>
      <c r="G8" s="11" t="n">
        <f aca="false">IF(AND(ISNUMBER(E8),ISNUMBER(F8),N(E8)&gt;0),F8/E8,"")</f>
        <v>0.363292847503374</v>
      </c>
      <c r="H8" s="10" t="n">
        <v>4574</v>
      </c>
      <c r="I8" s="10" t="n">
        <v>1619</v>
      </c>
      <c r="J8" s="11" t="n">
        <f aca="false">IF(AND(ISNUMBER(H8),ISNUMBER(I8),N(H8)&gt;0),I8/H8,"")</f>
        <v>0.353957149103629</v>
      </c>
      <c r="K8" s="10" t="n">
        <v>4823</v>
      </c>
      <c r="L8" s="10" t="n">
        <v>1692</v>
      </c>
      <c r="M8" s="11" t="n">
        <f aca="false">IF(AND(ISNUMBER(K8),ISNUMBER(L8),N(K8)&gt;0),L8/K8,"")</f>
        <v>0.350818992328426</v>
      </c>
      <c r="N8" s="10" t="n">
        <v>2</v>
      </c>
    </row>
    <row r="9" customFormat="false" ht="15" hidden="false" customHeight="false" outlineLevel="0" collapsed="false">
      <c r="A9" s="9" t="s">
        <v>1241</v>
      </c>
      <c r="B9" s="10" t="n">
        <v>9828</v>
      </c>
      <c r="C9" s="10" t="n">
        <v>2802</v>
      </c>
      <c r="D9" s="11" t="n">
        <f aca="false">IF(AND(ISNUMBER(B9),ISNUMBER(C9),N(B9)&gt;0),C9/B9,"")</f>
        <v>0.285103785103785</v>
      </c>
      <c r="E9" s="10" t="n">
        <v>9890</v>
      </c>
      <c r="F9" s="10" t="n">
        <v>2786</v>
      </c>
      <c r="G9" s="11" t="n">
        <f aca="false">IF(AND(ISNUMBER(E9),ISNUMBER(F9),N(E9)&gt;0),F9/E9,"")</f>
        <v>0.28169868554095</v>
      </c>
      <c r="H9" s="10" t="n">
        <v>10309</v>
      </c>
      <c r="I9" s="10" t="n">
        <v>2909</v>
      </c>
      <c r="J9" s="11" t="n">
        <f aca="false">IF(AND(ISNUMBER(H9),ISNUMBER(I9),N(H9)&gt;0),I9/H9,"")</f>
        <v>0.28218061887671</v>
      </c>
      <c r="K9" s="10" t="n">
        <v>10024</v>
      </c>
      <c r="L9" s="10" t="n">
        <v>2145</v>
      </c>
      <c r="M9" s="11" t="n">
        <f aca="false">IF(AND(ISNUMBER(K9),ISNUMBER(L9),N(K9)&gt;0),L9/K9,"")</f>
        <v>0.213986432561852</v>
      </c>
      <c r="N9" s="10" t="n">
        <v>0</v>
      </c>
    </row>
    <row r="10" customFormat="false" ht="15" hidden="false" customHeight="false" outlineLevel="0" collapsed="false">
      <c r="A10" s="9" t="s">
        <v>1242</v>
      </c>
      <c r="B10" s="10" t="n">
        <v>301</v>
      </c>
      <c r="C10" s="10" t="n">
        <v>29</v>
      </c>
      <c r="D10" s="11" t="n">
        <f aca="false">IF(AND(ISNUMBER(B10),ISNUMBER(C10),N(B10)&gt;0),C10/B10,"")</f>
        <v>0.0963455149501661</v>
      </c>
      <c r="E10" s="10" t="n">
        <v>327</v>
      </c>
      <c r="F10" s="10" t="n">
        <v>30</v>
      </c>
      <c r="G10" s="11" t="n">
        <f aca="false">IF(AND(ISNUMBER(E10),ISNUMBER(F10),N(E10)&gt;0),F10/E10,"")</f>
        <v>0.0917431192660551</v>
      </c>
      <c r="H10" s="10" t="n">
        <v>324</v>
      </c>
      <c r="I10" s="10" t="n">
        <v>27</v>
      </c>
      <c r="J10" s="11" t="n">
        <f aca="false">IF(AND(ISNUMBER(H10),ISNUMBER(I10),N(H10)&gt;0),I10/H10,"")</f>
        <v>0.0833333333333333</v>
      </c>
      <c r="K10" s="10" t="n">
        <v>312</v>
      </c>
      <c r="L10" s="10" t="n">
        <v>21</v>
      </c>
      <c r="M10" s="11" t="n">
        <f aca="false">IF(AND(ISNUMBER(K10),ISNUMBER(L10),N(K10)&gt;0),L10/K10,"")</f>
        <v>0.0673076923076923</v>
      </c>
      <c r="N10" s="10" t="n">
        <v>2</v>
      </c>
    </row>
    <row r="11" customFormat="false" ht="15" hidden="false" customHeight="false" outlineLevel="0" collapsed="false">
      <c r="A11" s="9" t="s">
        <v>1243</v>
      </c>
      <c r="B11" s="10" t="n">
        <v>795</v>
      </c>
      <c r="C11" s="10" t="n">
        <v>213</v>
      </c>
      <c r="D11" s="11" t="n">
        <f aca="false">IF(AND(ISNUMBER(B11),ISNUMBER(C11),N(B11)&gt;0),C11/B11,"")</f>
        <v>0.267924528301887</v>
      </c>
      <c r="E11" s="10" t="n">
        <v>808</v>
      </c>
      <c r="F11" s="10" t="n">
        <v>180</v>
      </c>
      <c r="G11" s="11" t="n">
        <f aca="false">IF(AND(ISNUMBER(E11),ISNUMBER(F11),N(E11)&gt;0),F11/E11,"")</f>
        <v>0.222772277227723</v>
      </c>
      <c r="H11" s="10" t="n">
        <v>876</v>
      </c>
      <c r="I11" s="10" t="n">
        <v>236</v>
      </c>
      <c r="J11" s="11" t="n">
        <f aca="false">IF(AND(ISNUMBER(H11),ISNUMBER(I11),N(H11)&gt;0),I11/H11,"")</f>
        <v>0.269406392694064</v>
      </c>
      <c r="K11" s="10" t="n">
        <v>851</v>
      </c>
      <c r="L11" s="10" t="n">
        <v>217</v>
      </c>
      <c r="M11" s="11" t="n">
        <f aca="false">IF(AND(ISNUMBER(K11),ISNUMBER(L11),N(K11)&gt;0),L11/K11,"")</f>
        <v>0.254994124559342</v>
      </c>
      <c r="N11" s="10" t="n">
        <v>1</v>
      </c>
    </row>
    <row r="12" customFormat="false" ht="15" hidden="false" customHeight="false" outlineLevel="0" collapsed="false">
      <c r="A12" s="9" t="s">
        <v>1244</v>
      </c>
      <c r="B12" s="10" t="n">
        <v>11567</v>
      </c>
      <c r="C12" s="10" t="n">
        <v>3690</v>
      </c>
      <c r="D12" s="11" t="n">
        <f aca="false">IF(AND(ISNUMBER(B12),ISNUMBER(C12),N(B12)&gt;0),C12/B12,"")</f>
        <v>0.319010979510677</v>
      </c>
      <c r="E12" s="10" t="n">
        <v>11593</v>
      </c>
      <c r="F12" s="10" t="n">
        <v>3777</v>
      </c>
      <c r="G12" s="11" t="n">
        <f aca="false">IF(AND(ISNUMBER(E12),ISNUMBER(F12),N(E12)&gt;0),F12/E12,"")</f>
        <v>0.32580005175537</v>
      </c>
      <c r="H12" s="10" t="n">
        <v>12088</v>
      </c>
      <c r="I12" s="10" t="n">
        <v>4382</v>
      </c>
      <c r="J12" s="11" t="n">
        <f aca="false">IF(AND(ISNUMBER(H12),ISNUMBER(I12),N(H12)&gt;0),I12/H12,"")</f>
        <v>0.362508272667108</v>
      </c>
      <c r="K12" s="10" t="n">
        <v>12589</v>
      </c>
      <c r="L12" s="10" t="n">
        <v>4046</v>
      </c>
      <c r="M12" s="11" t="n">
        <f aca="false">IF(AND(ISNUMBER(K12),ISNUMBER(L12),N(K12)&gt;0),L12/K12,"")</f>
        <v>0.321391691158948</v>
      </c>
      <c r="N12" s="10" t="n">
        <v>9</v>
      </c>
    </row>
    <row r="13" customFormat="false" ht="15" hidden="false" customHeight="false" outlineLevel="0" collapsed="false">
      <c r="A13" s="9" t="s">
        <v>1245</v>
      </c>
      <c r="B13" s="10" t="n">
        <v>55</v>
      </c>
      <c r="C13" s="10" t="n">
        <v>12</v>
      </c>
      <c r="D13" s="11" t="n">
        <f aca="false">IF(AND(ISNUMBER(B13),ISNUMBER(C13),N(B13)&gt;0),C13/B13,"")</f>
        <v>0.218181818181818</v>
      </c>
      <c r="E13" s="10" t="n">
        <v>60</v>
      </c>
      <c r="F13" s="10" t="n">
        <v>14</v>
      </c>
      <c r="G13" s="11" t="n">
        <f aca="false">IF(AND(ISNUMBER(E13),ISNUMBER(F13),N(E13)&gt;0),F13/E13,"")</f>
        <v>0.233333333333333</v>
      </c>
      <c r="H13" s="10" t="n">
        <v>55</v>
      </c>
      <c r="I13" s="10" t="n">
        <v>12</v>
      </c>
      <c r="J13" s="11" t="n">
        <f aca="false">IF(AND(ISNUMBER(H13),ISNUMBER(I13),N(H13)&gt;0),I13/H13,"")</f>
        <v>0.218181818181818</v>
      </c>
      <c r="K13" s="10" t="n">
        <v>64</v>
      </c>
      <c r="L13" s="10" t="n">
        <v>22</v>
      </c>
      <c r="M13" s="11" t="n">
        <f aca="false">IF(AND(ISNUMBER(K13),ISNUMBER(L13),N(K13)&gt;0),L13/K13,"")</f>
        <v>0.34375</v>
      </c>
      <c r="N13" s="10" t="n">
        <v>15</v>
      </c>
    </row>
    <row r="14" customFormat="false" ht="15" hidden="false" customHeight="false" outlineLevel="0" collapsed="false">
      <c r="A14" s="9" t="s">
        <v>1246</v>
      </c>
      <c r="B14" s="10" t="n">
        <v>1043</v>
      </c>
      <c r="C14" s="10" t="n">
        <v>78</v>
      </c>
      <c r="D14" s="11" t="n">
        <f aca="false">IF(AND(ISNUMBER(B14),ISNUMBER(C14),N(B14)&gt;0),C14/B14,"")</f>
        <v>0.074784276126558</v>
      </c>
      <c r="E14" s="10" t="n">
        <v>991</v>
      </c>
      <c r="F14" s="10" t="n">
        <v>98</v>
      </c>
      <c r="G14" s="11" t="n">
        <f aca="false">IF(AND(ISNUMBER(E14),ISNUMBER(F14),N(E14)&gt;0),F14/E14,"")</f>
        <v>0.0988900100908174</v>
      </c>
      <c r="H14" s="10" t="n">
        <v>1070</v>
      </c>
      <c r="I14" s="10" t="n">
        <v>106</v>
      </c>
      <c r="J14" s="11" t="n">
        <f aca="false">IF(AND(ISNUMBER(H14),ISNUMBER(I14),N(H14)&gt;0),I14/H14,"")</f>
        <v>0.0990654205607477</v>
      </c>
      <c r="K14" s="10" t="n">
        <v>1100</v>
      </c>
      <c r="L14" s="10" t="n">
        <v>114</v>
      </c>
      <c r="M14" s="11" t="n">
        <f aca="false">IF(AND(ISNUMBER(K14),ISNUMBER(L14),N(K14)&gt;0),L14/K14,"")</f>
        <v>0.103636363636364</v>
      </c>
      <c r="N14" s="10" t="n">
        <v>5</v>
      </c>
    </row>
    <row r="15" customFormat="false" ht="15" hidden="false" customHeight="false" outlineLevel="0" collapsed="false">
      <c r="A15" s="9" t="s">
        <v>1247</v>
      </c>
      <c r="B15" s="10" t="n">
        <v>1055</v>
      </c>
      <c r="C15" s="10" t="n">
        <v>211</v>
      </c>
      <c r="D15" s="11" t="n">
        <f aca="false">IF(AND(ISNUMBER(B15),ISNUMBER(C15),N(B15)&gt;0),C15/B15,"")</f>
        <v>0.2</v>
      </c>
      <c r="E15" s="10" t="n">
        <v>1113</v>
      </c>
      <c r="F15" s="10" t="n">
        <v>234</v>
      </c>
      <c r="G15" s="11" t="n">
        <f aca="false">IF(AND(ISNUMBER(E15),ISNUMBER(F15),N(E15)&gt;0),F15/E15,"")</f>
        <v>0.210242587601078</v>
      </c>
      <c r="H15" s="10" t="n">
        <v>1048</v>
      </c>
      <c r="I15" s="10" t="n">
        <v>212</v>
      </c>
      <c r="J15" s="11" t="n">
        <f aca="false">IF(AND(ISNUMBER(H15),ISNUMBER(I15),N(H15)&gt;0),I15/H15,"")</f>
        <v>0.202290076335878</v>
      </c>
      <c r="K15" s="10" t="n">
        <v>1068</v>
      </c>
      <c r="L15" s="10" t="n">
        <v>220</v>
      </c>
      <c r="M15" s="11" t="n">
        <f aca="false">IF(AND(ISNUMBER(K15),ISNUMBER(L15),N(K15)&gt;0),L15/K15,"")</f>
        <v>0.205992509363296</v>
      </c>
      <c r="N15" s="10" t="n">
        <v>3</v>
      </c>
    </row>
    <row r="16" customFormat="false" ht="15" hidden="false" customHeight="false" outlineLevel="0" collapsed="false">
      <c r="A16" s="9" t="s">
        <v>1248</v>
      </c>
      <c r="B16" s="10" t="n">
        <v>1315</v>
      </c>
      <c r="C16" s="10" t="n">
        <v>221</v>
      </c>
      <c r="D16" s="11" t="n">
        <f aca="false">IF(AND(ISNUMBER(B16),ISNUMBER(C16),N(B16)&gt;0),C16/B16,"")</f>
        <v>0.168060836501901</v>
      </c>
      <c r="E16" s="10" t="n">
        <v>1519</v>
      </c>
      <c r="F16" s="10" t="n">
        <v>266</v>
      </c>
      <c r="G16" s="11" t="n">
        <f aca="false">IF(AND(ISNUMBER(E16),ISNUMBER(F16),N(E16)&gt;0),F16/E16,"")</f>
        <v>0.175115207373272</v>
      </c>
      <c r="H16" s="10" t="n">
        <v>2014</v>
      </c>
      <c r="I16" s="10" t="n">
        <v>402</v>
      </c>
      <c r="J16" s="11" t="n">
        <f aca="false">IF(AND(ISNUMBER(H16),ISNUMBER(I16),N(H16)&gt;0),I16/H16,"")</f>
        <v>0.199602780536246</v>
      </c>
      <c r="K16" s="10" t="n">
        <v>2093</v>
      </c>
      <c r="L16" s="10" t="n">
        <v>413</v>
      </c>
      <c r="M16" s="11" t="n">
        <f aca="false">IF(AND(ISNUMBER(K16),ISNUMBER(L16),N(K16)&gt;0),L16/K16,"")</f>
        <v>0.197324414715719</v>
      </c>
      <c r="N16" s="10" t="n">
        <v>1</v>
      </c>
    </row>
    <row r="17" customFormat="false" ht="15" hidden="false" customHeight="false" outlineLevel="0" collapsed="false">
      <c r="A17" s="9" t="s">
        <v>1249</v>
      </c>
      <c r="B17" s="10" t="n">
        <v>6955</v>
      </c>
      <c r="C17" s="10" t="n">
        <v>6332</v>
      </c>
      <c r="D17" s="11" t="n">
        <f aca="false">IF(AND(ISNUMBER(B17),ISNUMBER(C17),N(B17)&gt;0),C17/B17,"")</f>
        <v>0.910424155283968</v>
      </c>
      <c r="E17" s="10" t="n">
        <v>8167</v>
      </c>
      <c r="F17" s="10" t="n">
        <v>7495</v>
      </c>
      <c r="G17" s="11" t="n">
        <f aca="false">IF(AND(ISNUMBER(E17),ISNUMBER(F17),N(E17)&gt;0),F17/E17,"")</f>
        <v>0.917717644177789</v>
      </c>
      <c r="H17" s="10" t="n">
        <v>8596</v>
      </c>
      <c r="I17" s="10" t="n">
        <v>7885</v>
      </c>
      <c r="J17" s="11" t="n">
        <f aca="false">IF(AND(ISNUMBER(H17),ISNUMBER(I17),N(H17)&gt;0),I17/H17,"")</f>
        <v>0.917287110283853</v>
      </c>
      <c r="K17" s="10" t="n">
        <v>8683</v>
      </c>
      <c r="L17" s="10" t="n">
        <v>7941</v>
      </c>
      <c r="M17" s="11" t="n">
        <f aca="false">IF(AND(ISNUMBER(K17),ISNUMBER(L17),N(K17)&gt;0),L17/K17,"")</f>
        <v>0.914545663941034</v>
      </c>
      <c r="N17" s="10" t="n">
        <v>0</v>
      </c>
    </row>
    <row r="18" customFormat="false" ht="15" hidden="false" customHeight="false" outlineLevel="0" collapsed="false">
      <c r="A18" s="9" t="s">
        <v>1250</v>
      </c>
      <c r="B18" s="10" t="n">
        <v>9306</v>
      </c>
      <c r="C18" s="10" t="n">
        <v>7941</v>
      </c>
      <c r="D18" s="11" t="n">
        <f aca="false">IF(AND(ISNUMBER(B18),ISNUMBER(C18),N(B18)&gt;0),C18/B18,"")</f>
        <v>0.853320438426821</v>
      </c>
      <c r="E18" s="10" t="n">
        <v>8803</v>
      </c>
      <c r="F18" s="10" t="n">
        <v>7635</v>
      </c>
      <c r="G18" s="11" t="n">
        <f aca="false">IF(AND(ISNUMBER(E18),ISNUMBER(F18),N(E18)&gt;0),F18/E18,"")</f>
        <v>0.867317959786436</v>
      </c>
      <c r="H18" s="10" t="n">
        <v>8373</v>
      </c>
      <c r="I18" s="10" t="n">
        <v>7240</v>
      </c>
      <c r="J18" s="11" t="n">
        <f aca="false">IF(AND(ISNUMBER(H18),ISNUMBER(I18),N(H18)&gt;0),I18/H18,"")</f>
        <v>0.864684103666547</v>
      </c>
      <c r="K18" s="10" t="n">
        <v>7812</v>
      </c>
      <c r="L18" s="10" t="n">
        <v>6764</v>
      </c>
      <c r="M18" s="11" t="n">
        <f aca="false">IF(AND(ISNUMBER(K18),ISNUMBER(L18),N(K18)&gt;0),L18/K18,"")</f>
        <v>0.865847414234511</v>
      </c>
      <c r="N18" s="10" t="n">
        <v>0</v>
      </c>
    </row>
    <row r="19" customFormat="false" ht="15" hidden="false" customHeight="false" outlineLevel="0" collapsed="false">
      <c r="A19" s="9" t="s">
        <v>1251</v>
      </c>
      <c r="B19" s="10" t="n">
        <v>1198</v>
      </c>
      <c r="C19" s="10" t="n">
        <v>354</v>
      </c>
      <c r="D19" s="11" t="n">
        <f aca="false">IF(AND(ISNUMBER(B19),ISNUMBER(C19),N(B19)&gt;0),C19/B19,"")</f>
        <v>0.295492487479132</v>
      </c>
      <c r="E19" s="10" t="n">
        <v>1269</v>
      </c>
      <c r="F19" s="10" t="n">
        <v>448</v>
      </c>
      <c r="G19" s="11" t="n">
        <f aca="false">IF(AND(ISNUMBER(E19),ISNUMBER(F19),N(E19)&gt;0),F19/E19,"")</f>
        <v>0.353033884948779</v>
      </c>
      <c r="H19" s="10" t="n">
        <v>1504</v>
      </c>
      <c r="I19" s="10" t="n">
        <v>555</v>
      </c>
      <c r="J19" s="11" t="n">
        <f aca="false">IF(AND(ISNUMBER(H19),ISNUMBER(I19),N(H19)&gt;0),I19/H19,"")</f>
        <v>0.369015957446809</v>
      </c>
      <c r="K19" s="10" t="n">
        <v>1504</v>
      </c>
      <c r="L19" s="10" t="n">
        <v>555</v>
      </c>
      <c r="M19" s="11" t="n">
        <f aca="false">IF(AND(ISNUMBER(K19),ISNUMBER(L19),N(K19)&gt;0),L19/K19,"")</f>
        <v>0.369015957446809</v>
      </c>
      <c r="N19" s="10" t="n">
        <v>5</v>
      </c>
    </row>
    <row r="20" customFormat="false" ht="15" hidden="false" customHeight="false" outlineLevel="0" collapsed="false">
      <c r="A20" s="9" t="s">
        <v>1252</v>
      </c>
      <c r="B20" s="10" t="n">
        <v>2052</v>
      </c>
      <c r="C20" s="10" t="n">
        <v>1820</v>
      </c>
      <c r="D20" s="11" t="n">
        <f aca="false">IF(AND(ISNUMBER(B20),ISNUMBER(C20),N(B20)&gt;0),C20/B20,"")</f>
        <v>0.886939571150098</v>
      </c>
      <c r="E20" s="10"/>
      <c r="F20" s="10"/>
      <c r="G20" s="11" t="str">
        <f aca="false">IF(AND(ISNUMBER(E20),ISNUMBER(F20),N(E20)&gt;0),F20/E20,"")</f>
        <v/>
      </c>
      <c r="H20" s="10" t="n">
        <v>2118</v>
      </c>
      <c r="I20" s="10" t="n">
        <v>1846</v>
      </c>
      <c r="J20" s="11" t="n">
        <f aca="false">IF(AND(ISNUMBER(H20),ISNUMBER(I20),N(H20)&gt;0),I20/H20,"")</f>
        <v>0.871576959395656</v>
      </c>
      <c r="K20" s="10" t="n">
        <v>2207</v>
      </c>
      <c r="L20" s="10" t="n">
        <v>1952</v>
      </c>
      <c r="M20" s="11" t="n">
        <f aca="false">IF(AND(ISNUMBER(K20),ISNUMBER(L20),N(K20)&gt;0),L20/K20,"")</f>
        <v>0.88445854100589</v>
      </c>
      <c r="N20" s="10" t="n">
        <v>0</v>
      </c>
    </row>
    <row r="21" customFormat="false" ht="15" hidden="false" customHeight="false" outlineLevel="0" collapsed="false">
      <c r="A21" s="9" t="s">
        <v>1253</v>
      </c>
      <c r="B21" s="10" t="n">
        <v>206</v>
      </c>
      <c r="C21" s="10" t="n">
        <v>49</v>
      </c>
      <c r="D21" s="11" t="n">
        <f aca="false">IF(AND(ISNUMBER(B21),ISNUMBER(C21),N(B21)&gt;0),C21/B21,"")</f>
        <v>0.237864077669903</v>
      </c>
      <c r="E21" s="10" t="n">
        <v>237</v>
      </c>
      <c r="F21" s="10" t="n">
        <v>54</v>
      </c>
      <c r="G21" s="11" t="n">
        <f aca="false">IF(AND(ISNUMBER(E21),ISNUMBER(F21),N(E21)&gt;0),F21/E21,"")</f>
        <v>0.227848101265823</v>
      </c>
      <c r="H21" s="10" t="n">
        <v>228</v>
      </c>
      <c r="I21" s="10" t="n">
        <v>60</v>
      </c>
      <c r="J21" s="11" t="n">
        <f aca="false">IF(AND(ISNUMBER(H21),ISNUMBER(I21),N(H21)&gt;0),I21/H21,"")</f>
        <v>0.263157894736842</v>
      </c>
      <c r="K21" s="10"/>
      <c r="L21" s="10"/>
      <c r="M21" s="11" t="str">
        <f aca="false">IF(AND(ISNUMBER(K21),ISNUMBER(L21),N(K21)&gt;0),L21/K21,"")</f>
        <v/>
      </c>
      <c r="N21" s="10"/>
    </row>
    <row r="22" customFormat="false" ht="15" hidden="false" customHeight="false" outlineLevel="0" collapsed="false">
      <c r="A22" s="9" t="s">
        <v>1254</v>
      </c>
      <c r="B22" s="10" t="n">
        <v>40421</v>
      </c>
      <c r="C22" s="10" t="n">
        <v>3458</v>
      </c>
      <c r="D22" s="11" t="n">
        <f aca="false">IF(AND(ISNUMBER(B22),ISNUMBER(C22),N(B22)&gt;0),C22/B22,"")</f>
        <v>0.0855495905593627</v>
      </c>
      <c r="E22" s="10" t="n">
        <v>43309</v>
      </c>
      <c r="F22" s="10" t="n">
        <v>3743</v>
      </c>
      <c r="G22" s="11" t="n">
        <f aca="false">IF(AND(ISNUMBER(E22),ISNUMBER(F22),N(E22)&gt;0),F22/E22,"")</f>
        <v>0.0864254542935649</v>
      </c>
      <c r="H22" s="10" t="n">
        <v>42331</v>
      </c>
      <c r="I22" s="10" t="n">
        <v>3449</v>
      </c>
      <c r="J22" s="11" t="n">
        <f aca="false">IF(AND(ISNUMBER(H22),ISNUMBER(I22),N(H22)&gt;0),I22/H22,"")</f>
        <v>0.0814769317993905</v>
      </c>
      <c r="K22" s="10" t="n">
        <v>42502</v>
      </c>
      <c r="L22" s="10" t="n">
        <v>3495</v>
      </c>
      <c r="M22" s="11" t="n">
        <f aca="false">IF(AND(ISNUMBER(K22),ISNUMBER(L22),N(K22)&gt;0),L22/K22,"")</f>
        <v>0.0822314244035575</v>
      </c>
      <c r="N22" s="10" t="n">
        <v>11</v>
      </c>
    </row>
    <row r="23" customFormat="false" ht="15" hidden="false" customHeight="false" outlineLevel="0" collapsed="false">
      <c r="A23" s="9" t="s">
        <v>1255</v>
      </c>
      <c r="B23" s="10" t="n">
        <v>2962</v>
      </c>
      <c r="C23" s="10" t="n">
        <v>2156</v>
      </c>
      <c r="D23" s="11" t="n">
        <f aca="false">IF(AND(ISNUMBER(B23),ISNUMBER(C23),N(B23)&gt;0),C23/B23,"")</f>
        <v>0.727886563133018</v>
      </c>
      <c r="E23" s="10"/>
      <c r="F23" s="10"/>
      <c r="G23" s="11" t="str">
        <f aca="false">IF(AND(ISNUMBER(E23),ISNUMBER(F23),N(E23)&gt;0),F23/E23,"")</f>
        <v/>
      </c>
      <c r="H23" s="10" t="n">
        <v>3166</v>
      </c>
      <c r="I23" s="10" t="n">
        <v>2335</v>
      </c>
      <c r="J23" s="11" t="n">
        <f aca="false">IF(AND(ISNUMBER(H23),ISNUMBER(I23),N(H23)&gt;0),I23/H23,"")</f>
        <v>0.737523689197726</v>
      </c>
      <c r="K23" s="10" t="n">
        <v>3237</v>
      </c>
      <c r="L23" s="10" t="n">
        <v>2426</v>
      </c>
      <c r="M23" s="11" t="n">
        <f aca="false">IF(AND(ISNUMBER(K23),ISNUMBER(L23),N(K23)&gt;0),L23/K23,"")</f>
        <v>0.7494593759654</v>
      </c>
      <c r="N23" s="10" t="n">
        <v>0</v>
      </c>
    </row>
    <row r="24" customFormat="false" ht="15" hidden="false" customHeight="false" outlineLevel="0" collapsed="false">
      <c r="A24" s="9" t="s">
        <v>1256</v>
      </c>
      <c r="B24" s="10" t="n">
        <v>2177</v>
      </c>
      <c r="C24" s="10" t="n">
        <v>922</v>
      </c>
      <c r="D24" s="11" t="n">
        <f aca="false">IF(AND(ISNUMBER(B24),ISNUMBER(C24),N(B24)&gt;0),C24/B24,"")</f>
        <v>0.423518603582912</v>
      </c>
      <c r="E24" s="10" t="n">
        <v>2565</v>
      </c>
      <c r="F24" s="10" t="n">
        <v>1199</v>
      </c>
      <c r="G24" s="11" t="n">
        <f aca="false">IF(AND(ISNUMBER(E24),ISNUMBER(F24),N(E24)&gt;0),F24/E24,"")</f>
        <v>0.467446393762183</v>
      </c>
      <c r="H24" s="10" t="n">
        <v>2993</v>
      </c>
      <c r="I24" s="10" t="n">
        <v>1674</v>
      </c>
      <c r="J24" s="11" t="n">
        <f aca="false">IF(AND(ISNUMBER(H24),ISNUMBER(I24),N(H24)&gt;0),I24/H24,"")</f>
        <v>0.559305045105246</v>
      </c>
      <c r="K24" s="10" t="n">
        <v>2776</v>
      </c>
      <c r="L24" s="10" t="n">
        <v>1311</v>
      </c>
      <c r="M24" s="11" t="n">
        <f aca="false">IF(AND(ISNUMBER(K24),ISNUMBER(L24),N(K24)&gt;0),L24/K24,"")</f>
        <v>0.472262247838617</v>
      </c>
      <c r="N24" s="10" t="n">
        <v>9</v>
      </c>
    </row>
    <row r="25" customFormat="false" ht="15" hidden="false" customHeight="false" outlineLevel="0" collapsed="false">
      <c r="A25" s="9" t="s">
        <v>1257</v>
      </c>
      <c r="B25" s="10" t="n">
        <v>10950</v>
      </c>
      <c r="C25" s="10" t="n">
        <v>2825</v>
      </c>
      <c r="D25" s="11" t="n">
        <f aca="false">IF(AND(ISNUMBER(B25),ISNUMBER(C25),N(B25)&gt;0),C25/B25,"")</f>
        <v>0.257990867579909</v>
      </c>
      <c r="E25" s="10" t="n">
        <v>10481</v>
      </c>
      <c r="F25" s="10" t="n">
        <v>2699</v>
      </c>
      <c r="G25" s="11" t="n">
        <f aca="false">IF(AND(ISNUMBER(E25),ISNUMBER(F25),N(E25)&gt;0),F25/E25,"")</f>
        <v>0.257513596030913</v>
      </c>
      <c r="H25" s="10" t="n">
        <v>9725</v>
      </c>
      <c r="I25" s="10" t="n">
        <v>2462</v>
      </c>
      <c r="J25" s="11" t="n">
        <f aca="false">IF(AND(ISNUMBER(H25),ISNUMBER(I25),N(H25)&gt;0),I25/H25,"")</f>
        <v>0.253161953727506</v>
      </c>
      <c r="K25" s="10" t="n">
        <v>9482</v>
      </c>
      <c r="L25" s="10" t="n">
        <v>2271</v>
      </c>
      <c r="M25" s="11" t="n">
        <f aca="false">IF(AND(ISNUMBER(K25),ISNUMBER(L25),N(K25)&gt;0),L25/K25,"")</f>
        <v>0.239506433241932</v>
      </c>
      <c r="N25" s="10" t="n">
        <v>5</v>
      </c>
    </row>
    <row r="26" customFormat="false" ht="15" hidden="false" customHeight="false" outlineLevel="0" collapsed="false">
      <c r="A26" s="9" t="s">
        <v>1258</v>
      </c>
      <c r="B26" s="10" t="n">
        <v>5580</v>
      </c>
      <c r="C26" s="10" t="n">
        <v>4811</v>
      </c>
      <c r="D26" s="11" t="n">
        <f aca="false">IF(AND(ISNUMBER(B26),ISNUMBER(C26),N(B26)&gt;0),C26/B26,"")</f>
        <v>0.862186379928315</v>
      </c>
      <c r="E26" s="10" t="n">
        <v>6209</v>
      </c>
      <c r="F26" s="10" t="n">
        <v>5379</v>
      </c>
      <c r="G26" s="11" t="n">
        <f aca="false">IF(AND(ISNUMBER(E26),ISNUMBER(F26),N(E26)&gt;0),F26/E26,"")</f>
        <v>0.86632307940087</v>
      </c>
      <c r="H26" s="10" t="n">
        <v>6212</v>
      </c>
      <c r="I26" s="10" t="n">
        <v>5467</v>
      </c>
      <c r="J26" s="11" t="n">
        <f aca="false">IF(AND(ISNUMBER(H26),ISNUMBER(I26),N(H26)&gt;0),I26/H26,"")</f>
        <v>0.880070830650354</v>
      </c>
      <c r="K26" s="10" t="n">
        <v>6174</v>
      </c>
      <c r="L26" s="10" t="n">
        <v>5471</v>
      </c>
      <c r="M26" s="11" t="n">
        <f aca="false">IF(AND(ISNUMBER(K26),ISNUMBER(L26),N(K26)&gt;0),L26/K26,"")</f>
        <v>0.88613540654357</v>
      </c>
      <c r="N26" s="10" t="n">
        <v>0</v>
      </c>
    </row>
    <row r="27" customFormat="false" ht="15" hidden="false" customHeight="false" outlineLevel="0" collapsed="false">
      <c r="A27" s="9" t="s">
        <v>1259</v>
      </c>
      <c r="B27" s="10" t="n">
        <v>152</v>
      </c>
      <c r="C27" s="10" t="n">
        <v>64</v>
      </c>
      <c r="D27" s="11" t="n">
        <f aca="false">IF(AND(ISNUMBER(B27),ISNUMBER(C27),N(B27)&gt;0),C27/B27,"")</f>
        <v>0.421052631578947</v>
      </c>
      <c r="E27" s="10" t="n">
        <v>166</v>
      </c>
      <c r="F27" s="10" t="n">
        <v>76</v>
      </c>
      <c r="G27" s="11" t="n">
        <f aca="false">IF(AND(ISNUMBER(E27),ISNUMBER(F27),N(E27)&gt;0),F27/E27,"")</f>
        <v>0.457831325301205</v>
      </c>
      <c r="H27" s="10" t="n">
        <v>117</v>
      </c>
      <c r="I27" s="10" t="n">
        <v>54</v>
      </c>
      <c r="J27" s="11" t="n">
        <f aca="false">IF(AND(ISNUMBER(H27),ISNUMBER(I27),N(H27)&gt;0),I27/H27,"")</f>
        <v>0.461538461538462</v>
      </c>
      <c r="K27" s="10" t="n">
        <v>138</v>
      </c>
      <c r="L27" s="10" t="n">
        <v>61</v>
      </c>
      <c r="M27" s="11" t="n">
        <f aca="false">IF(AND(ISNUMBER(K27),ISNUMBER(L27),N(K27)&gt;0),L27/K27,"")</f>
        <v>0.442028985507246</v>
      </c>
      <c r="N27" s="10" t="n">
        <v>1</v>
      </c>
    </row>
    <row r="28" customFormat="false" ht="15" hidden="false" customHeight="false" outlineLevel="0" collapsed="false">
      <c r="A28" s="9" t="s">
        <v>1260</v>
      </c>
      <c r="B28" s="10" t="n">
        <v>5267</v>
      </c>
      <c r="C28" s="10" t="n">
        <v>1767</v>
      </c>
      <c r="D28" s="11" t="n">
        <f aca="false">IF(AND(ISNUMBER(B28),ISNUMBER(C28),N(B28)&gt;0),C28/B28,"")</f>
        <v>0.335485095880008</v>
      </c>
      <c r="E28" s="10" t="n">
        <v>5578</v>
      </c>
      <c r="F28" s="10" t="n">
        <v>1884</v>
      </c>
      <c r="G28" s="11" t="n">
        <f aca="false">IF(AND(ISNUMBER(E28),ISNUMBER(F28),N(E28)&gt;0),F28/E28,"")</f>
        <v>0.337755467909645</v>
      </c>
      <c r="H28" s="10" t="n">
        <v>5829</v>
      </c>
      <c r="I28" s="10" t="n">
        <v>2022</v>
      </c>
      <c r="J28" s="11" t="n">
        <f aca="false">IF(AND(ISNUMBER(H28),ISNUMBER(I28),N(H28)&gt;0),I28/H28,"")</f>
        <v>0.346886258363356</v>
      </c>
      <c r="K28" s="10" t="n">
        <v>5615</v>
      </c>
      <c r="L28" s="10" t="n">
        <v>1928</v>
      </c>
      <c r="M28" s="11" t="n">
        <f aca="false">IF(AND(ISNUMBER(K28),ISNUMBER(L28),N(K28)&gt;0),L28/K28,"")</f>
        <v>0.343365983971505</v>
      </c>
      <c r="N28" s="10" t="n">
        <v>6</v>
      </c>
    </row>
    <row r="29" customFormat="false" ht="15" hidden="false" customHeight="false" outlineLevel="0" collapsed="false">
      <c r="A29" s="9" t="s">
        <v>1261</v>
      </c>
      <c r="B29" s="10" t="n">
        <v>426</v>
      </c>
      <c r="C29" s="10" t="n">
        <v>121</v>
      </c>
      <c r="D29" s="11" t="n">
        <f aca="false">IF(AND(ISNUMBER(B29),ISNUMBER(C29),N(B29)&gt;0),C29/B29,"")</f>
        <v>0.284037558685446</v>
      </c>
      <c r="E29" s="10" t="n">
        <v>450</v>
      </c>
      <c r="F29" s="10" t="n">
        <v>132</v>
      </c>
      <c r="G29" s="11" t="n">
        <f aca="false">IF(AND(ISNUMBER(E29),ISNUMBER(F29),N(E29)&gt;0),F29/E29,"")</f>
        <v>0.293333333333333</v>
      </c>
      <c r="H29" s="10" t="n">
        <v>405</v>
      </c>
      <c r="I29" s="10" t="n">
        <v>130</v>
      </c>
      <c r="J29" s="11" t="n">
        <f aca="false">IF(AND(ISNUMBER(H29),ISNUMBER(I29),N(H29)&gt;0),I29/H29,"")</f>
        <v>0.320987654320988</v>
      </c>
      <c r="K29" s="10" t="n">
        <v>369</v>
      </c>
      <c r="L29" s="10" t="n">
        <v>128</v>
      </c>
      <c r="M29" s="11" t="n">
        <f aca="false">IF(AND(ISNUMBER(K29),ISNUMBER(L29),N(K29)&gt;0),L29/K29,"")</f>
        <v>0.346883468834688</v>
      </c>
      <c r="N29" s="10" t="n">
        <v>2</v>
      </c>
    </row>
    <row r="30" customFormat="false" ht="15" hidden="false" customHeight="false" outlineLevel="0" collapsed="false">
      <c r="A30" s="9" t="s">
        <v>1262</v>
      </c>
      <c r="B30" s="10"/>
      <c r="C30" s="10"/>
      <c r="D30" s="11" t="str">
        <f aca="false">IF(AND(ISNUMBER(B30),ISNUMBER(C30),N(B30)&gt;0),C30/B30,"")</f>
        <v/>
      </c>
      <c r="E30" s="10" t="n">
        <v>1049</v>
      </c>
      <c r="F30" s="10" t="n">
        <v>214</v>
      </c>
      <c r="G30" s="11" t="n">
        <f aca="false">IF(AND(ISNUMBER(E30),ISNUMBER(F30),N(E30)&gt;0),F30/E30,"")</f>
        <v>0.204003813155386</v>
      </c>
      <c r="H30" s="10" t="n">
        <v>1120</v>
      </c>
      <c r="I30" s="10" t="n">
        <v>211</v>
      </c>
      <c r="J30" s="11" t="n">
        <f aca="false">IF(AND(ISNUMBER(H30),ISNUMBER(I30),N(H30)&gt;0),I30/H30,"")</f>
        <v>0.188392857142857</v>
      </c>
      <c r="K30" s="10"/>
      <c r="L30" s="10"/>
      <c r="M30" s="11" t="str">
        <f aca="false">IF(AND(ISNUMBER(K30),ISNUMBER(L30),N(K30)&gt;0),L30/K30,"")</f>
        <v/>
      </c>
      <c r="N30" s="10"/>
    </row>
    <row r="31" customFormat="false" ht="15" hidden="false" customHeight="false" outlineLevel="0" collapsed="false">
      <c r="A31" s="9" t="s">
        <v>1263</v>
      </c>
      <c r="B31" s="10" t="n">
        <v>7532</v>
      </c>
      <c r="C31" s="10" t="n">
        <v>2731</v>
      </c>
      <c r="D31" s="11" t="n">
        <f aca="false">IF(AND(ISNUMBER(B31),ISNUMBER(C31),N(B31)&gt;0),C31/B31,"")</f>
        <v>0.362586298459904</v>
      </c>
      <c r="E31" s="10" t="n">
        <v>7600</v>
      </c>
      <c r="F31" s="10" t="n">
        <v>2615</v>
      </c>
      <c r="G31" s="11" t="n">
        <f aca="false">IF(AND(ISNUMBER(E31),ISNUMBER(F31),N(E31)&gt;0),F31/E31,"")</f>
        <v>0.344078947368421</v>
      </c>
      <c r="H31" s="10" t="n">
        <v>7900</v>
      </c>
      <c r="I31" s="10" t="n">
        <v>3042</v>
      </c>
      <c r="J31" s="11" t="n">
        <f aca="false">IF(AND(ISNUMBER(H31),ISNUMBER(I31),N(H31)&gt;0),I31/H31,"")</f>
        <v>0.385063291139241</v>
      </c>
      <c r="K31" s="10" t="n">
        <v>8148</v>
      </c>
      <c r="L31" s="10" t="n">
        <v>2801</v>
      </c>
      <c r="M31" s="11" t="n">
        <f aca="false">IF(AND(ISNUMBER(K31),ISNUMBER(L31),N(K31)&gt;0),L31/K31,"")</f>
        <v>0.343765341188022</v>
      </c>
      <c r="N31" s="10" t="n">
        <v>1</v>
      </c>
    </row>
    <row r="32" customFormat="false" ht="15" hidden="false" customHeight="false" outlineLevel="0" collapsed="false">
      <c r="A32" s="9" t="s">
        <v>1264</v>
      </c>
      <c r="B32" s="10" t="n">
        <v>198</v>
      </c>
      <c r="C32" s="10" t="n">
        <v>66</v>
      </c>
      <c r="D32" s="11" t="n">
        <f aca="false">IF(AND(ISNUMBER(B32),ISNUMBER(C32),N(B32)&gt;0),C32/B32,"")</f>
        <v>0.333333333333333</v>
      </c>
      <c r="E32" s="10" t="n">
        <v>196</v>
      </c>
      <c r="F32" s="10" t="n">
        <v>62</v>
      </c>
      <c r="G32" s="11" t="n">
        <f aca="false">IF(AND(ISNUMBER(E32),ISNUMBER(F32),N(E32)&gt;0),F32/E32,"")</f>
        <v>0.316326530612245</v>
      </c>
      <c r="H32" s="10" t="n">
        <v>175</v>
      </c>
      <c r="I32" s="10" t="n">
        <v>55</v>
      </c>
      <c r="J32" s="11" t="n">
        <f aca="false">IF(AND(ISNUMBER(H32),ISNUMBER(I32),N(H32)&gt;0),I32/H32,"")</f>
        <v>0.314285714285714</v>
      </c>
      <c r="K32" s="10" t="n">
        <v>178</v>
      </c>
      <c r="L32" s="10" t="n">
        <v>54</v>
      </c>
      <c r="M32" s="11" t="n">
        <f aca="false">IF(AND(ISNUMBER(K32),ISNUMBER(L32),N(K32)&gt;0),L32/K32,"")</f>
        <v>0.303370786516854</v>
      </c>
      <c r="N32" s="10" t="n">
        <v>0</v>
      </c>
    </row>
    <row r="33" customFormat="false" ht="15" hidden="false" customHeight="false" outlineLevel="0" collapsed="false">
      <c r="A33" s="9" t="s">
        <v>1265</v>
      </c>
      <c r="B33" s="10" t="n">
        <v>1469</v>
      </c>
      <c r="C33" s="10" t="n">
        <v>689</v>
      </c>
      <c r="D33" s="11" t="n">
        <f aca="false">IF(AND(ISNUMBER(B33),ISNUMBER(C33),N(B33)&gt;0),C33/B33,"")</f>
        <v>0.469026548672566</v>
      </c>
      <c r="E33" s="10" t="n">
        <v>1565</v>
      </c>
      <c r="F33" s="10" t="n">
        <v>754</v>
      </c>
      <c r="G33" s="11" t="n">
        <f aca="false">IF(AND(ISNUMBER(E33),ISNUMBER(F33),N(E33)&gt;0),F33/E33,"")</f>
        <v>0.481789137380192</v>
      </c>
      <c r="H33" s="10" t="n">
        <v>1653</v>
      </c>
      <c r="I33" s="10" t="n">
        <v>818</v>
      </c>
      <c r="J33" s="11" t="n">
        <f aca="false">IF(AND(ISNUMBER(H33),ISNUMBER(I33),N(H33)&gt;0),I33/H33,"")</f>
        <v>0.494857834240774</v>
      </c>
      <c r="K33" s="10" t="n">
        <v>1552</v>
      </c>
      <c r="L33" s="10" t="n">
        <v>797</v>
      </c>
      <c r="M33" s="11" t="n">
        <f aca="false">IF(AND(ISNUMBER(K33),ISNUMBER(L33),N(K33)&gt;0),L33/K33,"")</f>
        <v>0.513530927835052</v>
      </c>
      <c r="N33" s="10" t="n">
        <v>1</v>
      </c>
    </row>
    <row r="34" customFormat="false" ht="15" hidden="false" customHeight="false" outlineLevel="0" collapsed="false">
      <c r="A34" s="9" t="s">
        <v>1266</v>
      </c>
      <c r="B34" s="10" t="n">
        <v>9937</v>
      </c>
      <c r="C34" s="10" t="n">
        <v>5167</v>
      </c>
      <c r="D34" s="11" t="n">
        <f aca="false">IF(AND(ISNUMBER(B34),ISNUMBER(C34),N(B34)&gt;0),C34/B34,"")</f>
        <v>0.519975847841401</v>
      </c>
      <c r="E34" s="10" t="n">
        <v>7789</v>
      </c>
      <c r="F34" s="10" t="n">
        <v>4296</v>
      </c>
      <c r="G34" s="11" t="n">
        <f aca="false">IF(AND(ISNUMBER(E34),ISNUMBER(F34),N(E34)&gt;0),F34/E34,"")</f>
        <v>0.551547053537039</v>
      </c>
      <c r="H34" s="10" t="n">
        <v>8555</v>
      </c>
      <c r="I34" s="10" t="n">
        <v>4699</v>
      </c>
      <c r="J34" s="11" t="n">
        <f aca="false">IF(AND(ISNUMBER(H34),ISNUMBER(I34),N(H34)&gt;0),I34/H34,"")</f>
        <v>0.54926943308007</v>
      </c>
      <c r="K34" s="10" t="n">
        <v>10049</v>
      </c>
      <c r="L34" s="10" t="n">
        <v>4096</v>
      </c>
      <c r="M34" s="11" t="n">
        <f aca="false">IF(AND(ISNUMBER(K34),ISNUMBER(L34),N(K34)&gt;0),L34/K34,"")</f>
        <v>0.407602746541944</v>
      </c>
      <c r="N34" s="10" t="n">
        <v>26</v>
      </c>
    </row>
    <row r="35" customFormat="false" ht="15" hidden="false" customHeight="false" outlineLevel="0" collapsed="false">
      <c r="A35" s="9" t="s">
        <v>1267</v>
      </c>
      <c r="B35" s="10"/>
      <c r="C35" s="10"/>
      <c r="D35" s="11" t="str">
        <f aca="false">IF(AND(ISNUMBER(B35),ISNUMBER(C35),N(B35)&gt;0),C35/B35,"")</f>
        <v/>
      </c>
      <c r="E35" s="10" t="n">
        <v>2383</v>
      </c>
      <c r="F35" s="10" t="n">
        <v>379</v>
      </c>
      <c r="G35" s="11" t="n">
        <f aca="false">IF(AND(ISNUMBER(E35),ISNUMBER(F35),N(E35)&gt;0),F35/E35,"")</f>
        <v>0.159043222828368</v>
      </c>
      <c r="H35" s="10" t="n">
        <v>2605</v>
      </c>
      <c r="I35" s="10" t="n">
        <v>385</v>
      </c>
      <c r="J35" s="11" t="n">
        <f aca="false">IF(AND(ISNUMBER(H35),ISNUMBER(I35),N(H35)&gt;0),I35/H35,"")</f>
        <v>0.147792706333973</v>
      </c>
      <c r="K35" s="10" t="n">
        <v>2550</v>
      </c>
      <c r="L35" s="10" t="n">
        <v>427</v>
      </c>
      <c r="M35" s="11" t="n">
        <f aca="false">IF(AND(ISNUMBER(K35),ISNUMBER(L35),N(K35)&gt;0),L35/K35,"")</f>
        <v>0.167450980392157</v>
      </c>
      <c r="N35" s="10" t="n">
        <v>3</v>
      </c>
    </row>
    <row r="36" customFormat="false" ht="15" hidden="false" customHeight="false" outlineLevel="0" collapsed="false">
      <c r="A36" s="9" t="s">
        <v>1268</v>
      </c>
      <c r="B36" s="10" t="n">
        <v>2468</v>
      </c>
      <c r="C36" s="10" t="n">
        <v>803</v>
      </c>
      <c r="D36" s="11" t="n">
        <f aca="false">IF(AND(ISNUMBER(B36),ISNUMBER(C36),N(B36)&gt;0),C36/B36,"")</f>
        <v>0.325364667747164</v>
      </c>
      <c r="E36" s="10" t="n">
        <v>2474</v>
      </c>
      <c r="F36" s="10" t="n">
        <v>830</v>
      </c>
      <c r="G36" s="11" t="n">
        <f aca="false">IF(AND(ISNUMBER(E36),ISNUMBER(F36),N(E36)&gt;0),F36/E36,"")</f>
        <v>0.335489086499596</v>
      </c>
      <c r="H36" s="10" t="n">
        <v>2424</v>
      </c>
      <c r="I36" s="10" t="n">
        <v>842</v>
      </c>
      <c r="J36" s="11" t="n">
        <f aca="false">IF(AND(ISNUMBER(H36),ISNUMBER(I36),N(H36)&gt;0),I36/H36,"")</f>
        <v>0.347359735973597</v>
      </c>
      <c r="K36" s="10" t="n">
        <v>2327</v>
      </c>
      <c r="L36" s="10" t="n">
        <v>787</v>
      </c>
      <c r="M36" s="11" t="n">
        <f aca="false">IF(AND(ISNUMBER(K36),ISNUMBER(L36),N(K36)&gt;0),L36/K36,"")</f>
        <v>0.338203695745595</v>
      </c>
      <c r="N36" s="10" t="n">
        <v>1</v>
      </c>
    </row>
    <row r="37" customFormat="false" ht="15" hidden="false" customHeight="false" outlineLevel="0" collapsed="false">
      <c r="A37" s="9" t="s">
        <v>1269</v>
      </c>
      <c r="B37" s="10" t="n">
        <v>2347</v>
      </c>
      <c r="C37" s="10" t="n">
        <v>1572</v>
      </c>
      <c r="D37" s="11" t="n">
        <f aca="false">IF(AND(ISNUMBER(B37),ISNUMBER(C37),N(B37)&gt;0),C37/B37,"")</f>
        <v>0.669791222837665</v>
      </c>
      <c r="E37" s="10" t="n">
        <v>2390</v>
      </c>
      <c r="F37" s="10" t="n">
        <v>1601</v>
      </c>
      <c r="G37" s="11" t="n">
        <f aca="false">IF(AND(ISNUMBER(E37),ISNUMBER(F37),N(E37)&gt;0),F37/E37,"")</f>
        <v>0.669874476987448</v>
      </c>
      <c r="H37" s="10" t="n">
        <v>2398</v>
      </c>
      <c r="I37" s="10" t="n">
        <v>1600</v>
      </c>
      <c r="J37" s="11" t="n">
        <f aca="false">IF(AND(ISNUMBER(H37),ISNUMBER(I37),N(H37)&gt;0),I37/H37,"")</f>
        <v>0.667222685571309</v>
      </c>
      <c r="K37" s="10"/>
      <c r="L37" s="10"/>
      <c r="M37" s="11" t="str">
        <f aca="false">IF(AND(ISNUMBER(K37),ISNUMBER(L37),N(K37)&gt;0),L37/K37,"")</f>
        <v/>
      </c>
      <c r="N37" s="10"/>
    </row>
    <row r="38" customFormat="false" ht="15" hidden="false" customHeight="false" outlineLevel="0" collapsed="false">
      <c r="A38" s="9" t="s">
        <v>1270</v>
      </c>
      <c r="B38" s="10" t="n">
        <v>948</v>
      </c>
      <c r="C38" s="10" t="n">
        <v>470</v>
      </c>
      <c r="D38" s="11" t="n">
        <f aca="false">IF(AND(ISNUMBER(B38),ISNUMBER(C38),N(B38)&gt;0),C38/B38,"")</f>
        <v>0.4957805907173</v>
      </c>
      <c r="E38" s="10"/>
      <c r="F38" s="10"/>
      <c r="G38" s="11" t="str">
        <f aca="false">IF(AND(ISNUMBER(E38),ISNUMBER(F38),N(E38)&gt;0),F38/E38,"")</f>
        <v/>
      </c>
      <c r="H38" s="10" t="n">
        <v>944</v>
      </c>
      <c r="I38" s="10" t="n">
        <v>440</v>
      </c>
      <c r="J38" s="11" t="n">
        <f aca="false">IF(AND(ISNUMBER(H38),ISNUMBER(I38),N(H38)&gt;0),I38/H38,"")</f>
        <v>0.466101694915254</v>
      </c>
      <c r="K38" s="10" t="n">
        <v>855</v>
      </c>
      <c r="L38" s="10" t="n">
        <v>425</v>
      </c>
      <c r="M38" s="11" t="n">
        <f aca="false">IF(AND(ISNUMBER(K38),ISNUMBER(L38),N(K38)&gt;0),L38/K38,"")</f>
        <v>0.497076023391813</v>
      </c>
      <c r="N38" s="10" t="n">
        <v>8</v>
      </c>
    </row>
    <row r="39" customFormat="false" ht="15" hidden="false" customHeight="false" outlineLevel="0" collapsed="false">
      <c r="A39" s="9" t="s">
        <v>1271</v>
      </c>
      <c r="B39" s="10" t="n">
        <v>2068</v>
      </c>
      <c r="C39" s="10" t="n">
        <v>199</v>
      </c>
      <c r="D39" s="11" t="n">
        <f aca="false">IF(AND(ISNUMBER(B39),ISNUMBER(C39),N(B39)&gt;0),C39/B39,"")</f>
        <v>0.0962282398452611</v>
      </c>
      <c r="E39" s="10" t="n">
        <v>2277</v>
      </c>
      <c r="F39" s="10" t="n">
        <v>346</v>
      </c>
      <c r="G39" s="11" t="n">
        <f aca="false">IF(AND(ISNUMBER(E39),ISNUMBER(F39),N(E39)&gt;0),F39/E39,"")</f>
        <v>0.151954325867369</v>
      </c>
      <c r="H39" s="10" t="n">
        <v>2308</v>
      </c>
      <c r="I39" s="10" t="n">
        <v>316</v>
      </c>
      <c r="J39" s="11" t="n">
        <f aca="false">IF(AND(ISNUMBER(H39),ISNUMBER(I39),N(H39)&gt;0),I39/H39,"")</f>
        <v>0.136915077989601</v>
      </c>
      <c r="K39" s="10" t="n">
        <v>2586</v>
      </c>
      <c r="L39" s="10" t="n">
        <v>327</v>
      </c>
      <c r="M39" s="11" t="n">
        <f aca="false">IF(AND(ISNUMBER(K39),ISNUMBER(L39),N(K39)&gt;0),L39/K39,"")</f>
        <v>0.126450116009281</v>
      </c>
      <c r="N39" s="10" t="n">
        <v>10</v>
      </c>
    </row>
    <row r="40" customFormat="false" ht="15" hidden="false" customHeight="false" outlineLevel="0" collapsed="false">
      <c r="A40" s="9" t="s">
        <v>1272</v>
      </c>
      <c r="B40" s="10" t="n">
        <v>1959</v>
      </c>
      <c r="C40" s="10" t="n">
        <v>795</v>
      </c>
      <c r="D40" s="11" t="n">
        <f aca="false">IF(AND(ISNUMBER(B40),ISNUMBER(C40),N(B40)&gt;0),C40/B40,"")</f>
        <v>0.405819295558959</v>
      </c>
      <c r="E40" s="10" t="n">
        <v>2089</v>
      </c>
      <c r="F40" s="10" t="n">
        <v>863</v>
      </c>
      <c r="G40" s="11" t="n">
        <f aca="false">IF(AND(ISNUMBER(E40),ISNUMBER(F40),N(E40)&gt;0),F40/E40,"")</f>
        <v>0.413116323599809</v>
      </c>
      <c r="H40" s="10" t="n">
        <v>1929</v>
      </c>
      <c r="I40" s="10" t="n">
        <v>770</v>
      </c>
      <c r="J40" s="11" t="n">
        <f aca="false">IF(AND(ISNUMBER(H40),ISNUMBER(I40),N(H40)&gt;0),I40/H40,"")</f>
        <v>0.39917055469155</v>
      </c>
      <c r="K40" s="10" t="n">
        <v>1741</v>
      </c>
      <c r="L40" s="10" t="n">
        <v>769</v>
      </c>
      <c r="M40" s="11" t="n">
        <f aca="false">IF(AND(ISNUMBER(K40),ISNUMBER(L40),N(K40)&gt;0),L40/K40,"")</f>
        <v>0.441700172314762</v>
      </c>
      <c r="N40" s="10" t="n">
        <v>1</v>
      </c>
    </row>
    <row r="41" customFormat="false" ht="15" hidden="false" customHeight="false" outlineLevel="0" collapsed="false">
      <c r="A41" s="9" t="s">
        <v>1273</v>
      </c>
      <c r="B41" s="10" t="n">
        <v>66</v>
      </c>
      <c r="C41" s="10" t="n">
        <v>28</v>
      </c>
      <c r="D41" s="11" t="n">
        <f aca="false">IF(AND(ISNUMBER(B41),ISNUMBER(C41),N(B41)&gt;0),C41/B41,"")</f>
        <v>0.424242424242424</v>
      </c>
      <c r="E41" s="10" t="n">
        <v>71</v>
      </c>
      <c r="F41" s="10" t="n">
        <v>31</v>
      </c>
      <c r="G41" s="11" t="n">
        <f aca="false">IF(AND(ISNUMBER(E41),ISNUMBER(F41),N(E41)&gt;0),F41/E41,"")</f>
        <v>0.436619718309859</v>
      </c>
      <c r="H41" s="10" t="n">
        <v>70</v>
      </c>
      <c r="I41" s="10" t="n">
        <v>31</v>
      </c>
      <c r="J41" s="11" t="n">
        <f aca="false">IF(AND(ISNUMBER(H41),ISNUMBER(I41),N(H41)&gt;0),I41/H41,"")</f>
        <v>0.442857142857143</v>
      </c>
      <c r="K41" s="10" t="n">
        <v>68</v>
      </c>
      <c r="L41" s="10" t="n">
        <v>30</v>
      </c>
      <c r="M41" s="11" t="n">
        <f aca="false">IF(AND(ISNUMBER(K41),ISNUMBER(L41),N(K41)&gt;0),L41/K41,"")</f>
        <v>0.441176470588235</v>
      </c>
      <c r="N41" s="10" t="n">
        <v>1</v>
      </c>
    </row>
    <row r="42" customFormat="false" ht="15" hidden="false" customHeight="false" outlineLevel="0" collapsed="false">
      <c r="A42" s="9" t="s">
        <v>1274</v>
      </c>
      <c r="B42" s="10" t="n">
        <v>250</v>
      </c>
      <c r="C42" s="10" t="n">
        <v>71</v>
      </c>
      <c r="D42" s="11" t="n">
        <f aca="false">IF(AND(ISNUMBER(B42),ISNUMBER(C42),N(B42)&gt;0),C42/B42,"")</f>
        <v>0.284</v>
      </c>
      <c r="E42" s="10" t="n">
        <v>239</v>
      </c>
      <c r="F42" s="10" t="n">
        <v>52</v>
      </c>
      <c r="G42" s="11" t="n">
        <f aca="false">IF(AND(ISNUMBER(E42),ISNUMBER(F42),N(E42)&gt;0),F42/E42,"")</f>
        <v>0.217573221757322</v>
      </c>
      <c r="H42" s="10" t="n">
        <v>344</v>
      </c>
      <c r="I42" s="10" t="n">
        <v>73</v>
      </c>
      <c r="J42" s="11" t="n">
        <f aca="false">IF(AND(ISNUMBER(H42),ISNUMBER(I42),N(H42)&gt;0),I42/H42,"")</f>
        <v>0.212209302325581</v>
      </c>
      <c r="K42" s="10" t="n">
        <v>476</v>
      </c>
      <c r="L42" s="10" t="n">
        <v>92</v>
      </c>
      <c r="M42" s="11" t="n">
        <f aca="false">IF(AND(ISNUMBER(K42),ISNUMBER(L42),N(K42)&gt;0),L42/K42,"")</f>
        <v>0.19327731092437</v>
      </c>
      <c r="N42" s="10" t="n">
        <v>4</v>
      </c>
    </row>
    <row r="43" customFormat="false" ht="15" hidden="false" customHeight="false" outlineLevel="0" collapsed="false">
      <c r="A43" s="9" t="s">
        <v>1275</v>
      </c>
      <c r="B43" s="10" t="n">
        <v>1306</v>
      </c>
      <c r="C43" s="10" t="n">
        <v>1208</v>
      </c>
      <c r="D43" s="11" t="n">
        <f aca="false">IF(AND(ISNUMBER(B43),ISNUMBER(C43),N(B43)&gt;0),C43/B43,"")</f>
        <v>0.924961715160796</v>
      </c>
      <c r="E43" s="10" t="n">
        <v>1279</v>
      </c>
      <c r="F43" s="10" t="n">
        <v>1180</v>
      </c>
      <c r="G43" s="11" t="n">
        <f aca="false">IF(AND(ISNUMBER(E43),ISNUMBER(F43),N(E43)&gt;0),F43/E43,"")</f>
        <v>0.922595777951525</v>
      </c>
      <c r="H43" s="10" t="n">
        <v>1347</v>
      </c>
      <c r="I43" s="10" t="n">
        <v>1191</v>
      </c>
      <c r="J43" s="11" t="n">
        <f aca="false">IF(AND(ISNUMBER(H43),ISNUMBER(I43),N(H43)&gt;0),I43/H43,"")</f>
        <v>0.884187082405345</v>
      </c>
      <c r="K43" s="10" t="n">
        <v>1576</v>
      </c>
      <c r="L43" s="10" t="n">
        <v>1454</v>
      </c>
      <c r="M43" s="11" t="n">
        <f aca="false">IF(AND(ISNUMBER(K43),ISNUMBER(L43),N(K43)&gt;0),L43/K43,"")</f>
        <v>0.92258883248731</v>
      </c>
      <c r="N43" s="10" t="n">
        <v>2</v>
      </c>
    </row>
    <row r="44" customFormat="false" ht="15" hidden="false" customHeight="false" outlineLevel="0" collapsed="false">
      <c r="A44" s="9" t="s">
        <v>1276</v>
      </c>
      <c r="B44" s="10" t="n">
        <v>1238</v>
      </c>
      <c r="C44" s="10" t="n">
        <v>532</v>
      </c>
      <c r="D44" s="11" t="n">
        <f aca="false">IF(AND(ISNUMBER(B44),ISNUMBER(C44),N(B44)&gt;0),C44/B44,"")</f>
        <v>0.429725363489499</v>
      </c>
      <c r="E44" s="10" t="n">
        <v>1196</v>
      </c>
      <c r="F44" s="10" t="n">
        <v>516</v>
      </c>
      <c r="G44" s="11" t="n">
        <f aca="false">IF(AND(ISNUMBER(E44),ISNUMBER(F44),N(E44)&gt;0),F44/E44,"")</f>
        <v>0.431438127090301</v>
      </c>
      <c r="H44" s="10" t="n">
        <v>1237</v>
      </c>
      <c r="I44" s="10" t="n">
        <v>496</v>
      </c>
      <c r="J44" s="11" t="n">
        <f aca="false">IF(AND(ISNUMBER(H44),ISNUMBER(I44),N(H44)&gt;0),I44/H44,"")</f>
        <v>0.400970088924818</v>
      </c>
      <c r="K44" s="10" t="n">
        <v>1193</v>
      </c>
      <c r="L44" s="10" t="n">
        <v>432</v>
      </c>
      <c r="M44" s="11" t="n">
        <f aca="false">IF(AND(ISNUMBER(K44),ISNUMBER(L44),N(K44)&gt;0),L44/K44,"")</f>
        <v>0.362112321877619</v>
      </c>
      <c r="N44" s="10" t="n">
        <v>4</v>
      </c>
    </row>
    <row r="45" customFormat="false" ht="15" hidden="false" customHeight="false" outlineLevel="0" collapsed="false">
      <c r="A45" s="9" t="s">
        <v>1277</v>
      </c>
      <c r="B45" s="10" t="n">
        <v>905</v>
      </c>
      <c r="C45" s="10"/>
      <c r="D45" s="11" t="str">
        <f aca="false">IF(AND(ISNUMBER(B45),ISNUMBER(C45),N(B45)&gt;0),C45/B45,"")</f>
        <v/>
      </c>
      <c r="E45" s="10" t="n">
        <v>1203</v>
      </c>
      <c r="F45" s="10" t="n">
        <v>512</v>
      </c>
      <c r="G45" s="11" t="n">
        <f aca="false">IF(AND(ISNUMBER(E45),ISNUMBER(F45),N(E45)&gt;0),F45/E45,"")</f>
        <v>0.425602660016625</v>
      </c>
      <c r="H45" s="10" t="n">
        <v>1002</v>
      </c>
      <c r="I45" s="10" t="n">
        <v>408</v>
      </c>
      <c r="J45" s="11" t="n">
        <f aca="false">IF(AND(ISNUMBER(H45),ISNUMBER(I45),N(H45)&gt;0),I45/H45,"")</f>
        <v>0.407185628742515</v>
      </c>
      <c r="K45" s="10" t="n">
        <v>1258</v>
      </c>
      <c r="L45" s="10" t="n">
        <v>428</v>
      </c>
      <c r="M45" s="11" t="n">
        <f aca="false">IF(AND(ISNUMBER(K45),ISNUMBER(L45),N(K45)&gt;0),L45/K45,"")</f>
        <v>0.340222575516693</v>
      </c>
      <c r="N45" s="10" t="n">
        <v>6</v>
      </c>
    </row>
    <row r="46" customFormat="false" ht="15" hidden="false" customHeight="false" outlineLevel="0" collapsed="false">
      <c r="A46" s="9" t="s">
        <v>1278</v>
      </c>
      <c r="B46" s="10" t="n">
        <v>21103</v>
      </c>
      <c r="C46" s="10" t="n">
        <v>6350</v>
      </c>
      <c r="D46" s="11" t="n">
        <f aca="false">IF(AND(ISNUMBER(B46),ISNUMBER(C46),N(B46)&gt;0),C46/B46,"")</f>
        <v>0.30090508458513</v>
      </c>
      <c r="E46" s="10" t="n">
        <v>21793</v>
      </c>
      <c r="F46" s="10" t="n">
        <v>6635</v>
      </c>
      <c r="G46" s="11" t="n">
        <f aca="false">IF(AND(ISNUMBER(E46),ISNUMBER(F46),N(E46)&gt;0),F46/E46,"")</f>
        <v>0.30445555912449</v>
      </c>
      <c r="H46" s="10" t="n">
        <v>22600</v>
      </c>
      <c r="I46" s="10" t="n">
        <v>6897</v>
      </c>
      <c r="J46" s="11" t="n">
        <f aca="false">IF(AND(ISNUMBER(H46),ISNUMBER(I46),N(H46)&gt;0),I46/H46,"")</f>
        <v>0.305176991150443</v>
      </c>
      <c r="K46" s="10" t="n">
        <v>24094</v>
      </c>
      <c r="L46" s="10" t="n">
        <v>7348</v>
      </c>
      <c r="M46" s="11" t="n">
        <f aca="false">IF(AND(ISNUMBER(K46),ISNUMBER(L46),N(K46)&gt;0),L46/K46,"")</f>
        <v>0.304972192247033</v>
      </c>
      <c r="N46" s="10" t="n">
        <v>3</v>
      </c>
    </row>
    <row r="47" customFormat="false" ht="15" hidden="false" customHeight="false" outlineLevel="0" collapsed="false">
      <c r="A47" s="9" t="s">
        <v>1279</v>
      </c>
      <c r="B47" s="10" t="n">
        <v>3037</v>
      </c>
      <c r="C47" s="10" t="n">
        <v>458</v>
      </c>
      <c r="D47" s="11" t="n">
        <f aca="false">IF(AND(ISNUMBER(B47),ISNUMBER(C47),N(B47)&gt;0),C47/B47,"")</f>
        <v>0.150806717155087</v>
      </c>
      <c r="E47" s="10" t="n">
        <v>3169</v>
      </c>
      <c r="F47" s="10" t="n">
        <v>472</v>
      </c>
      <c r="G47" s="11" t="n">
        <f aca="false">IF(AND(ISNUMBER(E47),ISNUMBER(F47),N(E47)&gt;0),F47/E47,"")</f>
        <v>0.148942884190596</v>
      </c>
      <c r="H47" s="10" t="n">
        <v>3984</v>
      </c>
      <c r="I47" s="10" t="n">
        <v>597</v>
      </c>
      <c r="J47" s="11" t="n">
        <f aca="false">IF(AND(ISNUMBER(H47),ISNUMBER(I47),N(H47)&gt;0),I47/H47,"")</f>
        <v>0.149849397590361</v>
      </c>
      <c r="K47" s="10" t="n">
        <v>3829</v>
      </c>
      <c r="L47" s="10" t="n">
        <v>543</v>
      </c>
      <c r="M47" s="11" t="n">
        <f aca="false">IF(AND(ISNUMBER(K47),ISNUMBER(L47),N(K47)&gt;0),L47/K47,"")</f>
        <v>0.1418124836772</v>
      </c>
      <c r="N47" s="10" t="n">
        <v>6</v>
      </c>
    </row>
    <row r="48" customFormat="false" ht="15" hidden="false" customHeight="false" outlineLevel="0" collapsed="false">
      <c r="A48" s="9" t="s">
        <v>1280</v>
      </c>
      <c r="B48" s="10" t="n">
        <v>1422</v>
      </c>
      <c r="C48" s="10" t="n">
        <v>489</v>
      </c>
      <c r="D48" s="11" t="n">
        <f aca="false">IF(AND(ISNUMBER(B48),ISNUMBER(C48),N(B48)&gt;0),C48/B48,"")</f>
        <v>0.343881856540084</v>
      </c>
      <c r="E48" s="10" t="n">
        <v>1542</v>
      </c>
      <c r="F48" s="10" t="n">
        <v>571</v>
      </c>
      <c r="G48" s="11" t="n">
        <f aca="false">IF(AND(ISNUMBER(E48),ISNUMBER(F48),N(E48)&gt;0),F48/E48,"")</f>
        <v>0.37029831387808</v>
      </c>
      <c r="H48" s="10" t="n">
        <v>1711</v>
      </c>
      <c r="I48" s="10" t="n">
        <v>628</v>
      </c>
      <c r="J48" s="11" t="n">
        <f aca="false">IF(AND(ISNUMBER(H48),ISNUMBER(I48),N(H48)&gt;0),I48/H48,"")</f>
        <v>0.367036820572765</v>
      </c>
      <c r="K48" s="10" t="n">
        <v>1731</v>
      </c>
      <c r="L48" s="10" t="n">
        <v>652</v>
      </c>
      <c r="M48" s="11" t="n">
        <f aca="false">IF(AND(ISNUMBER(K48),ISNUMBER(L48),N(K48)&gt;0),L48/K48,"")</f>
        <v>0.376660889659157</v>
      </c>
      <c r="N48" s="10" t="n">
        <v>1</v>
      </c>
    </row>
    <row r="49" customFormat="false" ht="15" hidden="false" customHeight="false" outlineLevel="0" collapsed="false">
      <c r="A49" s="9" t="s">
        <v>1281</v>
      </c>
      <c r="B49" s="10" t="n">
        <v>858</v>
      </c>
      <c r="C49" s="10" t="n">
        <v>286</v>
      </c>
      <c r="D49" s="11" t="n">
        <f aca="false">IF(AND(ISNUMBER(B49),ISNUMBER(C49),N(B49)&gt;0),C49/B49,"")</f>
        <v>0.333333333333333</v>
      </c>
      <c r="E49" s="10" t="n">
        <v>794</v>
      </c>
      <c r="F49" s="10" t="n">
        <v>193</v>
      </c>
      <c r="G49" s="11" t="n">
        <f aca="false">IF(AND(ISNUMBER(E49),ISNUMBER(F49),N(E49)&gt;0),F49/E49,"")</f>
        <v>0.243073047858942</v>
      </c>
      <c r="H49" s="10" t="n">
        <v>656</v>
      </c>
      <c r="I49" s="10" t="n">
        <v>155</v>
      </c>
      <c r="J49" s="11" t="n">
        <f aca="false">IF(AND(ISNUMBER(H49),ISNUMBER(I49),N(H49)&gt;0),I49/H49,"")</f>
        <v>0.236280487804878</v>
      </c>
      <c r="K49" s="10" t="n">
        <v>680</v>
      </c>
      <c r="L49" s="10" t="n">
        <v>176</v>
      </c>
      <c r="M49" s="11" t="n">
        <f aca="false">IF(AND(ISNUMBER(K49),ISNUMBER(L49),N(K49)&gt;0),L49/K49,"")</f>
        <v>0.258823529411765</v>
      </c>
      <c r="N49" s="10" t="n">
        <v>1</v>
      </c>
    </row>
    <row r="50" customFormat="false" ht="15" hidden="false" customHeight="false" outlineLevel="0" collapsed="false">
      <c r="A50" s="9" t="s">
        <v>1282</v>
      </c>
      <c r="B50" s="10" t="n">
        <v>5741</v>
      </c>
      <c r="C50" s="10" t="n">
        <v>3702</v>
      </c>
      <c r="D50" s="11" t="n">
        <f aca="false">IF(AND(ISNUMBER(B50),ISNUMBER(C50),N(B50)&gt;0),C50/B50,"")</f>
        <v>0.64483539453057</v>
      </c>
      <c r="E50" s="10" t="n">
        <v>6075</v>
      </c>
      <c r="F50" s="10" t="n">
        <v>3995</v>
      </c>
      <c r="G50" s="11" t="n">
        <f aca="false">IF(AND(ISNUMBER(E50),ISNUMBER(F50),N(E50)&gt;0),F50/E50,"")</f>
        <v>0.65761316872428</v>
      </c>
      <c r="H50" s="10" t="n">
        <v>6517</v>
      </c>
      <c r="I50" s="10" t="n">
        <v>4324</v>
      </c>
      <c r="J50" s="11" t="n">
        <f aca="false">IF(AND(ISNUMBER(H50),ISNUMBER(I50),N(H50)&gt;0),I50/H50,"")</f>
        <v>0.663495473377321</v>
      </c>
      <c r="K50" s="10" t="n">
        <v>6451</v>
      </c>
      <c r="L50" s="10" t="n">
        <v>4258</v>
      </c>
      <c r="M50" s="11" t="n">
        <f aca="false">IF(AND(ISNUMBER(K50),ISNUMBER(L50),N(K50)&gt;0),L50/K50,"")</f>
        <v>0.660052705006976</v>
      </c>
      <c r="N50" s="10" t="n">
        <v>1</v>
      </c>
    </row>
    <row r="51" customFormat="false" ht="15" hidden="false" customHeight="false" outlineLevel="0" collapsed="false">
      <c r="A51" s="9" t="s">
        <v>1283</v>
      </c>
      <c r="B51" s="10" t="n">
        <v>21000</v>
      </c>
      <c r="C51" s="10" t="n">
        <v>8000</v>
      </c>
      <c r="D51" s="11" t="n">
        <f aca="false">IF(AND(ISNUMBER(B51),ISNUMBER(C51),N(B51)&gt;0),C51/B51,"")</f>
        <v>0.380952380952381</v>
      </c>
      <c r="E51" s="10" t="n">
        <v>19898</v>
      </c>
      <c r="F51" s="10" t="n">
        <v>7617</v>
      </c>
      <c r="G51" s="11" t="n">
        <f aca="false">IF(AND(ISNUMBER(E51),ISNUMBER(F51),N(E51)&gt;0),F51/E51,"")</f>
        <v>0.382802291687607</v>
      </c>
      <c r="H51" s="10" t="n">
        <v>20993</v>
      </c>
      <c r="I51" s="10" t="n">
        <v>8001</v>
      </c>
      <c r="J51" s="11" t="n">
        <f aca="false">IF(AND(ISNUMBER(H51),ISNUMBER(I51),N(H51)&gt;0),I51/H51,"")</f>
        <v>0.381127042347449</v>
      </c>
      <c r="K51" s="10" t="n">
        <v>21504</v>
      </c>
      <c r="L51" s="10" t="n">
        <v>8531</v>
      </c>
      <c r="M51" s="11" t="n">
        <f aca="false">IF(AND(ISNUMBER(K51),ISNUMBER(L51),N(K51)&gt;0),L51/K51,"")</f>
        <v>0.396716889880952</v>
      </c>
      <c r="N51" s="10" t="n">
        <v>2</v>
      </c>
    </row>
    <row r="52" customFormat="false" ht="15" hidden="false" customHeight="false" outlineLevel="0" collapsed="false">
      <c r="A52" s="9" t="s">
        <v>1284</v>
      </c>
      <c r="B52" s="10" t="n">
        <v>12200</v>
      </c>
      <c r="C52" s="10" t="n">
        <v>6313</v>
      </c>
      <c r="D52" s="11" t="n">
        <f aca="false">IF(AND(ISNUMBER(B52),ISNUMBER(C52),N(B52)&gt;0),C52/B52,"")</f>
        <v>0.517459016393443</v>
      </c>
      <c r="E52" s="10" t="n">
        <v>11671</v>
      </c>
      <c r="F52" s="10" t="n">
        <v>6079</v>
      </c>
      <c r="G52" s="11" t="n">
        <f aca="false">IF(AND(ISNUMBER(E52),ISNUMBER(F52),N(E52)&gt;0),F52/E52,"")</f>
        <v>0.520863679204867</v>
      </c>
      <c r="H52" s="10" t="n">
        <v>10433</v>
      </c>
      <c r="I52" s="10" t="n">
        <v>5383</v>
      </c>
      <c r="J52" s="11" t="n">
        <f aca="false">IF(AND(ISNUMBER(H52),ISNUMBER(I52),N(H52)&gt;0),I52/H52,"")</f>
        <v>0.515958976325122</v>
      </c>
      <c r="K52" s="10" t="n">
        <v>9326</v>
      </c>
      <c r="L52" s="10" t="n">
        <v>4815</v>
      </c>
      <c r="M52" s="11" t="n">
        <f aca="false">IF(AND(ISNUMBER(K52),ISNUMBER(L52),N(K52)&gt;0),L52/K52,"")</f>
        <v>0.516298520265923</v>
      </c>
      <c r="N52" s="10" t="n">
        <v>0</v>
      </c>
    </row>
    <row r="53" customFormat="false" ht="15" hidden="false" customHeight="false" outlineLevel="0" collapsed="false">
      <c r="A53" s="9" t="s">
        <v>1285</v>
      </c>
      <c r="B53" s="10" t="n">
        <v>395</v>
      </c>
      <c r="C53" s="10" t="n">
        <v>118</v>
      </c>
      <c r="D53" s="11" t="n">
        <f aca="false">IF(AND(ISNUMBER(B53),ISNUMBER(C53),N(B53)&gt;0),C53/B53,"")</f>
        <v>0.29873417721519</v>
      </c>
      <c r="E53" s="10" t="n">
        <v>441</v>
      </c>
      <c r="F53" s="10" t="n">
        <v>114</v>
      </c>
      <c r="G53" s="11" t="n">
        <f aca="false">IF(AND(ISNUMBER(E53),ISNUMBER(F53),N(E53)&gt;0),F53/E53,"")</f>
        <v>0.258503401360544</v>
      </c>
      <c r="H53" s="10" t="n">
        <v>395</v>
      </c>
      <c r="I53" s="10" t="n">
        <v>98</v>
      </c>
      <c r="J53" s="11" t="n">
        <f aca="false">IF(AND(ISNUMBER(H53),ISNUMBER(I53),N(H53)&gt;0),I53/H53,"")</f>
        <v>0.248101265822785</v>
      </c>
      <c r="K53" s="10" t="n">
        <v>362</v>
      </c>
      <c r="L53" s="10" t="n">
        <v>80</v>
      </c>
      <c r="M53" s="11" t="n">
        <f aca="false">IF(AND(ISNUMBER(K53),ISNUMBER(L53),N(K53)&gt;0),L53/K53,"")</f>
        <v>0.220994475138122</v>
      </c>
      <c r="N53" s="10" t="n">
        <v>2</v>
      </c>
    </row>
    <row r="54" customFormat="false" ht="15" hidden="false" customHeight="false" outlineLevel="0" collapsed="false">
      <c r="A54" s="9" t="s">
        <v>1286</v>
      </c>
      <c r="B54" s="10" t="n">
        <v>3380</v>
      </c>
      <c r="C54" s="10" t="n">
        <v>1478</v>
      </c>
      <c r="D54" s="11" t="n">
        <f aca="false">IF(AND(ISNUMBER(B54),ISNUMBER(C54),N(B54)&gt;0),C54/B54,"")</f>
        <v>0.437278106508876</v>
      </c>
      <c r="E54" s="10" t="n">
        <v>3625</v>
      </c>
      <c r="F54" s="10" t="n">
        <v>1725</v>
      </c>
      <c r="G54" s="11" t="n">
        <f aca="false">IF(AND(ISNUMBER(E54),ISNUMBER(F54),N(E54)&gt;0),F54/E54,"")</f>
        <v>0.475862068965517</v>
      </c>
      <c r="H54" s="10" t="n">
        <v>4021</v>
      </c>
      <c r="I54" s="10" t="n">
        <v>1888</v>
      </c>
      <c r="J54" s="11" t="n">
        <f aca="false">IF(AND(ISNUMBER(H54),ISNUMBER(I54),N(H54)&gt;0),I54/H54,"")</f>
        <v>0.469534941556827</v>
      </c>
      <c r="K54" s="10" t="n">
        <v>4164</v>
      </c>
      <c r="L54" s="10" t="n">
        <v>1922</v>
      </c>
      <c r="M54" s="11" t="n">
        <f aca="false">IF(AND(ISNUMBER(K54),ISNUMBER(L54),N(K54)&gt;0),L54/K54,"")</f>
        <v>0.461575408261287</v>
      </c>
      <c r="N54" s="10" t="n">
        <v>0</v>
      </c>
    </row>
    <row r="56" customFormat="false" ht="15" hidden="false" customHeight="false" outlineLevel="0" collapsed="false">
      <c r="A56" s="5" t="s">
        <v>1287</v>
      </c>
      <c r="B56" s="18" t="n">
        <f aca="false">SUMPRODUCT((C5:C54&lt;&gt;"")*N(+B5:B54))</f>
        <v>224799</v>
      </c>
      <c r="C56" s="18" t="n">
        <f aca="false">SUM(C5:C54)</f>
        <v>85827</v>
      </c>
      <c r="D56" s="19" t="n">
        <f aca="false">C56/B56</f>
        <v>0.381794403000013</v>
      </c>
      <c r="E56" s="18" t="n">
        <f aca="false">SUMPRODUCT((F5:F54&lt;&gt;"")*N(+E5:E54))</f>
        <v>226833</v>
      </c>
      <c r="F56" s="18" t="n">
        <f aca="false">SUM(F5:F54)</f>
        <v>84310</v>
      </c>
      <c r="G56" s="19" t="n">
        <f aca="false">F56/E56</f>
        <v>0.371683132524809</v>
      </c>
      <c r="H56" s="18" t="n">
        <f aca="false">SUMPRODUCT((I5:I54&lt;&gt;"")*N(+H5:H54))</f>
        <v>238318</v>
      </c>
      <c r="I56" s="18" t="n">
        <f aca="false">SUM(I5:I54)</f>
        <v>91782</v>
      </c>
      <c r="J56" s="19" t="n">
        <f aca="false">I56/H56</f>
        <v>0.385124077912705</v>
      </c>
      <c r="K56" s="18" t="n">
        <f aca="false">SUMPRODUCT((L5:L54&lt;&gt;"")*N(+K5:K54))</f>
        <v>237466</v>
      </c>
      <c r="L56" s="18" t="n">
        <f aca="false">SUM(L5:L54)</f>
        <v>87910</v>
      </c>
      <c r="M56" s="19" t="n">
        <f aca="false">L56/K56</f>
        <v>0.370200365526012</v>
      </c>
    </row>
    <row r="57" customFormat="false" ht="15" hidden="false" customHeight="false" outlineLevel="0" collapsed="false">
      <c r="A57" s="2" t="s">
        <v>1288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6" min="2" style="0" width="11"/>
    <col collapsed="false" customWidth="true" hidden="false" outlineLevel="0" max="17" min="17" style="0" width="14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" t="s">
        <v>1289</v>
      </c>
    </row>
    <row r="2" customFormat="false" ht="15" hidden="false" customHeight="false" outlineLevel="0" collapsed="false">
      <c r="A2" s="2" t="s">
        <v>1290</v>
      </c>
    </row>
    <row r="4" customFormat="false" ht="43.5" hidden="false" customHeight="true" outlineLevel="0" collapsed="false">
      <c r="A4" s="8" t="s">
        <v>1291</v>
      </c>
      <c r="B4" s="8" t="s">
        <v>1292</v>
      </c>
      <c r="C4" s="8" t="s">
        <v>1293</v>
      </c>
      <c r="D4" s="8" t="s">
        <v>1294</v>
      </c>
      <c r="E4" s="8" t="s">
        <v>1224</v>
      </c>
      <c r="F4" s="8" t="s">
        <v>1225</v>
      </c>
      <c r="G4" s="8" t="s">
        <v>1226</v>
      </c>
      <c r="H4" s="8" t="s">
        <v>1227</v>
      </c>
      <c r="I4" s="8" t="s">
        <v>1228</v>
      </c>
      <c r="J4" s="8" t="s">
        <v>1229</v>
      </c>
      <c r="K4" s="8" t="s">
        <v>1230</v>
      </c>
      <c r="L4" s="8" t="s">
        <v>1231</v>
      </c>
      <c r="M4" s="8" t="s">
        <v>1232</v>
      </c>
      <c r="N4" s="8" t="s">
        <v>1233</v>
      </c>
      <c r="O4" s="8" t="s">
        <v>1234</v>
      </c>
      <c r="P4" s="8" t="s">
        <v>1235</v>
      </c>
      <c r="Q4" s="8" t="s">
        <v>1295</v>
      </c>
      <c r="R4" s="8" t="s">
        <v>1296</v>
      </c>
    </row>
    <row r="5" customFormat="false" ht="15" hidden="false" customHeight="false" outlineLevel="0" collapsed="false">
      <c r="A5" s="9" t="s">
        <v>1297</v>
      </c>
      <c r="B5" s="10" t="n">
        <v>4878</v>
      </c>
      <c r="C5" s="10" t="n">
        <v>2266</v>
      </c>
      <c r="D5" s="11" t="n">
        <f aca="false">IF(AND(ISNUMBER(B5),ISNUMBER(C5),N(B5)&gt;0),C5/B5,"")</f>
        <v>0.464534645346453</v>
      </c>
      <c r="E5" s="10" t="n">
        <v>5719</v>
      </c>
      <c r="F5" s="10" t="n">
        <v>2754</v>
      </c>
      <c r="G5" s="11" t="n">
        <f aca="false">IF(AND(ISNUMBER(E5),ISNUMBER(F5),N(E5)&gt;0),F5/E5,"")</f>
        <v>0.481552719006819</v>
      </c>
      <c r="H5" s="10" t="n">
        <v>5716</v>
      </c>
      <c r="I5" s="10" t="n">
        <v>2802</v>
      </c>
      <c r="J5" s="11" t="n">
        <f aca="false">IF(AND(ISNUMBER(H5),ISNUMBER(I5),N(H5)&gt;0),I5/H5,"")</f>
        <v>0.490202939118265</v>
      </c>
      <c r="K5" s="10" t="n">
        <v>5971</v>
      </c>
      <c r="L5" s="10" t="n">
        <v>2925</v>
      </c>
      <c r="M5" s="11" t="n">
        <f aca="false">IF(AND(ISNUMBER(K5),ISNUMBER(L5),N(K5)&gt;0),L5/K5,"")</f>
        <v>0.489867693853626</v>
      </c>
      <c r="N5" s="10" t="n">
        <v>6271</v>
      </c>
      <c r="O5" s="10" t="n">
        <v>3082</v>
      </c>
      <c r="P5" s="11" t="n">
        <f aca="false">IF(AND(ISNUMBER(N5),ISNUMBER(O5),N(N5)&gt;0),O5/N5,"")</f>
        <v>0.491468665284644</v>
      </c>
      <c r="Q5" s="20" t="n">
        <f aca="false">IF(AND(ISNUMBER(D5),ISNUMBER(P5)),(P5-D5)*100,"")</f>
        <v>2.69340199381902</v>
      </c>
      <c r="R5" s="9" t="s">
        <v>1298</v>
      </c>
    </row>
    <row r="6" customFormat="false" ht="15" hidden="false" customHeight="false" outlineLevel="0" collapsed="false">
      <c r="A6" s="9" t="s">
        <v>1299</v>
      </c>
      <c r="B6" s="10" t="n">
        <v>548</v>
      </c>
      <c r="C6" s="10" t="n">
        <v>235</v>
      </c>
      <c r="D6" s="11" t="n">
        <f aca="false">IF(AND(ISNUMBER(B6),ISNUMBER(C6),N(B6)&gt;0),C6/B6,"")</f>
        <v>0.428832116788321</v>
      </c>
      <c r="E6" s="10" t="n">
        <v>600</v>
      </c>
      <c r="F6" s="10" t="n">
        <v>260</v>
      </c>
      <c r="G6" s="11" t="n">
        <f aca="false">IF(AND(ISNUMBER(E6),ISNUMBER(F6),N(E6)&gt;0),F6/E6,"")</f>
        <v>0.433333333333333</v>
      </c>
      <c r="H6" s="10" t="n">
        <v>640</v>
      </c>
      <c r="I6" s="10" t="n">
        <v>263</v>
      </c>
      <c r="J6" s="11" t="n">
        <f aca="false">IF(AND(ISNUMBER(H6),ISNUMBER(I6),N(H6)&gt;0),I6/H6,"")</f>
        <v>0.4109375</v>
      </c>
      <c r="K6" s="10" t="n">
        <v>650</v>
      </c>
      <c r="L6" s="10" t="n">
        <v>300</v>
      </c>
      <c r="M6" s="11" t="n">
        <f aca="false">IF(AND(ISNUMBER(K6),ISNUMBER(L6),N(K6)&gt;0),L6/K6,"")</f>
        <v>0.461538461538462</v>
      </c>
      <c r="N6" s="10" t="n">
        <v>650</v>
      </c>
      <c r="O6" s="10" t="n">
        <v>300</v>
      </c>
      <c r="P6" s="11" t="n">
        <f aca="false">IF(AND(ISNUMBER(N6),ISNUMBER(O6),N(N6)&gt;0),O6/N6,"")</f>
        <v>0.461538461538462</v>
      </c>
      <c r="Q6" s="20" t="n">
        <f aca="false">IF(AND(ISNUMBER(D6),ISNUMBER(P6)),(P6-D6)*100,"")</f>
        <v>3.27063447501404</v>
      </c>
      <c r="R6" s="9" t="s">
        <v>1298</v>
      </c>
    </row>
    <row r="7" customFormat="false" ht="15" hidden="false" customHeight="false" outlineLevel="0" collapsed="false">
      <c r="A7" s="9" t="s">
        <v>1300</v>
      </c>
      <c r="B7" s="10" t="n">
        <v>247</v>
      </c>
      <c r="C7" s="10" t="n">
        <v>63</v>
      </c>
      <c r="D7" s="11" t="n">
        <f aca="false">IF(AND(ISNUMBER(B7),ISNUMBER(C7),N(B7)&gt;0),C7/B7,"")</f>
        <v>0.255060728744939</v>
      </c>
      <c r="E7" s="10" t="n">
        <v>489</v>
      </c>
      <c r="F7" s="10" t="n">
        <v>148</v>
      </c>
      <c r="G7" s="11" t="n">
        <f aca="false">IF(AND(ISNUMBER(E7),ISNUMBER(F7),N(E7)&gt;0),F7/E7,"")</f>
        <v>0.302658486707566</v>
      </c>
      <c r="H7" s="10" t="n">
        <v>429</v>
      </c>
      <c r="I7" s="10" t="n">
        <v>118</v>
      </c>
      <c r="J7" s="11" t="n">
        <f aca="false">IF(AND(ISNUMBER(H7),ISNUMBER(I7),N(H7)&gt;0),I7/H7,"")</f>
        <v>0.275058275058275</v>
      </c>
      <c r="K7" s="10" t="n">
        <v>421</v>
      </c>
      <c r="L7" s="10" t="n">
        <v>125</v>
      </c>
      <c r="M7" s="11" t="n">
        <f aca="false">IF(AND(ISNUMBER(K7),ISNUMBER(L7),N(K7)&gt;0),L7/K7,"")</f>
        <v>0.296912114014252</v>
      </c>
      <c r="N7" s="10" t="n">
        <v>424</v>
      </c>
      <c r="O7" s="10" t="n">
        <v>91</v>
      </c>
      <c r="P7" s="11" t="n">
        <f aca="false">IF(AND(ISNUMBER(N7),ISNUMBER(O7),N(N7)&gt;0),O7/N7,"")</f>
        <v>0.214622641509434</v>
      </c>
      <c r="Q7" s="20" t="n">
        <f aca="false">IF(AND(ISNUMBER(D7),ISNUMBER(P7)),(P7-D7)*100,"")</f>
        <v>-4.04380872355053</v>
      </c>
      <c r="R7" s="9" t="s">
        <v>1298</v>
      </c>
    </row>
    <row r="8" customFormat="false" ht="15" hidden="false" customHeight="false" outlineLevel="0" collapsed="false">
      <c r="A8" s="9" t="s">
        <v>1301</v>
      </c>
      <c r="B8" s="10" t="n">
        <v>2470</v>
      </c>
      <c r="C8" s="10" t="n">
        <v>838</v>
      </c>
      <c r="D8" s="11" t="n">
        <f aca="false">IF(AND(ISNUMBER(B8),ISNUMBER(C8),N(B8)&gt;0),C8/B8,"")</f>
        <v>0.339271255060729</v>
      </c>
      <c r="E8" s="10" t="n">
        <v>3458</v>
      </c>
      <c r="F8" s="10" t="n">
        <v>1264</v>
      </c>
      <c r="G8" s="11" t="n">
        <f aca="false">IF(AND(ISNUMBER(E8),ISNUMBER(F8),N(E8)&gt;0),F8/E8,"")</f>
        <v>0.365529207634471</v>
      </c>
      <c r="H8" s="10" t="n">
        <v>3705</v>
      </c>
      <c r="I8" s="10" t="n">
        <v>1346</v>
      </c>
      <c r="J8" s="11" t="n">
        <f aca="false">IF(AND(ISNUMBER(H8),ISNUMBER(I8),N(H8)&gt;0),I8/H8,"")</f>
        <v>0.363292847503374</v>
      </c>
      <c r="K8" s="10" t="n">
        <v>4574</v>
      </c>
      <c r="L8" s="10" t="n">
        <v>1619</v>
      </c>
      <c r="M8" s="11" t="n">
        <f aca="false">IF(AND(ISNUMBER(K8),ISNUMBER(L8),N(K8)&gt;0),L8/K8,"")</f>
        <v>0.353957149103629</v>
      </c>
      <c r="N8" s="10" t="n">
        <v>4823</v>
      </c>
      <c r="O8" s="10" t="n">
        <v>1692</v>
      </c>
      <c r="P8" s="11" t="n">
        <f aca="false">IF(AND(ISNUMBER(N8),ISNUMBER(O8),N(N8)&gt;0),O8/N8,"")</f>
        <v>0.350818992328426</v>
      </c>
      <c r="Q8" s="20" t="n">
        <f aca="false">IF(AND(ISNUMBER(D8),ISNUMBER(P8)),(P8-D8)*100,"")</f>
        <v>1.15477372676975</v>
      </c>
      <c r="R8" s="9" t="s">
        <v>1298</v>
      </c>
    </row>
    <row r="9" customFormat="false" ht="15" hidden="false" customHeight="false" outlineLevel="0" collapsed="false">
      <c r="A9" s="9" t="s">
        <v>1302</v>
      </c>
      <c r="B9" s="10" t="n">
        <v>443</v>
      </c>
      <c r="C9" s="10" t="n">
        <v>90</v>
      </c>
      <c r="D9" s="11" t="n">
        <f aca="false">IF(AND(ISNUMBER(B9),ISNUMBER(C9),N(B9)&gt;0),C9/B9,"")</f>
        <v>0.203160270880361</v>
      </c>
      <c r="E9" s="10"/>
      <c r="F9" s="10"/>
      <c r="G9" s="11" t="str">
        <f aca="false">IF(AND(ISNUMBER(E9),ISNUMBER(F9),N(E9)&gt;0),F9/E9,"")</f>
        <v/>
      </c>
      <c r="H9" s="10" t="n">
        <v>359</v>
      </c>
      <c r="I9" s="10" t="n">
        <v>90</v>
      </c>
      <c r="J9" s="11" t="n">
        <f aca="false">IF(AND(ISNUMBER(H9),ISNUMBER(I9),N(H9)&gt;0),I9/H9,"")</f>
        <v>0.250696378830084</v>
      </c>
      <c r="K9" s="10"/>
      <c r="L9" s="10"/>
      <c r="M9" s="11" t="str">
        <f aca="false">IF(AND(ISNUMBER(K9),ISNUMBER(L9),N(K9)&gt;0),L9/K9,"")</f>
        <v/>
      </c>
      <c r="N9" s="10"/>
      <c r="O9" s="10"/>
      <c r="P9" s="11" t="str">
        <f aca="false">IF(AND(ISNUMBER(N9),ISNUMBER(O9),N(N9)&gt;0),O9/N9,"")</f>
        <v/>
      </c>
      <c r="Q9" s="20" t="str">
        <f aca="false">IF(AND(ISNUMBER(D9),ISNUMBER(P9)),(P9-D9)*100,"")</f>
        <v/>
      </c>
      <c r="R9" s="9" t="s">
        <v>1303</v>
      </c>
    </row>
    <row r="10" customFormat="false" ht="15" hidden="false" customHeight="false" outlineLevel="0" collapsed="false">
      <c r="A10" s="9" t="s">
        <v>1304</v>
      </c>
      <c r="B10" s="10" t="n">
        <v>6719</v>
      </c>
      <c r="C10" s="10" t="n">
        <v>1325</v>
      </c>
      <c r="D10" s="11" t="n">
        <f aca="false">IF(AND(ISNUMBER(B10),ISNUMBER(C10),N(B10)&gt;0),C10/B10,"")</f>
        <v>0.197201964578062</v>
      </c>
      <c r="E10" s="10" t="n">
        <v>9828</v>
      </c>
      <c r="F10" s="10" t="n">
        <v>2802</v>
      </c>
      <c r="G10" s="11" t="n">
        <f aca="false">IF(AND(ISNUMBER(E10),ISNUMBER(F10),N(E10)&gt;0),F10/E10,"")</f>
        <v>0.285103785103785</v>
      </c>
      <c r="H10" s="10" t="n">
        <v>9890</v>
      </c>
      <c r="I10" s="10" t="n">
        <v>2786</v>
      </c>
      <c r="J10" s="11" t="n">
        <f aca="false">IF(AND(ISNUMBER(H10),ISNUMBER(I10),N(H10)&gt;0),I10/H10,"")</f>
        <v>0.28169868554095</v>
      </c>
      <c r="K10" s="10" t="n">
        <v>10309</v>
      </c>
      <c r="L10" s="10" t="n">
        <v>2909</v>
      </c>
      <c r="M10" s="11" t="n">
        <f aca="false">IF(AND(ISNUMBER(K10),ISNUMBER(L10),N(K10)&gt;0),L10/K10,"")</f>
        <v>0.28218061887671</v>
      </c>
      <c r="N10" s="10" t="n">
        <v>10024</v>
      </c>
      <c r="O10" s="10" t="n">
        <v>2145</v>
      </c>
      <c r="P10" s="11" t="n">
        <f aca="false">IF(AND(ISNUMBER(N10),ISNUMBER(O10),N(N10)&gt;0),O10/N10,"")</f>
        <v>0.213986432561852</v>
      </c>
      <c r="Q10" s="20" t="n">
        <f aca="false">IF(AND(ISNUMBER(D10),ISNUMBER(P10)),(P10-D10)*100,"")</f>
        <v>1.67844679837894</v>
      </c>
      <c r="R10" s="9" t="s">
        <v>1298</v>
      </c>
    </row>
    <row r="11" customFormat="false" ht="15" hidden="false" customHeight="false" outlineLevel="0" collapsed="false">
      <c r="A11" s="9" t="s">
        <v>1305</v>
      </c>
      <c r="B11" s="10" t="n">
        <v>324</v>
      </c>
      <c r="C11" s="10"/>
      <c r="D11" s="11" t="str">
        <f aca="false">IF(AND(ISNUMBER(B11),ISNUMBER(C11),N(B11)&gt;0),C11/B11,"")</f>
        <v/>
      </c>
      <c r="E11" s="10" t="n">
        <v>301</v>
      </c>
      <c r="F11" s="10" t="n">
        <v>29</v>
      </c>
      <c r="G11" s="11" t="n">
        <f aca="false">IF(AND(ISNUMBER(E11),ISNUMBER(F11),N(E11)&gt;0),F11/E11,"")</f>
        <v>0.0963455149501661</v>
      </c>
      <c r="H11" s="10" t="n">
        <v>327</v>
      </c>
      <c r="I11" s="10" t="n">
        <v>30</v>
      </c>
      <c r="J11" s="11" t="n">
        <f aca="false">IF(AND(ISNUMBER(H11),ISNUMBER(I11),N(H11)&gt;0),I11/H11,"")</f>
        <v>0.0917431192660551</v>
      </c>
      <c r="K11" s="10" t="n">
        <v>324</v>
      </c>
      <c r="L11" s="10" t="n">
        <v>27</v>
      </c>
      <c r="M11" s="11" t="n">
        <f aca="false">IF(AND(ISNUMBER(K11),ISNUMBER(L11),N(K11)&gt;0),L11/K11,"")</f>
        <v>0.0833333333333333</v>
      </c>
      <c r="N11" s="10" t="n">
        <v>312</v>
      </c>
      <c r="O11" s="10" t="n">
        <v>21</v>
      </c>
      <c r="P11" s="11" t="n">
        <f aca="false">IF(AND(ISNUMBER(N11),ISNUMBER(O11),N(N11)&gt;0),O11/N11,"")</f>
        <v>0.0673076923076923</v>
      </c>
      <c r="Q11" s="20" t="str">
        <f aca="false">IF(AND(ISNUMBER(D11),ISNUMBER(P11)),(P11-D11)*100,"")</f>
        <v/>
      </c>
      <c r="R11" s="9" t="s">
        <v>1303</v>
      </c>
    </row>
    <row r="12" customFormat="false" ht="15" hidden="false" customHeight="false" outlineLevel="0" collapsed="false">
      <c r="A12" s="9" t="s">
        <v>1306</v>
      </c>
      <c r="B12" s="10" t="n">
        <v>717</v>
      </c>
      <c r="C12" s="10"/>
      <c r="D12" s="11" t="str">
        <f aca="false">IF(AND(ISNUMBER(B12),ISNUMBER(C12),N(B12)&gt;0),C12/B12,"")</f>
        <v/>
      </c>
      <c r="E12" s="10" t="n">
        <v>795</v>
      </c>
      <c r="F12" s="10" t="n">
        <v>213</v>
      </c>
      <c r="G12" s="11" t="n">
        <f aca="false">IF(AND(ISNUMBER(E12),ISNUMBER(F12),N(E12)&gt;0),F12/E12,"")</f>
        <v>0.267924528301887</v>
      </c>
      <c r="H12" s="10" t="n">
        <v>808</v>
      </c>
      <c r="I12" s="10" t="n">
        <v>180</v>
      </c>
      <c r="J12" s="11" t="n">
        <f aca="false">IF(AND(ISNUMBER(H12),ISNUMBER(I12),N(H12)&gt;0),I12/H12,"")</f>
        <v>0.222772277227723</v>
      </c>
      <c r="K12" s="10" t="n">
        <v>876</v>
      </c>
      <c r="L12" s="10" t="n">
        <v>236</v>
      </c>
      <c r="M12" s="11" t="n">
        <f aca="false">IF(AND(ISNUMBER(K12),ISNUMBER(L12),N(K12)&gt;0),L12/K12,"")</f>
        <v>0.269406392694064</v>
      </c>
      <c r="N12" s="10" t="n">
        <v>851</v>
      </c>
      <c r="O12" s="10" t="n">
        <v>217</v>
      </c>
      <c r="P12" s="11" t="n">
        <f aca="false">IF(AND(ISNUMBER(N12),ISNUMBER(O12),N(N12)&gt;0),O12/N12,"")</f>
        <v>0.254994124559342</v>
      </c>
      <c r="Q12" s="20" t="str">
        <f aca="false">IF(AND(ISNUMBER(D12),ISNUMBER(P12)),(P12-D12)*100,"")</f>
        <v/>
      </c>
      <c r="R12" s="9" t="s">
        <v>1303</v>
      </c>
    </row>
    <row r="13" customFormat="false" ht="15" hidden="false" customHeight="false" outlineLevel="0" collapsed="false">
      <c r="A13" s="9" t="s">
        <v>1307</v>
      </c>
      <c r="B13" s="10" t="n">
        <v>46</v>
      </c>
      <c r="C13" s="10" t="n">
        <v>14</v>
      </c>
      <c r="D13" s="11" t="n">
        <f aca="false">IF(AND(ISNUMBER(B13),ISNUMBER(C13),N(B13)&gt;0),C13/B13,"")</f>
        <v>0.304347826086957</v>
      </c>
      <c r="E13" s="10" t="n">
        <v>55</v>
      </c>
      <c r="F13" s="10" t="n">
        <v>12</v>
      </c>
      <c r="G13" s="11" t="n">
        <f aca="false">IF(AND(ISNUMBER(E13),ISNUMBER(F13),N(E13)&gt;0),F13/E13,"")</f>
        <v>0.218181818181818</v>
      </c>
      <c r="H13" s="10" t="n">
        <v>60</v>
      </c>
      <c r="I13" s="10" t="n">
        <v>14</v>
      </c>
      <c r="J13" s="11" t="n">
        <f aca="false">IF(AND(ISNUMBER(H13),ISNUMBER(I13),N(H13)&gt;0),I13/H13,"")</f>
        <v>0.233333333333333</v>
      </c>
      <c r="K13" s="10" t="n">
        <v>55</v>
      </c>
      <c r="L13" s="10" t="n">
        <v>12</v>
      </c>
      <c r="M13" s="11" t="n">
        <f aca="false">IF(AND(ISNUMBER(K13),ISNUMBER(L13),N(K13)&gt;0),L13/K13,"")</f>
        <v>0.218181818181818</v>
      </c>
      <c r="N13" s="10" t="n">
        <v>64</v>
      </c>
      <c r="O13" s="10" t="n">
        <v>22</v>
      </c>
      <c r="P13" s="11" t="n">
        <f aca="false">IF(AND(ISNUMBER(N13),ISNUMBER(O13),N(N13)&gt;0),O13/N13,"")</f>
        <v>0.34375</v>
      </c>
      <c r="Q13" s="20" t="n">
        <f aca="false">IF(AND(ISNUMBER(D13),ISNUMBER(P13)),(P13-D13)*100,"")</f>
        <v>3.94021739130435</v>
      </c>
      <c r="R13" s="9" t="s">
        <v>1298</v>
      </c>
    </row>
    <row r="14" customFormat="false" ht="15" hidden="false" customHeight="false" outlineLevel="0" collapsed="false">
      <c r="A14" s="9" t="s">
        <v>1308</v>
      </c>
      <c r="B14" s="10" t="n">
        <v>1050</v>
      </c>
      <c r="C14" s="10" t="n">
        <v>92</v>
      </c>
      <c r="D14" s="11" t="n">
        <f aca="false">IF(AND(ISNUMBER(B14),ISNUMBER(C14),N(B14)&gt;0),C14/B14,"")</f>
        <v>0.0876190476190476</v>
      </c>
      <c r="E14" s="10" t="n">
        <v>1043</v>
      </c>
      <c r="F14" s="10" t="n">
        <v>78</v>
      </c>
      <c r="G14" s="11" t="n">
        <f aca="false">IF(AND(ISNUMBER(E14),ISNUMBER(F14),N(E14)&gt;0),F14/E14,"")</f>
        <v>0.074784276126558</v>
      </c>
      <c r="H14" s="10" t="n">
        <v>991</v>
      </c>
      <c r="I14" s="10" t="n">
        <v>98</v>
      </c>
      <c r="J14" s="11" t="n">
        <f aca="false">IF(AND(ISNUMBER(H14),ISNUMBER(I14),N(H14)&gt;0),I14/H14,"")</f>
        <v>0.0988900100908174</v>
      </c>
      <c r="K14" s="10" t="n">
        <v>1070</v>
      </c>
      <c r="L14" s="10" t="n">
        <v>106</v>
      </c>
      <c r="M14" s="11" t="n">
        <f aca="false">IF(AND(ISNUMBER(K14),ISNUMBER(L14),N(K14)&gt;0),L14/K14,"")</f>
        <v>0.0990654205607477</v>
      </c>
      <c r="N14" s="10" t="n">
        <v>1100</v>
      </c>
      <c r="O14" s="10" t="n">
        <v>114</v>
      </c>
      <c r="P14" s="11" t="n">
        <f aca="false">IF(AND(ISNUMBER(N14),ISNUMBER(O14),N(N14)&gt;0),O14/N14,"")</f>
        <v>0.103636363636364</v>
      </c>
      <c r="Q14" s="20" t="n">
        <f aca="false">IF(AND(ISNUMBER(D14),ISNUMBER(P14)),(P14-D14)*100,"")</f>
        <v>1.6017316017316</v>
      </c>
      <c r="R14" s="9" t="s">
        <v>1298</v>
      </c>
    </row>
    <row r="15" customFormat="false" ht="15" hidden="false" customHeight="false" outlineLevel="0" collapsed="false">
      <c r="A15" s="9" t="s">
        <v>1309</v>
      </c>
      <c r="B15" s="10" t="n">
        <v>1122</v>
      </c>
      <c r="C15" s="10" t="n">
        <v>221</v>
      </c>
      <c r="D15" s="11" t="n">
        <f aca="false">IF(AND(ISNUMBER(B15),ISNUMBER(C15),N(B15)&gt;0),C15/B15,"")</f>
        <v>0.196969696969697</v>
      </c>
      <c r="E15" s="10" t="n">
        <v>1055</v>
      </c>
      <c r="F15" s="10" t="n">
        <v>211</v>
      </c>
      <c r="G15" s="11" t="n">
        <f aca="false">IF(AND(ISNUMBER(E15),ISNUMBER(F15),N(E15)&gt;0),F15/E15,"")</f>
        <v>0.2</v>
      </c>
      <c r="H15" s="10" t="n">
        <v>1113</v>
      </c>
      <c r="I15" s="10" t="n">
        <v>234</v>
      </c>
      <c r="J15" s="11" t="n">
        <f aca="false">IF(AND(ISNUMBER(H15),ISNUMBER(I15),N(H15)&gt;0),I15/H15,"")</f>
        <v>0.210242587601078</v>
      </c>
      <c r="K15" s="10" t="n">
        <v>1048</v>
      </c>
      <c r="L15" s="10" t="n">
        <v>212</v>
      </c>
      <c r="M15" s="11" t="n">
        <f aca="false">IF(AND(ISNUMBER(K15),ISNUMBER(L15),N(K15)&gt;0),L15/K15,"")</f>
        <v>0.202290076335878</v>
      </c>
      <c r="N15" s="10" t="n">
        <v>1068</v>
      </c>
      <c r="O15" s="10" t="n">
        <v>220</v>
      </c>
      <c r="P15" s="11" t="n">
        <f aca="false">IF(AND(ISNUMBER(N15),ISNUMBER(O15),N(N15)&gt;0),O15/N15,"")</f>
        <v>0.205992509363296</v>
      </c>
      <c r="Q15" s="20" t="n">
        <f aca="false">IF(AND(ISNUMBER(D15),ISNUMBER(P15)),(P15-D15)*100,"")</f>
        <v>0.902281239359892</v>
      </c>
      <c r="R15" s="9" t="s">
        <v>1298</v>
      </c>
    </row>
    <row r="16" customFormat="false" ht="15" hidden="false" customHeight="false" outlineLevel="0" collapsed="false">
      <c r="A16" s="9" t="s">
        <v>1310</v>
      </c>
      <c r="B16" s="10" t="n">
        <v>1675</v>
      </c>
      <c r="C16" s="10" t="n">
        <v>1471</v>
      </c>
      <c r="D16" s="11" t="n">
        <f aca="false">IF(AND(ISNUMBER(B16),ISNUMBER(C16),N(B16)&gt;0),C16/B16,"")</f>
        <v>0.878208955223881</v>
      </c>
      <c r="E16" s="10" t="n">
        <v>2052</v>
      </c>
      <c r="F16" s="10" t="n">
        <v>1820</v>
      </c>
      <c r="G16" s="11" t="n">
        <f aca="false">IF(AND(ISNUMBER(E16),ISNUMBER(F16),N(E16)&gt;0),F16/E16,"")</f>
        <v>0.886939571150098</v>
      </c>
      <c r="H16" s="10"/>
      <c r="I16" s="10"/>
      <c r="J16" s="11" t="str">
        <f aca="false">IF(AND(ISNUMBER(H16),ISNUMBER(I16),N(H16)&gt;0),I16/H16,"")</f>
        <v/>
      </c>
      <c r="K16" s="10" t="n">
        <v>2118</v>
      </c>
      <c r="L16" s="10" t="n">
        <v>1846</v>
      </c>
      <c r="M16" s="11" t="n">
        <f aca="false">IF(AND(ISNUMBER(K16),ISNUMBER(L16),N(K16)&gt;0),L16/K16,"")</f>
        <v>0.871576959395656</v>
      </c>
      <c r="N16" s="10" t="n">
        <v>2207</v>
      </c>
      <c r="O16" s="10" t="n">
        <v>1952</v>
      </c>
      <c r="P16" s="11" t="n">
        <f aca="false">IF(AND(ISNUMBER(N16),ISNUMBER(O16),N(N16)&gt;0),O16/N16,"")</f>
        <v>0.88445854100589</v>
      </c>
      <c r="Q16" s="20" t="n">
        <f aca="false">IF(AND(ISNUMBER(D16),ISNUMBER(P16)),(P16-D16)*100,"")</f>
        <v>0.624958578200974</v>
      </c>
      <c r="R16" s="9" t="s">
        <v>1303</v>
      </c>
    </row>
    <row r="17" customFormat="false" ht="15" hidden="false" customHeight="false" outlineLevel="0" collapsed="false">
      <c r="A17" s="9" t="s">
        <v>1311</v>
      </c>
      <c r="B17" s="10" t="n">
        <v>934</v>
      </c>
      <c r="C17" s="10" t="n">
        <v>258</v>
      </c>
      <c r="D17" s="11" t="n">
        <f aca="false">IF(AND(ISNUMBER(B17),ISNUMBER(C17),N(B17)&gt;0),C17/B17,"")</f>
        <v>0.276231263383298</v>
      </c>
      <c r="E17" s="10" t="n">
        <v>1198</v>
      </c>
      <c r="F17" s="10" t="n">
        <v>354</v>
      </c>
      <c r="G17" s="11" t="n">
        <f aca="false">IF(AND(ISNUMBER(E17),ISNUMBER(F17),N(E17)&gt;0),F17/E17,"")</f>
        <v>0.295492487479132</v>
      </c>
      <c r="H17" s="10" t="n">
        <v>1269</v>
      </c>
      <c r="I17" s="10" t="n">
        <v>448</v>
      </c>
      <c r="J17" s="11" t="n">
        <f aca="false">IF(AND(ISNUMBER(H17),ISNUMBER(I17),N(H17)&gt;0),I17/H17,"")</f>
        <v>0.353033884948779</v>
      </c>
      <c r="K17" s="10" t="n">
        <v>1504</v>
      </c>
      <c r="L17" s="10" t="n">
        <v>555</v>
      </c>
      <c r="M17" s="11" t="n">
        <f aca="false">IF(AND(ISNUMBER(K17),ISNUMBER(L17),N(K17)&gt;0),L17/K17,"")</f>
        <v>0.369015957446809</v>
      </c>
      <c r="N17" s="10" t="n">
        <v>1504</v>
      </c>
      <c r="O17" s="10" t="n">
        <v>555</v>
      </c>
      <c r="P17" s="11" t="n">
        <f aca="false">IF(AND(ISNUMBER(N17),ISNUMBER(O17),N(N17)&gt;0),O17/N17,"")</f>
        <v>0.369015957446809</v>
      </c>
      <c r="Q17" s="20" t="n">
        <f aca="false">IF(AND(ISNUMBER(D17),ISNUMBER(P17)),(P17-D17)*100,"")</f>
        <v>9.27846940635109</v>
      </c>
      <c r="R17" s="9" t="s">
        <v>1298</v>
      </c>
    </row>
    <row r="18" customFormat="false" ht="15" hidden="false" customHeight="false" outlineLevel="0" collapsed="false">
      <c r="A18" s="9" t="s">
        <v>1312</v>
      </c>
      <c r="B18" s="10"/>
      <c r="C18" s="10"/>
      <c r="D18" s="11" t="str">
        <f aca="false">IF(AND(ISNUMBER(B18),ISNUMBER(C18),N(B18)&gt;0),C18/B18,"")</f>
        <v/>
      </c>
      <c r="E18" s="10" t="n">
        <v>206</v>
      </c>
      <c r="F18" s="10" t="n">
        <v>49</v>
      </c>
      <c r="G18" s="11" t="n">
        <f aca="false">IF(AND(ISNUMBER(E18),ISNUMBER(F18),N(E18)&gt;0),F18/E18,"")</f>
        <v>0.237864077669903</v>
      </c>
      <c r="H18" s="10" t="n">
        <v>237</v>
      </c>
      <c r="I18" s="10" t="n">
        <v>54</v>
      </c>
      <c r="J18" s="11" t="n">
        <f aca="false">IF(AND(ISNUMBER(H18),ISNUMBER(I18),N(H18)&gt;0),I18/H18,"")</f>
        <v>0.227848101265823</v>
      </c>
      <c r="K18" s="10" t="n">
        <v>228</v>
      </c>
      <c r="L18" s="10" t="n">
        <v>60</v>
      </c>
      <c r="M18" s="11" t="n">
        <f aca="false">IF(AND(ISNUMBER(K18),ISNUMBER(L18),N(K18)&gt;0),L18/K18,"")</f>
        <v>0.263157894736842</v>
      </c>
      <c r="N18" s="10"/>
      <c r="O18" s="10"/>
      <c r="P18" s="11" t="str">
        <f aca="false">IF(AND(ISNUMBER(N18),ISNUMBER(O18),N(N18)&gt;0),O18/N18,"")</f>
        <v/>
      </c>
      <c r="Q18" s="20" t="str">
        <f aca="false">IF(AND(ISNUMBER(D18),ISNUMBER(P18)),(P18-D18)*100,"")</f>
        <v/>
      </c>
      <c r="R18" s="9" t="s">
        <v>1303</v>
      </c>
    </row>
    <row r="19" customFormat="false" ht="15" hidden="false" customHeight="false" outlineLevel="0" collapsed="false">
      <c r="A19" s="9" t="s">
        <v>1313</v>
      </c>
      <c r="B19" s="10" t="n">
        <v>35202</v>
      </c>
      <c r="C19" s="10" t="n">
        <v>2262</v>
      </c>
      <c r="D19" s="11" t="n">
        <f aca="false">IF(AND(ISNUMBER(B19),ISNUMBER(C19),N(B19)&gt;0),C19/B19,"")</f>
        <v>0.0642577126299642</v>
      </c>
      <c r="E19" s="10" t="n">
        <v>40421</v>
      </c>
      <c r="F19" s="10" t="n">
        <v>3458</v>
      </c>
      <c r="G19" s="11" t="n">
        <f aca="false">IF(AND(ISNUMBER(E19),ISNUMBER(F19),N(E19)&gt;0),F19/E19,"")</f>
        <v>0.0855495905593627</v>
      </c>
      <c r="H19" s="10" t="n">
        <v>43309</v>
      </c>
      <c r="I19" s="10" t="n">
        <v>3743</v>
      </c>
      <c r="J19" s="11" t="n">
        <f aca="false">IF(AND(ISNUMBER(H19),ISNUMBER(I19),N(H19)&gt;0),I19/H19,"")</f>
        <v>0.0864254542935649</v>
      </c>
      <c r="K19" s="10" t="n">
        <v>42331</v>
      </c>
      <c r="L19" s="10" t="n">
        <v>3449</v>
      </c>
      <c r="M19" s="11" t="n">
        <f aca="false">IF(AND(ISNUMBER(K19),ISNUMBER(L19),N(K19)&gt;0),L19/K19,"")</f>
        <v>0.0814769317993905</v>
      </c>
      <c r="N19" s="10" t="n">
        <v>42502</v>
      </c>
      <c r="O19" s="10" t="n">
        <v>3495</v>
      </c>
      <c r="P19" s="11" t="n">
        <f aca="false">IF(AND(ISNUMBER(N19),ISNUMBER(O19),N(N19)&gt;0),O19/N19,"")</f>
        <v>0.0822314244035575</v>
      </c>
      <c r="Q19" s="20" t="n">
        <f aca="false">IF(AND(ISNUMBER(D19),ISNUMBER(P19)),(P19-D19)*100,"")</f>
        <v>1.79737117735933</v>
      </c>
      <c r="R19" s="9" t="s">
        <v>1298</v>
      </c>
    </row>
    <row r="20" customFormat="false" ht="15" hidden="false" customHeight="false" outlineLevel="0" collapsed="false">
      <c r="A20" s="9" t="s">
        <v>1314</v>
      </c>
      <c r="B20" s="10" t="n">
        <v>388</v>
      </c>
      <c r="C20" s="10" t="n">
        <v>144</v>
      </c>
      <c r="D20" s="11" t="n">
        <f aca="false">IF(AND(ISNUMBER(B20),ISNUMBER(C20),N(B20)&gt;0),C20/B20,"")</f>
        <v>0.371134020618557</v>
      </c>
      <c r="E20" s="10"/>
      <c r="F20" s="10"/>
      <c r="G20" s="11" t="str">
        <f aca="false">IF(AND(ISNUMBER(E20),ISNUMBER(F20),N(E20)&gt;0),F20/E20,"")</f>
        <v/>
      </c>
      <c r="H20" s="10"/>
      <c r="I20" s="10"/>
      <c r="J20" s="11" t="str">
        <f aca="false">IF(AND(ISNUMBER(H20),ISNUMBER(I20),N(H20)&gt;0),I20/H20,"")</f>
        <v/>
      </c>
      <c r="K20" s="10"/>
      <c r="L20" s="10"/>
      <c r="M20" s="11" t="str">
        <f aca="false">IF(AND(ISNUMBER(K20),ISNUMBER(L20),N(K20)&gt;0),L20/K20,"")</f>
        <v/>
      </c>
      <c r="N20" s="10"/>
      <c r="O20" s="10"/>
      <c r="P20" s="11" t="str">
        <f aca="false">IF(AND(ISNUMBER(N20),ISNUMBER(O20),N(N20)&gt;0),O20/N20,"")</f>
        <v/>
      </c>
      <c r="Q20" s="20" t="str">
        <f aca="false">IF(AND(ISNUMBER(D20),ISNUMBER(P20)),(P20-D20)*100,"")</f>
        <v/>
      </c>
      <c r="R20" s="9" t="s">
        <v>1303</v>
      </c>
    </row>
    <row r="21" customFormat="false" ht="15" hidden="false" customHeight="false" outlineLevel="0" collapsed="false">
      <c r="A21" s="9" t="s">
        <v>1315</v>
      </c>
      <c r="B21" s="10" t="n">
        <v>2923</v>
      </c>
      <c r="C21" s="10" t="n">
        <v>2100</v>
      </c>
      <c r="D21" s="11" t="n">
        <f aca="false">IF(AND(ISNUMBER(B21),ISNUMBER(C21),N(B21)&gt;0),C21/B21,"")</f>
        <v>0.718439958946288</v>
      </c>
      <c r="E21" s="10" t="n">
        <v>2962</v>
      </c>
      <c r="F21" s="10" t="n">
        <v>2156</v>
      </c>
      <c r="G21" s="11" t="n">
        <f aca="false">IF(AND(ISNUMBER(E21),ISNUMBER(F21),N(E21)&gt;0),F21/E21,"")</f>
        <v>0.727886563133018</v>
      </c>
      <c r="H21" s="10"/>
      <c r="I21" s="10"/>
      <c r="J21" s="11" t="str">
        <f aca="false">IF(AND(ISNUMBER(H21),ISNUMBER(I21),N(H21)&gt;0),I21/H21,"")</f>
        <v/>
      </c>
      <c r="K21" s="10" t="n">
        <v>3166</v>
      </c>
      <c r="L21" s="10" t="n">
        <v>2335</v>
      </c>
      <c r="M21" s="11" t="n">
        <f aca="false">IF(AND(ISNUMBER(K21),ISNUMBER(L21),N(K21)&gt;0),L21/K21,"")</f>
        <v>0.737523689197726</v>
      </c>
      <c r="N21" s="10" t="n">
        <v>3237</v>
      </c>
      <c r="O21" s="10" t="n">
        <v>2426</v>
      </c>
      <c r="P21" s="11" t="n">
        <f aca="false">IF(AND(ISNUMBER(N21),ISNUMBER(O21),N(N21)&gt;0),O21/N21,"")</f>
        <v>0.7494593759654</v>
      </c>
      <c r="Q21" s="20" t="n">
        <f aca="false">IF(AND(ISNUMBER(D21),ISNUMBER(P21)),(P21-D21)*100,"")</f>
        <v>3.10194170191119</v>
      </c>
      <c r="R21" s="9" t="s">
        <v>1303</v>
      </c>
    </row>
    <row r="22" customFormat="false" ht="15" hidden="false" customHeight="false" outlineLevel="0" collapsed="false">
      <c r="A22" s="9" t="s">
        <v>1316</v>
      </c>
      <c r="B22" s="10" t="n">
        <v>1367</v>
      </c>
      <c r="C22" s="10" t="n">
        <v>410</v>
      </c>
      <c r="D22" s="11" t="n">
        <f aca="false">IF(AND(ISNUMBER(B22),ISNUMBER(C22),N(B22)&gt;0),C22/B22,"")</f>
        <v>0.299926847110461</v>
      </c>
      <c r="E22" s="10" t="n">
        <v>2177</v>
      </c>
      <c r="F22" s="10" t="n">
        <v>922</v>
      </c>
      <c r="G22" s="11" t="n">
        <f aca="false">IF(AND(ISNUMBER(E22),ISNUMBER(F22),N(E22)&gt;0),F22/E22,"")</f>
        <v>0.423518603582912</v>
      </c>
      <c r="H22" s="10" t="n">
        <v>2565</v>
      </c>
      <c r="I22" s="10" t="n">
        <v>1199</v>
      </c>
      <c r="J22" s="11" t="n">
        <f aca="false">IF(AND(ISNUMBER(H22),ISNUMBER(I22),N(H22)&gt;0),I22/H22,"")</f>
        <v>0.467446393762183</v>
      </c>
      <c r="K22" s="10" t="n">
        <v>2993</v>
      </c>
      <c r="L22" s="10" t="n">
        <v>1674</v>
      </c>
      <c r="M22" s="11" t="n">
        <f aca="false">IF(AND(ISNUMBER(K22),ISNUMBER(L22),N(K22)&gt;0),L22/K22,"")</f>
        <v>0.559305045105246</v>
      </c>
      <c r="N22" s="10" t="n">
        <v>2776</v>
      </c>
      <c r="O22" s="10" t="n">
        <v>1311</v>
      </c>
      <c r="P22" s="11" t="n">
        <f aca="false">IF(AND(ISNUMBER(N22),ISNUMBER(O22),N(N22)&gt;0),O22/N22,"")</f>
        <v>0.472262247838617</v>
      </c>
      <c r="Q22" s="20" t="n">
        <f aca="false">IF(AND(ISNUMBER(D22),ISNUMBER(P22)),(P22-D22)*100,"")</f>
        <v>17.2335400728156</v>
      </c>
      <c r="R22" s="9" t="s">
        <v>1298</v>
      </c>
    </row>
    <row r="23" customFormat="false" ht="15" hidden="false" customHeight="false" outlineLevel="0" collapsed="false">
      <c r="A23" s="9" t="s">
        <v>1317</v>
      </c>
      <c r="B23" s="10" t="n">
        <v>10633</v>
      </c>
      <c r="C23" s="10" t="n">
        <v>2638</v>
      </c>
      <c r="D23" s="11" t="n">
        <f aca="false">IF(AND(ISNUMBER(B23),ISNUMBER(C23),N(B23)&gt;0),C23/B23,"")</f>
        <v>0.248095551584689</v>
      </c>
      <c r="E23" s="10" t="n">
        <v>10950</v>
      </c>
      <c r="F23" s="10" t="n">
        <v>2825</v>
      </c>
      <c r="G23" s="11" t="n">
        <f aca="false">IF(AND(ISNUMBER(E23),ISNUMBER(F23),N(E23)&gt;0),F23/E23,"")</f>
        <v>0.257990867579909</v>
      </c>
      <c r="H23" s="10" t="n">
        <v>10481</v>
      </c>
      <c r="I23" s="10" t="n">
        <v>2699</v>
      </c>
      <c r="J23" s="11" t="n">
        <f aca="false">IF(AND(ISNUMBER(H23),ISNUMBER(I23),N(H23)&gt;0),I23/H23,"")</f>
        <v>0.257513596030913</v>
      </c>
      <c r="K23" s="10" t="n">
        <v>9725</v>
      </c>
      <c r="L23" s="10" t="n">
        <v>2462</v>
      </c>
      <c r="M23" s="11" t="n">
        <f aca="false">IF(AND(ISNUMBER(K23),ISNUMBER(L23),N(K23)&gt;0),L23/K23,"")</f>
        <v>0.253161953727506</v>
      </c>
      <c r="N23" s="10" t="n">
        <v>9482</v>
      </c>
      <c r="O23" s="10" t="n">
        <v>2271</v>
      </c>
      <c r="P23" s="11" t="n">
        <f aca="false">IF(AND(ISNUMBER(N23),ISNUMBER(O23),N(N23)&gt;0),O23/N23,"")</f>
        <v>0.239506433241932</v>
      </c>
      <c r="Q23" s="20" t="n">
        <f aca="false">IF(AND(ISNUMBER(D23),ISNUMBER(P23)),(P23-D23)*100,"")</f>
        <v>-0.858911834275711</v>
      </c>
      <c r="R23" s="9" t="s">
        <v>1298</v>
      </c>
    </row>
    <row r="24" customFormat="false" ht="15" hidden="false" customHeight="false" outlineLevel="0" collapsed="false">
      <c r="A24" s="9" t="s">
        <v>1318</v>
      </c>
      <c r="B24" s="10" t="n">
        <v>9877</v>
      </c>
      <c r="C24" s="10" t="n">
        <v>8906</v>
      </c>
      <c r="D24" s="11" t="n">
        <f aca="false">IF(AND(ISNUMBER(B24),ISNUMBER(C24),N(B24)&gt;0),C24/B24,"")</f>
        <v>0.901690796800648</v>
      </c>
      <c r="E24" s="10" t="n">
        <v>6955</v>
      </c>
      <c r="F24" s="10" t="n">
        <v>6332</v>
      </c>
      <c r="G24" s="11" t="n">
        <f aca="false">IF(AND(ISNUMBER(E24),ISNUMBER(F24),N(E24)&gt;0),F24/E24,"")</f>
        <v>0.910424155283968</v>
      </c>
      <c r="H24" s="10" t="n">
        <v>8167</v>
      </c>
      <c r="I24" s="10" t="n">
        <v>7495</v>
      </c>
      <c r="J24" s="11" t="n">
        <f aca="false">IF(AND(ISNUMBER(H24),ISNUMBER(I24),N(H24)&gt;0),I24/H24,"")</f>
        <v>0.917717644177789</v>
      </c>
      <c r="K24" s="10" t="n">
        <v>8596</v>
      </c>
      <c r="L24" s="10" t="n">
        <v>7885</v>
      </c>
      <c r="M24" s="11" t="n">
        <f aca="false">IF(AND(ISNUMBER(K24),ISNUMBER(L24),N(K24)&gt;0),L24/K24,"")</f>
        <v>0.917287110283853</v>
      </c>
      <c r="N24" s="10" t="n">
        <v>8683</v>
      </c>
      <c r="O24" s="10" t="n">
        <v>7941</v>
      </c>
      <c r="P24" s="11" t="n">
        <f aca="false">IF(AND(ISNUMBER(N24),ISNUMBER(O24),N(N24)&gt;0),O24/N24,"")</f>
        <v>0.914545663941034</v>
      </c>
      <c r="Q24" s="20" t="n">
        <f aca="false">IF(AND(ISNUMBER(D24),ISNUMBER(P24)),(P24-D24)*100,"")</f>
        <v>1.28548671403862</v>
      </c>
      <c r="R24" s="9" t="s">
        <v>1298</v>
      </c>
    </row>
    <row r="25" customFormat="false" ht="15" hidden="false" customHeight="false" outlineLevel="0" collapsed="false">
      <c r="A25" s="9" t="s">
        <v>1319</v>
      </c>
      <c r="B25" s="10" t="n">
        <v>6516</v>
      </c>
      <c r="C25" s="10" t="n">
        <v>5562</v>
      </c>
      <c r="D25" s="11" t="n">
        <f aca="false">IF(AND(ISNUMBER(B25),ISNUMBER(C25),N(B25)&gt;0),C25/B25,"")</f>
        <v>0.853591160220995</v>
      </c>
      <c r="E25" s="10" t="n">
        <v>5580</v>
      </c>
      <c r="F25" s="10" t="n">
        <v>4811</v>
      </c>
      <c r="G25" s="11" t="n">
        <f aca="false">IF(AND(ISNUMBER(E25),ISNUMBER(F25),N(E25)&gt;0),F25/E25,"")</f>
        <v>0.862186379928315</v>
      </c>
      <c r="H25" s="10" t="n">
        <v>6209</v>
      </c>
      <c r="I25" s="10" t="n">
        <v>5379</v>
      </c>
      <c r="J25" s="11" t="n">
        <f aca="false">IF(AND(ISNUMBER(H25),ISNUMBER(I25),N(H25)&gt;0),I25/H25,"")</f>
        <v>0.86632307940087</v>
      </c>
      <c r="K25" s="10" t="n">
        <v>6212</v>
      </c>
      <c r="L25" s="10" t="n">
        <v>5467</v>
      </c>
      <c r="M25" s="11" t="n">
        <f aca="false">IF(AND(ISNUMBER(K25),ISNUMBER(L25),N(K25)&gt;0),L25/K25,"")</f>
        <v>0.880070830650354</v>
      </c>
      <c r="N25" s="10" t="n">
        <v>6174</v>
      </c>
      <c r="O25" s="10" t="n">
        <v>5471</v>
      </c>
      <c r="P25" s="11" t="n">
        <f aca="false">IF(AND(ISNUMBER(N25),ISNUMBER(O25),N(N25)&gt;0),O25/N25,"")</f>
        <v>0.88613540654357</v>
      </c>
      <c r="Q25" s="20" t="n">
        <f aca="false">IF(AND(ISNUMBER(D25),ISNUMBER(P25)),(P25-D25)*100,"")</f>
        <v>3.25442463225754</v>
      </c>
      <c r="R25" s="9" t="s">
        <v>1298</v>
      </c>
    </row>
    <row r="26" customFormat="false" ht="15" hidden="false" customHeight="false" outlineLevel="0" collapsed="false">
      <c r="A26" s="9" t="s">
        <v>1320</v>
      </c>
      <c r="B26" s="10"/>
      <c r="C26" s="10"/>
      <c r="D26" s="11" t="str">
        <f aca="false">IF(AND(ISNUMBER(B26),ISNUMBER(C26),N(B26)&gt;0),C26/B26,"")</f>
        <v/>
      </c>
      <c r="E26" s="10" t="n">
        <v>152</v>
      </c>
      <c r="F26" s="10" t="n">
        <v>64</v>
      </c>
      <c r="G26" s="11" t="n">
        <f aca="false">IF(AND(ISNUMBER(E26),ISNUMBER(F26),N(E26)&gt;0),F26/E26,"")</f>
        <v>0.421052631578947</v>
      </c>
      <c r="H26" s="10" t="n">
        <v>166</v>
      </c>
      <c r="I26" s="10" t="n">
        <v>76</v>
      </c>
      <c r="J26" s="11" t="n">
        <f aca="false">IF(AND(ISNUMBER(H26),ISNUMBER(I26),N(H26)&gt;0),I26/H26,"")</f>
        <v>0.457831325301205</v>
      </c>
      <c r="K26" s="10" t="n">
        <v>117</v>
      </c>
      <c r="L26" s="10" t="n">
        <v>54</v>
      </c>
      <c r="M26" s="11" t="n">
        <f aca="false">IF(AND(ISNUMBER(K26),ISNUMBER(L26),N(K26)&gt;0),L26/K26,"")</f>
        <v>0.461538461538462</v>
      </c>
      <c r="N26" s="10" t="n">
        <v>138</v>
      </c>
      <c r="O26" s="10" t="n">
        <v>61</v>
      </c>
      <c r="P26" s="11" t="n">
        <f aca="false">IF(AND(ISNUMBER(N26),ISNUMBER(O26),N(N26)&gt;0),O26/N26,"")</f>
        <v>0.442028985507246</v>
      </c>
      <c r="Q26" s="20" t="str">
        <f aca="false">IF(AND(ISNUMBER(D26),ISNUMBER(P26)),(P26-D26)*100,"")</f>
        <v/>
      </c>
      <c r="R26" s="9" t="s">
        <v>1303</v>
      </c>
    </row>
    <row r="27" customFormat="false" ht="15" hidden="false" customHeight="false" outlineLevel="0" collapsed="false">
      <c r="A27" s="9" t="s">
        <v>1321</v>
      </c>
      <c r="B27" s="10" t="n">
        <v>4112</v>
      </c>
      <c r="C27" s="10" t="n">
        <v>1039</v>
      </c>
      <c r="D27" s="11" t="n">
        <f aca="false">IF(AND(ISNUMBER(B27),ISNUMBER(C27),N(B27)&gt;0),C27/B27,"")</f>
        <v>0.252675097276265</v>
      </c>
      <c r="E27" s="10" t="n">
        <v>5267</v>
      </c>
      <c r="F27" s="10" t="n">
        <v>1767</v>
      </c>
      <c r="G27" s="11" t="n">
        <f aca="false">IF(AND(ISNUMBER(E27),ISNUMBER(F27),N(E27)&gt;0),F27/E27,"")</f>
        <v>0.335485095880008</v>
      </c>
      <c r="H27" s="10" t="n">
        <v>5578</v>
      </c>
      <c r="I27" s="10" t="n">
        <v>1884</v>
      </c>
      <c r="J27" s="11" t="n">
        <f aca="false">IF(AND(ISNUMBER(H27),ISNUMBER(I27),N(H27)&gt;0),I27/H27,"")</f>
        <v>0.337755467909645</v>
      </c>
      <c r="K27" s="10" t="n">
        <v>5829</v>
      </c>
      <c r="L27" s="10" t="n">
        <v>2022</v>
      </c>
      <c r="M27" s="11" t="n">
        <f aca="false">IF(AND(ISNUMBER(K27),ISNUMBER(L27),N(K27)&gt;0),L27/K27,"")</f>
        <v>0.346886258363356</v>
      </c>
      <c r="N27" s="10" t="n">
        <v>5615</v>
      </c>
      <c r="O27" s="10" t="n">
        <v>1928</v>
      </c>
      <c r="P27" s="11" t="n">
        <f aca="false">IF(AND(ISNUMBER(N27),ISNUMBER(O27),N(N27)&gt;0),O27/N27,"")</f>
        <v>0.343365983971505</v>
      </c>
      <c r="Q27" s="20" t="n">
        <f aca="false">IF(AND(ISNUMBER(D27),ISNUMBER(P27)),(P27-D27)*100,"")</f>
        <v>9.06908866952403</v>
      </c>
      <c r="R27" s="9" t="s">
        <v>1298</v>
      </c>
    </row>
    <row r="28" customFormat="false" ht="15" hidden="false" customHeight="false" outlineLevel="0" collapsed="false">
      <c r="A28" s="9" t="s">
        <v>1322</v>
      </c>
      <c r="B28" s="10" t="n">
        <v>315</v>
      </c>
      <c r="C28" s="10" t="n">
        <v>79</v>
      </c>
      <c r="D28" s="11" t="n">
        <f aca="false">IF(AND(ISNUMBER(B28),ISNUMBER(C28),N(B28)&gt;0),C28/B28,"")</f>
        <v>0.250793650793651</v>
      </c>
      <c r="E28" s="10" t="n">
        <v>426</v>
      </c>
      <c r="F28" s="10" t="n">
        <v>121</v>
      </c>
      <c r="G28" s="11" t="n">
        <f aca="false">IF(AND(ISNUMBER(E28),ISNUMBER(F28),N(E28)&gt;0),F28/E28,"")</f>
        <v>0.284037558685446</v>
      </c>
      <c r="H28" s="10" t="n">
        <v>450</v>
      </c>
      <c r="I28" s="10" t="n">
        <v>132</v>
      </c>
      <c r="J28" s="11" t="n">
        <f aca="false">IF(AND(ISNUMBER(H28),ISNUMBER(I28),N(H28)&gt;0),I28/H28,"")</f>
        <v>0.293333333333333</v>
      </c>
      <c r="K28" s="10" t="n">
        <v>405</v>
      </c>
      <c r="L28" s="10" t="n">
        <v>130</v>
      </c>
      <c r="M28" s="11" t="n">
        <f aca="false">IF(AND(ISNUMBER(K28),ISNUMBER(L28),N(K28)&gt;0),L28/K28,"")</f>
        <v>0.320987654320988</v>
      </c>
      <c r="N28" s="10" t="n">
        <v>369</v>
      </c>
      <c r="O28" s="10" t="n">
        <v>128</v>
      </c>
      <c r="P28" s="11" t="n">
        <f aca="false">IF(AND(ISNUMBER(N28),ISNUMBER(O28),N(N28)&gt;0),O28/N28,"")</f>
        <v>0.346883468834688</v>
      </c>
      <c r="Q28" s="20" t="n">
        <f aca="false">IF(AND(ISNUMBER(D28),ISNUMBER(P28)),(P28-D28)*100,"")</f>
        <v>9.60898180410376</v>
      </c>
      <c r="R28" s="9" t="s">
        <v>1298</v>
      </c>
    </row>
    <row r="29" customFormat="false" ht="15" hidden="false" customHeight="false" outlineLevel="0" collapsed="false">
      <c r="A29" s="9" t="s">
        <v>1323</v>
      </c>
      <c r="B29" s="10" t="n">
        <v>940</v>
      </c>
      <c r="C29" s="10" t="n">
        <v>116</v>
      </c>
      <c r="D29" s="11" t="n">
        <f aca="false">IF(AND(ISNUMBER(B29),ISNUMBER(C29),N(B29)&gt;0),C29/B29,"")</f>
        <v>0.123404255319149</v>
      </c>
      <c r="E29" s="10"/>
      <c r="F29" s="10"/>
      <c r="G29" s="11" t="str">
        <f aca="false">IF(AND(ISNUMBER(E29),ISNUMBER(F29),N(E29)&gt;0),F29/E29,"")</f>
        <v/>
      </c>
      <c r="H29" s="10" t="n">
        <v>1049</v>
      </c>
      <c r="I29" s="10" t="n">
        <v>214</v>
      </c>
      <c r="J29" s="11" t="n">
        <f aca="false">IF(AND(ISNUMBER(H29),ISNUMBER(I29),N(H29)&gt;0),I29/H29,"")</f>
        <v>0.204003813155386</v>
      </c>
      <c r="K29" s="10" t="n">
        <v>1120</v>
      </c>
      <c r="L29" s="10" t="n">
        <v>211</v>
      </c>
      <c r="M29" s="11" t="n">
        <f aca="false">IF(AND(ISNUMBER(K29),ISNUMBER(L29),N(K29)&gt;0),L29/K29,"")</f>
        <v>0.188392857142857</v>
      </c>
      <c r="N29" s="10"/>
      <c r="O29" s="10"/>
      <c r="P29" s="11" t="str">
        <f aca="false">IF(AND(ISNUMBER(N29),ISNUMBER(O29),N(N29)&gt;0),O29/N29,"")</f>
        <v/>
      </c>
      <c r="Q29" s="20" t="str">
        <f aca="false">IF(AND(ISNUMBER(D29),ISNUMBER(P29)),(P29-D29)*100,"")</f>
        <v/>
      </c>
      <c r="R29" s="9" t="s">
        <v>1303</v>
      </c>
    </row>
    <row r="30" customFormat="false" ht="15" hidden="false" customHeight="false" outlineLevel="0" collapsed="false">
      <c r="A30" s="9" t="s">
        <v>1324</v>
      </c>
      <c r="B30" s="10" t="n">
        <v>7431</v>
      </c>
      <c r="C30" s="10" t="n">
        <v>2177</v>
      </c>
      <c r="D30" s="11" t="n">
        <f aca="false">IF(AND(ISNUMBER(B30),ISNUMBER(C30),N(B30)&gt;0),C30/B30,"")</f>
        <v>0.292961916296595</v>
      </c>
      <c r="E30" s="10" t="n">
        <v>11567</v>
      </c>
      <c r="F30" s="10" t="n">
        <v>3690</v>
      </c>
      <c r="G30" s="11" t="n">
        <f aca="false">IF(AND(ISNUMBER(E30),ISNUMBER(F30),N(E30)&gt;0),F30/E30,"")</f>
        <v>0.319010979510677</v>
      </c>
      <c r="H30" s="10" t="n">
        <v>11593</v>
      </c>
      <c r="I30" s="10" t="n">
        <v>3777</v>
      </c>
      <c r="J30" s="11" t="n">
        <f aca="false">IF(AND(ISNUMBER(H30),ISNUMBER(I30),N(H30)&gt;0),I30/H30,"")</f>
        <v>0.32580005175537</v>
      </c>
      <c r="K30" s="10" t="n">
        <v>12088</v>
      </c>
      <c r="L30" s="10" t="n">
        <v>4382</v>
      </c>
      <c r="M30" s="11" t="n">
        <f aca="false">IF(AND(ISNUMBER(K30),ISNUMBER(L30),N(K30)&gt;0),L30/K30,"")</f>
        <v>0.362508272667108</v>
      </c>
      <c r="N30" s="10" t="n">
        <v>12589</v>
      </c>
      <c r="O30" s="10" t="n">
        <v>4046</v>
      </c>
      <c r="P30" s="11" t="n">
        <f aca="false">IF(AND(ISNUMBER(N30),ISNUMBER(O30),N(N30)&gt;0),O30/N30,"")</f>
        <v>0.321391691158948</v>
      </c>
      <c r="Q30" s="20" t="n">
        <f aca="false">IF(AND(ISNUMBER(D30),ISNUMBER(P30)),(P30-D30)*100,"")</f>
        <v>2.84297748623529</v>
      </c>
      <c r="R30" s="9" t="s">
        <v>1298</v>
      </c>
    </row>
    <row r="31" customFormat="false" ht="15" hidden="false" customHeight="false" outlineLevel="0" collapsed="false">
      <c r="A31" s="9" t="s">
        <v>1325</v>
      </c>
      <c r="B31" s="10" t="n">
        <v>7708</v>
      </c>
      <c r="C31" s="10" t="n">
        <v>1792</v>
      </c>
      <c r="D31" s="11" t="n">
        <f aca="false">IF(AND(ISNUMBER(B31),ISNUMBER(C31),N(B31)&gt;0),C31/B31,"")</f>
        <v>0.23248572911261</v>
      </c>
      <c r="E31" s="10" t="n">
        <v>7532</v>
      </c>
      <c r="F31" s="10" t="n">
        <v>2731</v>
      </c>
      <c r="G31" s="11" t="n">
        <f aca="false">IF(AND(ISNUMBER(E31),ISNUMBER(F31),N(E31)&gt;0),F31/E31,"")</f>
        <v>0.362586298459904</v>
      </c>
      <c r="H31" s="10" t="n">
        <v>7600</v>
      </c>
      <c r="I31" s="10" t="n">
        <v>2615</v>
      </c>
      <c r="J31" s="11" t="n">
        <f aca="false">IF(AND(ISNUMBER(H31),ISNUMBER(I31),N(H31)&gt;0),I31/H31,"")</f>
        <v>0.344078947368421</v>
      </c>
      <c r="K31" s="10" t="n">
        <v>7900</v>
      </c>
      <c r="L31" s="10" t="n">
        <v>3042</v>
      </c>
      <c r="M31" s="11" t="n">
        <f aca="false">IF(AND(ISNUMBER(K31),ISNUMBER(L31),N(K31)&gt;0),L31/K31,"")</f>
        <v>0.385063291139241</v>
      </c>
      <c r="N31" s="10" t="n">
        <v>8148</v>
      </c>
      <c r="O31" s="10" t="n">
        <v>2801</v>
      </c>
      <c r="P31" s="11" t="n">
        <f aca="false">IF(AND(ISNUMBER(N31),ISNUMBER(O31),N(N31)&gt;0),O31/N31,"")</f>
        <v>0.343765341188022</v>
      </c>
      <c r="Q31" s="20" t="n">
        <f aca="false">IF(AND(ISNUMBER(D31),ISNUMBER(P31)),(P31-D31)*100,"")</f>
        <v>11.1279612075411</v>
      </c>
      <c r="R31" s="9" t="s">
        <v>1298</v>
      </c>
    </row>
    <row r="32" customFormat="false" ht="15" hidden="false" customHeight="false" outlineLevel="0" collapsed="false">
      <c r="A32" s="9" t="s">
        <v>1326</v>
      </c>
      <c r="B32" s="10" t="n">
        <v>1045</v>
      </c>
      <c r="C32" s="10" t="n">
        <v>470</v>
      </c>
      <c r="D32" s="11" t="n">
        <f aca="false">IF(AND(ISNUMBER(B32),ISNUMBER(C32),N(B32)&gt;0),C32/B32,"")</f>
        <v>0.449760765550239</v>
      </c>
      <c r="E32" s="10" t="n">
        <v>1469</v>
      </c>
      <c r="F32" s="10" t="n">
        <v>689</v>
      </c>
      <c r="G32" s="11" t="n">
        <f aca="false">IF(AND(ISNUMBER(E32),ISNUMBER(F32),N(E32)&gt;0),F32/E32,"")</f>
        <v>0.469026548672566</v>
      </c>
      <c r="H32" s="10" t="n">
        <v>1565</v>
      </c>
      <c r="I32" s="10" t="n">
        <v>754</v>
      </c>
      <c r="J32" s="11" t="n">
        <f aca="false">IF(AND(ISNUMBER(H32),ISNUMBER(I32),N(H32)&gt;0),I32/H32,"")</f>
        <v>0.481789137380192</v>
      </c>
      <c r="K32" s="10" t="n">
        <v>1653</v>
      </c>
      <c r="L32" s="10" t="n">
        <v>818</v>
      </c>
      <c r="M32" s="11" t="n">
        <f aca="false">IF(AND(ISNUMBER(K32),ISNUMBER(L32),N(K32)&gt;0),L32/K32,"")</f>
        <v>0.494857834240774</v>
      </c>
      <c r="N32" s="10" t="n">
        <v>1552</v>
      </c>
      <c r="O32" s="10" t="n">
        <v>797</v>
      </c>
      <c r="P32" s="11" t="n">
        <f aca="false">IF(AND(ISNUMBER(N32),ISNUMBER(O32),N(N32)&gt;0),O32/N32,"")</f>
        <v>0.513530927835052</v>
      </c>
      <c r="Q32" s="20" t="n">
        <f aca="false">IF(AND(ISNUMBER(D32),ISNUMBER(P32)),(P32-D32)*100,"")</f>
        <v>6.37701622848122</v>
      </c>
      <c r="R32" s="9" t="s">
        <v>1298</v>
      </c>
    </row>
    <row r="33" customFormat="false" ht="15" hidden="false" customHeight="false" outlineLevel="0" collapsed="false">
      <c r="A33" s="9" t="s">
        <v>1327</v>
      </c>
      <c r="B33" s="10"/>
      <c r="C33" s="10"/>
      <c r="D33" s="11" t="str">
        <f aca="false">IF(AND(ISNUMBER(B33),ISNUMBER(C33),N(B33)&gt;0),C33/B33,"")</f>
        <v/>
      </c>
      <c r="E33" s="10" t="n">
        <v>198</v>
      </c>
      <c r="F33" s="10" t="n">
        <v>66</v>
      </c>
      <c r="G33" s="11" t="n">
        <f aca="false">IF(AND(ISNUMBER(E33),ISNUMBER(F33),N(E33)&gt;0),F33/E33,"")</f>
        <v>0.333333333333333</v>
      </c>
      <c r="H33" s="10" t="n">
        <v>196</v>
      </c>
      <c r="I33" s="10" t="n">
        <v>62</v>
      </c>
      <c r="J33" s="11" t="n">
        <f aca="false">IF(AND(ISNUMBER(H33),ISNUMBER(I33),N(H33)&gt;0),I33/H33,"")</f>
        <v>0.316326530612245</v>
      </c>
      <c r="K33" s="10" t="n">
        <v>175</v>
      </c>
      <c r="L33" s="10" t="n">
        <v>55</v>
      </c>
      <c r="M33" s="11" t="n">
        <f aca="false">IF(AND(ISNUMBER(K33),ISNUMBER(L33),N(K33)&gt;0),L33/K33,"")</f>
        <v>0.314285714285714</v>
      </c>
      <c r="N33" s="10" t="n">
        <v>178</v>
      </c>
      <c r="O33" s="10" t="n">
        <v>54</v>
      </c>
      <c r="P33" s="11" t="n">
        <f aca="false">IF(AND(ISNUMBER(N33),ISNUMBER(O33),N(N33)&gt;0),O33/N33,"")</f>
        <v>0.303370786516854</v>
      </c>
      <c r="Q33" s="20" t="str">
        <f aca="false">IF(AND(ISNUMBER(D33),ISNUMBER(P33)),(P33-D33)*100,"")</f>
        <v/>
      </c>
      <c r="R33" s="9" t="s">
        <v>1303</v>
      </c>
    </row>
    <row r="34" customFormat="false" ht="15" hidden="false" customHeight="false" outlineLevel="0" collapsed="false">
      <c r="A34" s="9" t="s">
        <v>1328</v>
      </c>
      <c r="B34" s="10" t="n">
        <v>6004</v>
      </c>
      <c r="C34" s="10"/>
      <c r="D34" s="11" t="str">
        <f aca="false">IF(AND(ISNUMBER(B34),ISNUMBER(C34),N(B34)&gt;0),C34/B34,"")</f>
        <v/>
      </c>
      <c r="E34" s="10" t="n">
        <v>9937</v>
      </c>
      <c r="F34" s="10" t="n">
        <v>5167</v>
      </c>
      <c r="G34" s="11" t="n">
        <f aca="false">IF(AND(ISNUMBER(E34),ISNUMBER(F34),N(E34)&gt;0),F34/E34,"")</f>
        <v>0.519975847841401</v>
      </c>
      <c r="H34" s="10" t="n">
        <v>7789</v>
      </c>
      <c r="I34" s="10" t="n">
        <v>4296</v>
      </c>
      <c r="J34" s="11" t="n">
        <f aca="false">IF(AND(ISNUMBER(H34),ISNUMBER(I34),N(H34)&gt;0),I34/H34,"")</f>
        <v>0.551547053537039</v>
      </c>
      <c r="K34" s="10" t="n">
        <v>8555</v>
      </c>
      <c r="L34" s="10" t="n">
        <v>4699</v>
      </c>
      <c r="M34" s="11" t="n">
        <f aca="false">IF(AND(ISNUMBER(K34),ISNUMBER(L34),N(K34)&gt;0),L34/K34,"")</f>
        <v>0.54926943308007</v>
      </c>
      <c r="N34" s="10" t="n">
        <v>10049</v>
      </c>
      <c r="O34" s="10" t="n">
        <v>4096</v>
      </c>
      <c r="P34" s="11" t="n">
        <f aca="false">IF(AND(ISNUMBER(N34),ISNUMBER(O34),N(N34)&gt;0),O34/N34,"")</f>
        <v>0.407602746541944</v>
      </c>
      <c r="Q34" s="20" t="str">
        <f aca="false">IF(AND(ISNUMBER(D34),ISNUMBER(P34)),(P34-D34)*100,"")</f>
        <v/>
      </c>
      <c r="R34" s="9" t="s">
        <v>1303</v>
      </c>
    </row>
    <row r="35" customFormat="false" ht="15" hidden="false" customHeight="false" outlineLevel="0" collapsed="false">
      <c r="A35" s="9" t="s">
        <v>1329</v>
      </c>
      <c r="B35" s="10" t="n">
        <v>2714</v>
      </c>
      <c r="C35" s="10"/>
      <c r="D35" s="11" t="str">
        <f aca="false">IF(AND(ISNUMBER(B35),ISNUMBER(C35),N(B35)&gt;0),C35/B35,"")</f>
        <v/>
      </c>
      <c r="E35" s="10" t="n">
        <v>2468</v>
      </c>
      <c r="F35" s="10" t="n">
        <v>803</v>
      </c>
      <c r="G35" s="11" t="n">
        <f aca="false">IF(AND(ISNUMBER(E35),ISNUMBER(F35),N(E35)&gt;0),F35/E35,"")</f>
        <v>0.325364667747164</v>
      </c>
      <c r="H35" s="10" t="n">
        <v>2474</v>
      </c>
      <c r="I35" s="10" t="n">
        <v>830</v>
      </c>
      <c r="J35" s="11" t="n">
        <f aca="false">IF(AND(ISNUMBER(H35),ISNUMBER(I35),N(H35)&gt;0),I35/H35,"")</f>
        <v>0.335489086499596</v>
      </c>
      <c r="K35" s="10" t="n">
        <v>2424</v>
      </c>
      <c r="L35" s="10" t="n">
        <v>842</v>
      </c>
      <c r="M35" s="11" t="n">
        <f aca="false">IF(AND(ISNUMBER(K35),ISNUMBER(L35),N(K35)&gt;0),L35/K35,"")</f>
        <v>0.347359735973597</v>
      </c>
      <c r="N35" s="10" t="n">
        <v>2327</v>
      </c>
      <c r="O35" s="10" t="n">
        <v>787</v>
      </c>
      <c r="P35" s="11" t="n">
        <f aca="false">IF(AND(ISNUMBER(N35),ISNUMBER(O35),N(N35)&gt;0),O35/N35,"")</f>
        <v>0.338203695745595</v>
      </c>
      <c r="Q35" s="20" t="str">
        <f aca="false">IF(AND(ISNUMBER(D35),ISNUMBER(P35)),(P35-D35)*100,"")</f>
        <v/>
      </c>
      <c r="R35" s="9" t="s">
        <v>1303</v>
      </c>
    </row>
    <row r="36" customFormat="false" ht="15" hidden="false" customHeight="false" outlineLevel="0" collapsed="false">
      <c r="A36" s="9" t="s">
        <v>1330</v>
      </c>
      <c r="B36" s="10" t="n">
        <v>2605</v>
      </c>
      <c r="C36" s="10" t="n">
        <v>305</v>
      </c>
      <c r="D36" s="11" t="n">
        <f aca="false">IF(AND(ISNUMBER(B36),ISNUMBER(C36),N(B36)&gt;0),C36/B36,"")</f>
        <v>0.117082533589251</v>
      </c>
      <c r="E36" s="10"/>
      <c r="F36" s="10"/>
      <c r="G36" s="11" t="str">
        <f aca="false">IF(AND(ISNUMBER(E36),ISNUMBER(F36),N(E36)&gt;0),F36/E36,"")</f>
        <v/>
      </c>
      <c r="H36" s="10" t="n">
        <v>2383</v>
      </c>
      <c r="I36" s="10" t="n">
        <v>379</v>
      </c>
      <c r="J36" s="11" t="n">
        <f aca="false">IF(AND(ISNUMBER(H36),ISNUMBER(I36),N(H36)&gt;0),I36/H36,"")</f>
        <v>0.159043222828368</v>
      </c>
      <c r="K36" s="10" t="n">
        <v>2605</v>
      </c>
      <c r="L36" s="10" t="n">
        <v>385</v>
      </c>
      <c r="M36" s="11" t="n">
        <f aca="false">IF(AND(ISNUMBER(K36),ISNUMBER(L36),N(K36)&gt;0),L36/K36,"")</f>
        <v>0.147792706333973</v>
      </c>
      <c r="N36" s="10" t="n">
        <v>2550</v>
      </c>
      <c r="O36" s="10" t="n">
        <v>427</v>
      </c>
      <c r="P36" s="11" t="n">
        <f aca="false">IF(AND(ISNUMBER(N36),ISNUMBER(O36),N(N36)&gt;0),O36/N36,"")</f>
        <v>0.167450980392157</v>
      </c>
      <c r="Q36" s="20" t="n">
        <f aca="false">IF(AND(ISNUMBER(D36),ISNUMBER(P36)),(P36-D36)*100,"")</f>
        <v>5.03684468029054</v>
      </c>
      <c r="R36" s="9" t="s">
        <v>1303</v>
      </c>
    </row>
    <row r="37" customFormat="false" ht="15" hidden="false" customHeight="false" outlineLevel="0" collapsed="false">
      <c r="A37" s="9" t="s">
        <v>1331</v>
      </c>
      <c r="B37" s="10" t="n">
        <v>3537</v>
      </c>
      <c r="C37" s="10" t="n">
        <v>2339</v>
      </c>
      <c r="D37" s="11" t="n">
        <f aca="false">IF(AND(ISNUMBER(B37),ISNUMBER(C37),N(B37)&gt;0),C37/B37,"")</f>
        <v>0.661294882668928</v>
      </c>
      <c r="E37" s="10" t="n">
        <v>3250</v>
      </c>
      <c r="F37" s="10" t="n">
        <v>2138</v>
      </c>
      <c r="G37" s="11" t="n">
        <f aca="false">IF(AND(ISNUMBER(E37),ISNUMBER(F37),N(E37)&gt;0),F37/E37,"")</f>
        <v>0.657846153846154</v>
      </c>
      <c r="H37" s="10"/>
      <c r="I37" s="10"/>
      <c r="J37" s="11" t="str">
        <f aca="false">IF(AND(ISNUMBER(H37),ISNUMBER(I37),N(H37)&gt;0),I37/H37,"")</f>
        <v/>
      </c>
      <c r="K37" s="10"/>
      <c r="L37" s="10"/>
      <c r="M37" s="11" t="str">
        <f aca="false">IF(AND(ISNUMBER(K37),ISNUMBER(L37),N(K37)&gt;0),L37/K37,"")</f>
        <v/>
      </c>
      <c r="N37" s="10"/>
      <c r="O37" s="10"/>
      <c r="P37" s="11" t="str">
        <f aca="false">IF(AND(ISNUMBER(N37),ISNUMBER(O37),N(N37)&gt;0),O37/N37,"")</f>
        <v/>
      </c>
      <c r="Q37" s="20" t="str">
        <f aca="false">IF(AND(ISNUMBER(D37),ISNUMBER(P37)),(P37-D37)*100,"")</f>
        <v/>
      </c>
      <c r="R37" s="9" t="s">
        <v>1303</v>
      </c>
    </row>
    <row r="38" customFormat="false" ht="15" hidden="false" customHeight="false" outlineLevel="0" collapsed="false">
      <c r="A38" s="9" t="s">
        <v>1332</v>
      </c>
      <c r="B38" s="10" t="n">
        <v>1800</v>
      </c>
      <c r="C38" s="10"/>
      <c r="D38" s="11" t="str">
        <f aca="false">IF(AND(ISNUMBER(B38),ISNUMBER(C38),N(B38)&gt;0),C38/B38,"")</f>
        <v/>
      </c>
      <c r="E38" s="10" t="n">
        <v>2347</v>
      </c>
      <c r="F38" s="10" t="n">
        <v>1572</v>
      </c>
      <c r="G38" s="11" t="n">
        <f aca="false">IF(AND(ISNUMBER(E38),ISNUMBER(F38),N(E38)&gt;0),F38/E38,"")</f>
        <v>0.669791222837665</v>
      </c>
      <c r="H38" s="10" t="n">
        <v>2390</v>
      </c>
      <c r="I38" s="10" t="n">
        <v>1601</v>
      </c>
      <c r="J38" s="11" t="n">
        <f aca="false">IF(AND(ISNUMBER(H38),ISNUMBER(I38),N(H38)&gt;0),I38/H38,"")</f>
        <v>0.669874476987448</v>
      </c>
      <c r="K38" s="10" t="n">
        <v>2398</v>
      </c>
      <c r="L38" s="10" t="n">
        <v>1600</v>
      </c>
      <c r="M38" s="11" t="n">
        <f aca="false">IF(AND(ISNUMBER(K38),ISNUMBER(L38),N(K38)&gt;0),L38/K38,"")</f>
        <v>0.667222685571309</v>
      </c>
      <c r="N38" s="10"/>
      <c r="O38" s="10"/>
      <c r="P38" s="11" t="str">
        <f aca="false">IF(AND(ISNUMBER(N38),ISNUMBER(O38),N(N38)&gt;0),O38/N38,"")</f>
        <v/>
      </c>
      <c r="Q38" s="20" t="str">
        <f aca="false">IF(AND(ISNUMBER(D38),ISNUMBER(P38)),(P38-D38)*100,"")</f>
        <v/>
      </c>
      <c r="R38" s="9" t="s">
        <v>1303</v>
      </c>
    </row>
    <row r="39" customFormat="false" ht="15" hidden="false" customHeight="false" outlineLevel="0" collapsed="false">
      <c r="A39" s="9" t="s">
        <v>1333</v>
      </c>
      <c r="B39" s="10" t="n">
        <v>807</v>
      </c>
      <c r="C39" s="10"/>
      <c r="D39" s="11" t="str">
        <f aca="false">IF(AND(ISNUMBER(B39),ISNUMBER(C39),N(B39)&gt;0),C39/B39,"")</f>
        <v/>
      </c>
      <c r="E39" s="10" t="n">
        <v>948</v>
      </c>
      <c r="F39" s="10" t="n">
        <v>470</v>
      </c>
      <c r="G39" s="11" t="n">
        <f aca="false">IF(AND(ISNUMBER(E39),ISNUMBER(F39),N(E39)&gt;0),F39/E39,"")</f>
        <v>0.4957805907173</v>
      </c>
      <c r="H39" s="10"/>
      <c r="I39" s="10"/>
      <c r="J39" s="11" t="str">
        <f aca="false">IF(AND(ISNUMBER(H39),ISNUMBER(I39),N(H39)&gt;0),I39/H39,"")</f>
        <v/>
      </c>
      <c r="K39" s="10" t="n">
        <v>944</v>
      </c>
      <c r="L39" s="10" t="n">
        <v>440</v>
      </c>
      <c r="M39" s="11" t="n">
        <f aca="false">IF(AND(ISNUMBER(K39),ISNUMBER(L39),N(K39)&gt;0),L39/K39,"")</f>
        <v>0.466101694915254</v>
      </c>
      <c r="N39" s="10" t="n">
        <v>855</v>
      </c>
      <c r="O39" s="10" t="n">
        <v>425</v>
      </c>
      <c r="P39" s="11" t="n">
        <f aca="false">IF(AND(ISNUMBER(N39),ISNUMBER(O39),N(N39)&gt;0),O39/N39,"")</f>
        <v>0.497076023391813</v>
      </c>
      <c r="Q39" s="20" t="str">
        <f aca="false">IF(AND(ISNUMBER(D39),ISNUMBER(P39)),(P39-D39)*100,"")</f>
        <v/>
      </c>
      <c r="R39" s="9" t="s">
        <v>1303</v>
      </c>
    </row>
    <row r="40" customFormat="false" ht="15" hidden="false" customHeight="false" outlineLevel="0" collapsed="false">
      <c r="A40" s="9" t="s">
        <v>1334</v>
      </c>
      <c r="B40" s="10" t="n">
        <v>1392</v>
      </c>
      <c r="C40" s="10" t="n">
        <v>151</v>
      </c>
      <c r="D40" s="11" t="n">
        <f aca="false">IF(AND(ISNUMBER(B40),ISNUMBER(C40),N(B40)&gt;0),C40/B40,"")</f>
        <v>0.108477011494253</v>
      </c>
      <c r="E40" s="10" t="n">
        <v>2068</v>
      </c>
      <c r="F40" s="10" t="n">
        <v>199</v>
      </c>
      <c r="G40" s="11" t="n">
        <f aca="false">IF(AND(ISNUMBER(E40),ISNUMBER(F40),N(E40)&gt;0),F40/E40,"")</f>
        <v>0.0962282398452611</v>
      </c>
      <c r="H40" s="10" t="n">
        <v>2277</v>
      </c>
      <c r="I40" s="10" t="n">
        <v>346</v>
      </c>
      <c r="J40" s="11" t="n">
        <f aca="false">IF(AND(ISNUMBER(H40),ISNUMBER(I40),N(H40)&gt;0),I40/H40,"")</f>
        <v>0.151954325867369</v>
      </c>
      <c r="K40" s="10" t="n">
        <v>2308</v>
      </c>
      <c r="L40" s="10" t="n">
        <v>316</v>
      </c>
      <c r="M40" s="11" t="n">
        <f aca="false">IF(AND(ISNUMBER(K40),ISNUMBER(L40),N(K40)&gt;0),L40/K40,"")</f>
        <v>0.136915077989601</v>
      </c>
      <c r="N40" s="10" t="n">
        <v>2586</v>
      </c>
      <c r="O40" s="10" t="n">
        <v>327</v>
      </c>
      <c r="P40" s="11" t="n">
        <f aca="false">IF(AND(ISNUMBER(N40),ISNUMBER(O40),N(N40)&gt;0),O40/N40,"")</f>
        <v>0.126450116009281</v>
      </c>
      <c r="Q40" s="20" t="n">
        <f aca="false">IF(AND(ISNUMBER(D40),ISNUMBER(P40)),(P40-D40)*100,"")</f>
        <v>1.79731045150279</v>
      </c>
      <c r="R40" s="9" t="s">
        <v>1298</v>
      </c>
    </row>
    <row r="41" customFormat="false" ht="15" hidden="false" customHeight="false" outlineLevel="0" collapsed="false">
      <c r="A41" s="9" t="s">
        <v>1335</v>
      </c>
      <c r="B41" s="10"/>
      <c r="C41" s="10"/>
      <c r="D41" s="11" t="str">
        <f aca="false">IF(AND(ISNUMBER(B41),ISNUMBER(C41),N(B41)&gt;0),C41/B41,"")</f>
        <v/>
      </c>
      <c r="E41" s="10" t="n">
        <v>1959</v>
      </c>
      <c r="F41" s="10" t="n">
        <v>795</v>
      </c>
      <c r="G41" s="11" t="n">
        <f aca="false">IF(AND(ISNUMBER(E41),ISNUMBER(F41),N(E41)&gt;0),F41/E41,"")</f>
        <v>0.405819295558959</v>
      </c>
      <c r="H41" s="10" t="n">
        <v>2089</v>
      </c>
      <c r="I41" s="10" t="n">
        <v>863</v>
      </c>
      <c r="J41" s="11" t="n">
        <f aca="false">IF(AND(ISNUMBER(H41),ISNUMBER(I41),N(H41)&gt;0),I41/H41,"")</f>
        <v>0.413116323599809</v>
      </c>
      <c r="K41" s="10" t="n">
        <v>1929</v>
      </c>
      <c r="L41" s="10" t="n">
        <v>770</v>
      </c>
      <c r="M41" s="11" t="n">
        <f aca="false">IF(AND(ISNUMBER(K41),ISNUMBER(L41),N(K41)&gt;0),L41/K41,"")</f>
        <v>0.39917055469155</v>
      </c>
      <c r="N41" s="10" t="n">
        <v>1741</v>
      </c>
      <c r="O41" s="10" t="n">
        <v>769</v>
      </c>
      <c r="P41" s="11" t="n">
        <f aca="false">IF(AND(ISNUMBER(N41),ISNUMBER(O41),N(N41)&gt;0),O41/N41,"")</f>
        <v>0.441700172314762</v>
      </c>
      <c r="Q41" s="20" t="str">
        <f aca="false">IF(AND(ISNUMBER(D41),ISNUMBER(P41)),(P41-D41)*100,"")</f>
        <v/>
      </c>
      <c r="R41" s="9" t="s">
        <v>1303</v>
      </c>
    </row>
    <row r="42" customFormat="false" ht="15" hidden="false" customHeight="false" outlineLevel="0" collapsed="false">
      <c r="A42" s="9" t="s">
        <v>1336</v>
      </c>
      <c r="B42" s="10" t="n">
        <v>215</v>
      </c>
      <c r="C42" s="10"/>
      <c r="D42" s="11" t="str">
        <f aca="false">IF(AND(ISNUMBER(B42),ISNUMBER(C42),N(B42)&gt;0),C42/B42,"")</f>
        <v/>
      </c>
      <c r="E42" s="10" t="n">
        <v>250</v>
      </c>
      <c r="F42" s="10" t="n">
        <v>71</v>
      </c>
      <c r="G42" s="11" t="n">
        <f aca="false">IF(AND(ISNUMBER(E42),ISNUMBER(F42),N(E42)&gt;0),F42/E42,"")</f>
        <v>0.284</v>
      </c>
      <c r="H42" s="10" t="n">
        <v>239</v>
      </c>
      <c r="I42" s="10" t="n">
        <v>52</v>
      </c>
      <c r="J42" s="11" t="n">
        <f aca="false">IF(AND(ISNUMBER(H42),ISNUMBER(I42),N(H42)&gt;0),I42/H42,"")</f>
        <v>0.217573221757322</v>
      </c>
      <c r="K42" s="10" t="n">
        <v>344</v>
      </c>
      <c r="L42" s="10" t="n">
        <v>73</v>
      </c>
      <c r="M42" s="11" t="n">
        <f aca="false">IF(AND(ISNUMBER(K42),ISNUMBER(L42),N(K42)&gt;0),L42/K42,"")</f>
        <v>0.212209302325581</v>
      </c>
      <c r="N42" s="10" t="n">
        <v>476</v>
      </c>
      <c r="O42" s="10" t="n">
        <v>92</v>
      </c>
      <c r="P42" s="11" t="n">
        <f aca="false">IF(AND(ISNUMBER(N42),ISNUMBER(O42),N(N42)&gt;0),O42/N42,"")</f>
        <v>0.19327731092437</v>
      </c>
      <c r="Q42" s="20" t="str">
        <f aca="false">IF(AND(ISNUMBER(D42),ISNUMBER(P42)),(P42-D42)*100,"")</f>
        <v/>
      </c>
      <c r="R42" s="9" t="s">
        <v>1303</v>
      </c>
    </row>
    <row r="43" customFormat="false" ht="15" hidden="false" customHeight="false" outlineLevel="0" collapsed="false">
      <c r="A43" s="9" t="s">
        <v>1337</v>
      </c>
      <c r="B43" s="10" t="n">
        <v>891</v>
      </c>
      <c r="C43" s="10" t="n">
        <v>823</v>
      </c>
      <c r="D43" s="11" t="n">
        <f aca="false">IF(AND(ISNUMBER(B43),ISNUMBER(C43),N(B43)&gt;0),C43/B43,"")</f>
        <v>0.92368125701459</v>
      </c>
      <c r="E43" s="10" t="n">
        <v>1306</v>
      </c>
      <c r="F43" s="10" t="n">
        <v>1208</v>
      </c>
      <c r="G43" s="11" t="n">
        <f aca="false">IF(AND(ISNUMBER(E43),ISNUMBER(F43),N(E43)&gt;0),F43/E43,"")</f>
        <v>0.924961715160796</v>
      </c>
      <c r="H43" s="10" t="n">
        <v>1279</v>
      </c>
      <c r="I43" s="10" t="n">
        <v>1180</v>
      </c>
      <c r="J43" s="11" t="n">
        <f aca="false">IF(AND(ISNUMBER(H43),ISNUMBER(I43),N(H43)&gt;0),I43/H43,"")</f>
        <v>0.922595777951525</v>
      </c>
      <c r="K43" s="10" t="n">
        <v>1347</v>
      </c>
      <c r="L43" s="10" t="n">
        <v>1191</v>
      </c>
      <c r="M43" s="11" t="n">
        <f aca="false">IF(AND(ISNUMBER(K43),ISNUMBER(L43),N(K43)&gt;0),L43/K43,"")</f>
        <v>0.884187082405345</v>
      </c>
      <c r="N43" s="10" t="n">
        <v>1576</v>
      </c>
      <c r="O43" s="10" t="n">
        <v>1454</v>
      </c>
      <c r="P43" s="11" t="n">
        <f aca="false">IF(AND(ISNUMBER(N43),ISNUMBER(O43),N(N43)&gt;0),O43/N43,"")</f>
        <v>0.92258883248731</v>
      </c>
      <c r="Q43" s="20" t="n">
        <f aca="false">IF(AND(ISNUMBER(D43),ISNUMBER(P43)),(P43-D43)*100,"")</f>
        <v>-0.109242452728076</v>
      </c>
      <c r="R43" s="9" t="s">
        <v>1298</v>
      </c>
    </row>
    <row r="44" customFormat="false" ht="15" hidden="false" customHeight="false" outlineLevel="0" collapsed="false">
      <c r="A44" s="9" t="s">
        <v>1338</v>
      </c>
      <c r="B44" s="10" t="n">
        <v>72</v>
      </c>
      <c r="C44" s="10" t="n">
        <v>30</v>
      </c>
      <c r="D44" s="11" t="n">
        <f aca="false">IF(AND(ISNUMBER(B44),ISNUMBER(C44),N(B44)&gt;0),C44/B44,"")</f>
        <v>0.416666666666667</v>
      </c>
      <c r="E44" s="10" t="n">
        <v>66</v>
      </c>
      <c r="F44" s="10" t="n">
        <v>28</v>
      </c>
      <c r="G44" s="11" t="n">
        <f aca="false">IF(AND(ISNUMBER(E44),ISNUMBER(F44),N(E44)&gt;0),F44/E44,"")</f>
        <v>0.424242424242424</v>
      </c>
      <c r="H44" s="10" t="n">
        <v>71</v>
      </c>
      <c r="I44" s="10" t="n">
        <v>31</v>
      </c>
      <c r="J44" s="11" t="n">
        <f aca="false">IF(AND(ISNUMBER(H44),ISNUMBER(I44),N(H44)&gt;0),I44/H44,"")</f>
        <v>0.436619718309859</v>
      </c>
      <c r="K44" s="10" t="n">
        <v>70</v>
      </c>
      <c r="L44" s="10" t="n">
        <v>31</v>
      </c>
      <c r="M44" s="11" t="n">
        <f aca="false">IF(AND(ISNUMBER(K44),ISNUMBER(L44),N(K44)&gt;0),L44/K44,"")</f>
        <v>0.442857142857143</v>
      </c>
      <c r="N44" s="10" t="n">
        <v>68</v>
      </c>
      <c r="O44" s="10" t="n">
        <v>30</v>
      </c>
      <c r="P44" s="11" t="n">
        <f aca="false">IF(AND(ISNUMBER(N44),ISNUMBER(O44),N(N44)&gt;0),O44/N44,"")</f>
        <v>0.441176470588235</v>
      </c>
      <c r="Q44" s="20" t="n">
        <f aca="false">IF(AND(ISNUMBER(D44),ISNUMBER(P44)),(P44-D44)*100,"")</f>
        <v>2.45098039215686</v>
      </c>
      <c r="R44" s="9" t="s">
        <v>1298</v>
      </c>
    </row>
    <row r="45" customFormat="false" ht="15" hidden="false" customHeight="false" outlineLevel="0" collapsed="false">
      <c r="A45" s="9" t="s">
        <v>1339</v>
      </c>
      <c r="B45" s="10" t="n">
        <v>2933</v>
      </c>
      <c r="C45" s="10" t="n">
        <v>880</v>
      </c>
      <c r="D45" s="11" t="n">
        <f aca="false">IF(AND(ISNUMBER(B45),ISNUMBER(C45),N(B45)&gt;0),C45/B45,"")</f>
        <v>0.300034094783498</v>
      </c>
      <c r="E45" s="10" t="n">
        <v>1238</v>
      </c>
      <c r="F45" s="10" t="n">
        <v>532</v>
      </c>
      <c r="G45" s="11" t="n">
        <f aca="false">IF(AND(ISNUMBER(E45),ISNUMBER(F45),N(E45)&gt;0),F45/E45,"")</f>
        <v>0.429725363489499</v>
      </c>
      <c r="H45" s="10" t="n">
        <v>1196</v>
      </c>
      <c r="I45" s="10" t="n">
        <v>516</v>
      </c>
      <c r="J45" s="11" t="n">
        <f aca="false">IF(AND(ISNUMBER(H45),ISNUMBER(I45),N(H45)&gt;0),I45/H45,"")</f>
        <v>0.431438127090301</v>
      </c>
      <c r="K45" s="10" t="n">
        <v>1237</v>
      </c>
      <c r="L45" s="10" t="n">
        <v>496</v>
      </c>
      <c r="M45" s="11" t="n">
        <f aca="false">IF(AND(ISNUMBER(K45),ISNUMBER(L45),N(K45)&gt;0),L45/K45,"")</f>
        <v>0.400970088924818</v>
      </c>
      <c r="N45" s="10" t="n">
        <v>1193</v>
      </c>
      <c r="O45" s="10" t="n">
        <v>432</v>
      </c>
      <c r="P45" s="11" t="n">
        <f aca="false">IF(AND(ISNUMBER(N45),ISNUMBER(O45),N(N45)&gt;0),O45/N45,"")</f>
        <v>0.362112321877619</v>
      </c>
      <c r="Q45" s="20" t="n">
        <f aca="false">IF(AND(ISNUMBER(D45),ISNUMBER(P45)),(P45-D45)*100,"")</f>
        <v>6.20782270941213</v>
      </c>
      <c r="R45" s="9" t="s">
        <v>1298</v>
      </c>
    </row>
    <row r="46" customFormat="false" ht="15" hidden="false" customHeight="false" outlineLevel="0" collapsed="false">
      <c r="A46" s="9" t="s">
        <v>1340</v>
      </c>
      <c r="B46" s="10" t="n">
        <v>218</v>
      </c>
      <c r="C46" s="10"/>
      <c r="D46" s="11" t="str">
        <f aca="false">IF(AND(ISNUMBER(B46),ISNUMBER(C46),N(B46)&gt;0),C46/B46,"")</f>
        <v/>
      </c>
      <c r="E46" s="10" t="n">
        <v>905</v>
      </c>
      <c r="F46" s="10"/>
      <c r="G46" s="11" t="str">
        <f aca="false">IF(AND(ISNUMBER(E46),ISNUMBER(F46),N(E46)&gt;0),F46/E46,"")</f>
        <v/>
      </c>
      <c r="H46" s="10" t="n">
        <v>1203</v>
      </c>
      <c r="I46" s="10" t="n">
        <v>512</v>
      </c>
      <c r="J46" s="11" t="n">
        <f aca="false">IF(AND(ISNUMBER(H46),ISNUMBER(I46),N(H46)&gt;0),I46/H46,"")</f>
        <v>0.425602660016625</v>
      </c>
      <c r="K46" s="10" t="n">
        <v>1002</v>
      </c>
      <c r="L46" s="10" t="n">
        <v>408</v>
      </c>
      <c r="M46" s="11" t="n">
        <f aca="false">IF(AND(ISNUMBER(K46),ISNUMBER(L46),N(K46)&gt;0),L46/K46,"")</f>
        <v>0.407185628742515</v>
      </c>
      <c r="N46" s="10" t="n">
        <v>1258</v>
      </c>
      <c r="O46" s="10" t="n">
        <v>428</v>
      </c>
      <c r="P46" s="11" t="n">
        <f aca="false">IF(AND(ISNUMBER(N46),ISNUMBER(O46),N(N46)&gt;0),O46/N46,"")</f>
        <v>0.340222575516693</v>
      </c>
      <c r="Q46" s="20" t="str">
        <f aca="false">IF(AND(ISNUMBER(D46),ISNUMBER(P46)),(P46-D46)*100,"")</f>
        <v/>
      </c>
      <c r="R46" s="9" t="s">
        <v>1303</v>
      </c>
    </row>
    <row r="47" customFormat="false" ht="15" hidden="false" customHeight="false" outlineLevel="0" collapsed="false">
      <c r="A47" s="9" t="s">
        <v>1341</v>
      </c>
      <c r="B47" s="10" t="n">
        <v>19927</v>
      </c>
      <c r="C47" s="10" t="n">
        <v>5565</v>
      </c>
      <c r="D47" s="11" t="n">
        <f aca="false">IF(AND(ISNUMBER(B47),ISNUMBER(C47),N(B47)&gt;0),C47/B47,"")</f>
        <v>0.27926933306569</v>
      </c>
      <c r="E47" s="10" t="n">
        <v>21103</v>
      </c>
      <c r="F47" s="10" t="n">
        <v>6350</v>
      </c>
      <c r="G47" s="11" t="n">
        <f aca="false">IF(AND(ISNUMBER(E47),ISNUMBER(F47),N(E47)&gt;0),F47/E47,"")</f>
        <v>0.30090508458513</v>
      </c>
      <c r="H47" s="10" t="n">
        <v>21793</v>
      </c>
      <c r="I47" s="10" t="n">
        <v>6635</v>
      </c>
      <c r="J47" s="11" t="n">
        <f aca="false">IF(AND(ISNUMBER(H47),ISNUMBER(I47),N(H47)&gt;0),I47/H47,"")</f>
        <v>0.30445555912449</v>
      </c>
      <c r="K47" s="10" t="n">
        <v>22600</v>
      </c>
      <c r="L47" s="10" t="n">
        <v>6897</v>
      </c>
      <c r="M47" s="11" t="n">
        <f aca="false">IF(AND(ISNUMBER(K47),ISNUMBER(L47),N(K47)&gt;0),L47/K47,"")</f>
        <v>0.305176991150443</v>
      </c>
      <c r="N47" s="10" t="n">
        <v>24094</v>
      </c>
      <c r="O47" s="10" t="n">
        <v>7348</v>
      </c>
      <c r="P47" s="11" t="n">
        <f aca="false">IF(AND(ISNUMBER(N47),ISNUMBER(O47),N(N47)&gt;0),O47/N47,"")</f>
        <v>0.304972192247033</v>
      </c>
      <c r="Q47" s="20" t="n">
        <f aca="false">IF(AND(ISNUMBER(D47),ISNUMBER(P47)),(P47-D47)*100,"")</f>
        <v>2.57028591813427</v>
      </c>
      <c r="R47" s="9" t="s">
        <v>1298</v>
      </c>
    </row>
    <row r="48" customFormat="false" ht="15" hidden="false" customHeight="false" outlineLevel="0" collapsed="false">
      <c r="A48" s="9" t="s">
        <v>1342</v>
      </c>
      <c r="B48" s="10" t="n">
        <v>2098</v>
      </c>
      <c r="C48" s="10" t="n">
        <v>228</v>
      </c>
      <c r="D48" s="11" t="n">
        <f aca="false">IF(AND(ISNUMBER(B48),ISNUMBER(C48),N(B48)&gt;0),C48/B48,"")</f>
        <v>0.108674928503337</v>
      </c>
      <c r="E48" s="10" t="n">
        <v>3037</v>
      </c>
      <c r="F48" s="10" t="n">
        <v>458</v>
      </c>
      <c r="G48" s="11" t="n">
        <f aca="false">IF(AND(ISNUMBER(E48),ISNUMBER(F48),N(E48)&gt;0),F48/E48,"")</f>
        <v>0.150806717155087</v>
      </c>
      <c r="H48" s="10" t="n">
        <v>3169</v>
      </c>
      <c r="I48" s="10" t="n">
        <v>472</v>
      </c>
      <c r="J48" s="11" t="n">
        <f aca="false">IF(AND(ISNUMBER(H48),ISNUMBER(I48),N(H48)&gt;0),I48/H48,"")</f>
        <v>0.148942884190596</v>
      </c>
      <c r="K48" s="10" t="n">
        <v>3984</v>
      </c>
      <c r="L48" s="10" t="n">
        <v>597</v>
      </c>
      <c r="M48" s="11" t="n">
        <f aca="false">IF(AND(ISNUMBER(K48),ISNUMBER(L48),N(K48)&gt;0),L48/K48,"")</f>
        <v>0.149849397590361</v>
      </c>
      <c r="N48" s="10" t="n">
        <v>3829</v>
      </c>
      <c r="O48" s="10" t="n">
        <v>543</v>
      </c>
      <c r="P48" s="11" t="n">
        <f aca="false">IF(AND(ISNUMBER(N48),ISNUMBER(O48),N(N48)&gt;0),O48/N48,"")</f>
        <v>0.1418124836772</v>
      </c>
      <c r="Q48" s="20" t="n">
        <f aca="false">IF(AND(ISNUMBER(D48),ISNUMBER(P48)),(P48-D48)*100,"")</f>
        <v>3.31375551738638</v>
      </c>
      <c r="R48" s="9" t="s">
        <v>1298</v>
      </c>
    </row>
    <row r="49" customFormat="false" ht="15" hidden="false" customHeight="false" outlineLevel="0" collapsed="false">
      <c r="A49" s="9" t="s">
        <v>1343</v>
      </c>
      <c r="B49" s="10" t="n">
        <v>3454</v>
      </c>
      <c r="C49" s="10"/>
      <c r="D49" s="11" t="str">
        <f aca="false">IF(AND(ISNUMBER(B49),ISNUMBER(C49),N(B49)&gt;0),C49/B49,"")</f>
        <v/>
      </c>
      <c r="E49" s="10"/>
      <c r="F49" s="10"/>
      <c r="G49" s="11" t="str">
        <f aca="false">IF(AND(ISNUMBER(E49),ISNUMBER(F49),N(E49)&gt;0),F49/E49,"")</f>
        <v/>
      </c>
      <c r="H49" s="10"/>
      <c r="I49" s="10"/>
      <c r="J49" s="11" t="str">
        <f aca="false">IF(AND(ISNUMBER(H49),ISNUMBER(I49),N(H49)&gt;0),I49/H49,"")</f>
        <v/>
      </c>
      <c r="K49" s="10"/>
      <c r="L49" s="10"/>
      <c r="M49" s="11" t="str">
        <f aca="false">IF(AND(ISNUMBER(K49),ISNUMBER(L49),N(K49)&gt;0),L49/K49,"")</f>
        <v/>
      </c>
      <c r="N49" s="10"/>
      <c r="O49" s="10"/>
      <c r="P49" s="11" t="str">
        <f aca="false">IF(AND(ISNUMBER(N49),ISNUMBER(O49),N(N49)&gt;0),O49/N49,"")</f>
        <v/>
      </c>
      <c r="Q49" s="20" t="str">
        <f aca="false">IF(AND(ISNUMBER(D49),ISNUMBER(P49)),(P49-D49)*100,"")</f>
        <v/>
      </c>
      <c r="R49" s="9" t="s">
        <v>1303</v>
      </c>
    </row>
    <row r="50" customFormat="false" ht="15" hidden="false" customHeight="false" outlineLevel="0" collapsed="false">
      <c r="A50" s="9" t="s">
        <v>1344</v>
      </c>
      <c r="B50" s="10" t="n">
        <v>1199</v>
      </c>
      <c r="C50" s="10" t="n">
        <v>372</v>
      </c>
      <c r="D50" s="11" t="n">
        <f aca="false">IF(AND(ISNUMBER(B50),ISNUMBER(C50),N(B50)&gt;0),C50/B50,"")</f>
        <v>0.310258548790659</v>
      </c>
      <c r="E50" s="10" t="n">
        <v>1422</v>
      </c>
      <c r="F50" s="10" t="n">
        <v>489</v>
      </c>
      <c r="G50" s="11" t="n">
        <f aca="false">IF(AND(ISNUMBER(E50),ISNUMBER(F50),N(E50)&gt;0),F50/E50,"")</f>
        <v>0.343881856540084</v>
      </c>
      <c r="H50" s="10" t="n">
        <v>1542</v>
      </c>
      <c r="I50" s="10" t="n">
        <v>571</v>
      </c>
      <c r="J50" s="11" t="n">
        <f aca="false">IF(AND(ISNUMBER(H50),ISNUMBER(I50),N(H50)&gt;0),I50/H50,"")</f>
        <v>0.37029831387808</v>
      </c>
      <c r="K50" s="10" t="n">
        <v>1711</v>
      </c>
      <c r="L50" s="10" t="n">
        <v>628</v>
      </c>
      <c r="M50" s="11" t="n">
        <f aca="false">IF(AND(ISNUMBER(K50),ISNUMBER(L50),N(K50)&gt;0),L50/K50,"")</f>
        <v>0.367036820572765</v>
      </c>
      <c r="N50" s="10" t="n">
        <v>1731</v>
      </c>
      <c r="O50" s="10" t="n">
        <v>652</v>
      </c>
      <c r="P50" s="11" t="n">
        <f aca="false">IF(AND(ISNUMBER(N50),ISNUMBER(O50),N(N50)&gt;0),O50/N50,"")</f>
        <v>0.376660889659157</v>
      </c>
      <c r="Q50" s="20" t="n">
        <f aca="false">IF(AND(ISNUMBER(D50),ISNUMBER(P50)),(P50-D50)*100,"")</f>
        <v>6.64023408684977</v>
      </c>
      <c r="R50" s="9" t="s">
        <v>1298</v>
      </c>
    </row>
    <row r="51" customFormat="false" ht="15" hidden="false" customHeight="false" outlineLevel="0" collapsed="false">
      <c r="A51" s="9" t="s">
        <v>1345</v>
      </c>
      <c r="B51" s="10" t="n">
        <v>752</v>
      </c>
      <c r="C51" s="10" t="n">
        <v>139</v>
      </c>
      <c r="D51" s="11" t="n">
        <f aca="false">IF(AND(ISNUMBER(B51),ISNUMBER(C51),N(B51)&gt;0),C51/B51,"")</f>
        <v>0.184840425531915</v>
      </c>
      <c r="E51" s="10" t="n">
        <v>858</v>
      </c>
      <c r="F51" s="10" t="n">
        <v>286</v>
      </c>
      <c r="G51" s="11" t="n">
        <f aca="false">IF(AND(ISNUMBER(E51),ISNUMBER(F51),N(E51)&gt;0),F51/E51,"")</f>
        <v>0.333333333333333</v>
      </c>
      <c r="H51" s="10" t="n">
        <v>794</v>
      </c>
      <c r="I51" s="10" t="n">
        <v>193</v>
      </c>
      <c r="J51" s="11" t="n">
        <f aca="false">IF(AND(ISNUMBER(H51),ISNUMBER(I51),N(H51)&gt;0),I51/H51,"")</f>
        <v>0.243073047858942</v>
      </c>
      <c r="K51" s="10" t="n">
        <v>656</v>
      </c>
      <c r="L51" s="10" t="n">
        <v>155</v>
      </c>
      <c r="M51" s="11" t="n">
        <f aca="false">IF(AND(ISNUMBER(K51),ISNUMBER(L51),N(K51)&gt;0),L51/K51,"")</f>
        <v>0.236280487804878</v>
      </c>
      <c r="N51" s="10" t="n">
        <v>680</v>
      </c>
      <c r="O51" s="10" t="n">
        <v>176</v>
      </c>
      <c r="P51" s="11" t="n">
        <f aca="false">IF(AND(ISNUMBER(N51),ISNUMBER(O51),N(N51)&gt;0),O51/N51,"")</f>
        <v>0.258823529411765</v>
      </c>
      <c r="Q51" s="20" t="n">
        <f aca="false">IF(AND(ISNUMBER(D51),ISNUMBER(P51)),(P51-D51)*100,"")</f>
        <v>7.39831038798498</v>
      </c>
      <c r="R51" s="9" t="s">
        <v>1298</v>
      </c>
    </row>
    <row r="52" customFormat="false" ht="15" hidden="false" customHeight="false" outlineLevel="0" collapsed="false">
      <c r="A52" s="9" t="s">
        <v>1282</v>
      </c>
      <c r="B52" s="10" t="n">
        <v>5850</v>
      </c>
      <c r="C52" s="10" t="n">
        <v>2319</v>
      </c>
      <c r="D52" s="11" t="n">
        <f aca="false">IF(AND(ISNUMBER(B52),ISNUMBER(C52),N(B52)&gt;0),C52/B52,"")</f>
        <v>0.396410256410256</v>
      </c>
      <c r="E52" s="10" t="n">
        <v>5741</v>
      </c>
      <c r="F52" s="10" t="n">
        <v>3702</v>
      </c>
      <c r="G52" s="11" t="n">
        <f aca="false">IF(AND(ISNUMBER(E52),ISNUMBER(F52),N(E52)&gt;0),F52/E52,"")</f>
        <v>0.64483539453057</v>
      </c>
      <c r="H52" s="10" t="n">
        <v>6075</v>
      </c>
      <c r="I52" s="10" t="n">
        <v>3995</v>
      </c>
      <c r="J52" s="11" t="n">
        <f aca="false">IF(AND(ISNUMBER(H52),ISNUMBER(I52),N(H52)&gt;0),I52/H52,"")</f>
        <v>0.65761316872428</v>
      </c>
      <c r="K52" s="10" t="n">
        <v>6517</v>
      </c>
      <c r="L52" s="10" t="n">
        <v>4324</v>
      </c>
      <c r="M52" s="11" t="n">
        <f aca="false">IF(AND(ISNUMBER(K52),ISNUMBER(L52),N(K52)&gt;0),L52/K52,"")</f>
        <v>0.663495473377321</v>
      </c>
      <c r="N52" s="10" t="n">
        <v>6451</v>
      </c>
      <c r="O52" s="10" t="n">
        <v>4258</v>
      </c>
      <c r="P52" s="11" t="n">
        <f aca="false">IF(AND(ISNUMBER(N52),ISNUMBER(O52),N(N52)&gt;0),O52/N52,"")</f>
        <v>0.660052705006976</v>
      </c>
      <c r="Q52" s="20" t="n">
        <f aca="false">IF(AND(ISNUMBER(D52),ISNUMBER(P52)),(P52-D52)*100,"")</f>
        <v>26.3642448596719</v>
      </c>
      <c r="R52" s="9" t="s">
        <v>1298</v>
      </c>
    </row>
    <row r="53" customFormat="false" ht="15" hidden="false" customHeight="false" outlineLevel="0" collapsed="false">
      <c r="A53" s="9" t="s">
        <v>1283</v>
      </c>
      <c r="B53" s="10" t="n">
        <v>21500</v>
      </c>
      <c r="C53" s="10"/>
      <c r="D53" s="11" t="str">
        <f aca="false">IF(AND(ISNUMBER(B53),ISNUMBER(C53),N(B53)&gt;0),C53/B53,"")</f>
        <v/>
      </c>
      <c r="E53" s="10" t="n">
        <v>21000</v>
      </c>
      <c r="F53" s="10" t="n">
        <v>8000</v>
      </c>
      <c r="G53" s="11" t="n">
        <f aca="false">IF(AND(ISNUMBER(E53),ISNUMBER(F53),N(E53)&gt;0),F53/E53,"")</f>
        <v>0.380952380952381</v>
      </c>
      <c r="H53" s="10" t="n">
        <v>19898</v>
      </c>
      <c r="I53" s="10" t="n">
        <v>7617</v>
      </c>
      <c r="J53" s="11" t="n">
        <f aca="false">IF(AND(ISNUMBER(H53),ISNUMBER(I53),N(H53)&gt;0),I53/H53,"")</f>
        <v>0.382802291687607</v>
      </c>
      <c r="K53" s="10" t="n">
        <v>20993</v>
      </c>
      <c r="L53" s="10" t="n">
        <v>8001</v>
      </c>
      <c r="M53" s="11" t="n">
        <f aca="false">IF(AND(ISNUMBER(K53),ISNUMBER(L53),N(K53)&gt;0),L53/K53,"")</f>
        <v>0.381127042347449</v>
      </c>
      <c r="N53" s="10" t="n">
        <v>21504</v>
      </c>
      <c r="O53" s="10" t="n">
        <v>8531</v>
      </c>
      <c r="P53" s="11" t="n">
        <f aca="false">IF(AND(ISNUMBER(N53),ISNUMBER(O53),N(N53)&gt;0),O53/N53,"")</f>
        <v>0.396716889880952</v>
      </c>
      <c r="Q53" s="20" t="str">
        <f aca="false">IF(AND(ISNUMBER(D53),ISNUMBER(P53)),(P53-D53)*100,"")</f>
        <v/>
      </c>
      <c r="R53" s="9" t="s">
        <v>1303</v>
      </c>
    </row>
    <row r="54" customFormat="false" ht="15" hidden="false" customHeight="false" outlineLevel="0" collapsed="false">
      <c r="A54" s="9" t="s">
        <v>1284</v>
      </c>
      <c r="B54" s="10" t="n">
        <v>12884</v>
      </c>
      <c r="C54" s="10" t="n">
        <v>7594</v>
      </c>
      <c r="D54" s="11" t="n">
        <f aca="false">IF(AND(ISNUMBER(B54),ISNUMBER(C54),N(B54)&gt;0),C54/B54,"")</f>
        <v>0.589413225706302</v>
      </c>
      <c r="E54" s="10" t="n">
        <v>12200</v>
      </c>
      <c r="F54" s="10" t="n">
        <v>6313</v>
      </c>
      <c r="G54" s="11" t="n">
        <f aca="false">IF(AND(ISNUMBER(E54),ISNUMBER(F54),N(E54)&gt;0),F54/E54,"")</f>
        <v>0.517459016393443</v>
      </c>
      <c r="H54" s="10" t="n">
        <v>11671</v>
      </c>
      <c r="I54" s="10" t="n">
        <v>6079</v>
      </c>
      <c r="J54" s="11" t="n">
        <f aca="false">IF(AND(ISNUMBER(H54),ISNUMBER(I54),N(H54)&gt;0),I54/H54,"")</f>
        <v>0.520863679204867</v>
      </c>
      <c r="K54" s="10" t="n">
        <v>10433</v>
      </c>
      <c r="L54" s="10" t="n">
        <v>5383</v>
      </c>
      <c r="M54" s="11" t="n">
        <f aca="false">IF(AND(ISNUMBER(K54),ISNUMBER(L54),N(K54)&gt;0),L54/K54,"")</f>
        <v>0.515958976325122</v>
      </c>
      <c r="N54" s="10" t="n">
        <v>9326</v>
      </c>
      <c r="O54" s="10" t="n">
        <v>4815</v>
      </c>
      <c r="P54" s="11" t="n">
        <f aca="false">IF(AND(ISNUMBER(N54),ISNUMBER(O54),N(N54)&gt;0),O54/N54,"")</f>
        <v>0.516298520265923</v>
      </c>
      <c r="Q54" s="20" t="n">
        <f aca="false">IF(AND(ISNUMBER(D54),ISNUMBER(P54)),(P54-D54)*100,"")</f>
        <v>-7.31147054403791</v>
      </c>
      <c r="R54" s="9" t="s">
        <v>1298</v>
      </c>
    </row>
    <row r="55" customFormat="false" ht="15" hidden="false" customHeight="false" outlineLevel="0" collapsed="false">
      <c r="A55" s="9" t="s">
        <v>1346</v>
      </c>
      <c r="B55" s="10" t="n">
        <v>351</v>
      </c>
      <c r="C55" s="10"/>
      <c r="D55" s="11" t="str">
        <f aca="false">IF(AND(ISNUMBER(B55),ISNUMBER(C55),N(B55)&gt;0),C55/B55,"")</f>
        <v/>
      </c>
      <c r="E55" s="10" t="n">
        <v>395</v>
      </c>
      <c r="F55" s="10" t="n">
        <v>118</v>
      </c>
      <c r="G55" s="11" t="n">
        <f aca="false">IF(AND(ISNUMBER(E55),ISNUMBER(F55),N(E55)&gt;0),F55/E55,"")</f>
        <v>0.29873417721519</v>
      </c>
      <c r="H55" s="10" t="n">
        <v>441</v>
      </c>
      <c r="I55" s="10" t="n">
        <v>114</v>
      </c>
      <c r="J55" s="11" t="n">
        <f aca="false">IF(AND(ISNUMBER(H55),ISNUMBER(I55),N(H55)&gt;0),I55/H55,"")</f>
        <v>0.258503401360544</v>
      </c>
      <c r="K55" s="10" t="n">
        <v>395</v>
      </c>
      <c r="L55" s="10" t="n">
        <v>98</v>
      </c>
      <c r="M55" s="11" t="n">
        <f aca="false">IF(AND(ISNUMBER(K55),ISNUMBER(L55),N(K55)&gt;0),L55/K55,"")</f>
        <v>0.248101265822785</v>
      </c>
      <c r="N55" s="10" t="n">
        <v>362</v>
      </c>
      <c r="O55" s="10" t="n">
        <v>80</v>
      </c>
      <c r="P55" s="11" t="n">
        <f aca="false">IF(AND(ISNUMBER(N55),ISNUMBER(O55),N(N55)&gt;0),O55/N55,"")</f>
        <v>0.220994475138122</v>
      </c>
      <c r="Q55" s="20" t="str">
        <f aca="false">IF(AND(ISNUMBER(D55),ISNUMBER(P55)),(P55-D55)*100,"")</f>
        <v/>
      </c>
      <c r="R55" s="9" t="s">
        <v>1303</v>
      </c>
    </row>
    <row r="56" customFormat="false" ht="15" hidden="false" customHeight="false" outlineLevel="0" collapsed="false">
      <c r="A56" s="9" t="s">
        <v>1347</v>
      </c>
      <c r="B56" s="10"/>
      <c r="C56" s="10"/>
      <c r="D56" s="11" t="str">
        <f aca="false">IF(AND(ISNUMBER(B56),ISNUMBER(C56),N(B56)&gt;0),C56/B56,"")</f>
        <v/>
      </c>
      <c r="E56" s="10"/>
      <c r="F56" s="10"/>
      <c r="G56" s="11" t="str">
        <f aca="false">IF(AND(ISNUMBER(E56),ISNUMBER(F56),N(E56)&gt;0),F56/E56,"")</f>
        <v/>
      </c>
      <c r="H56" s="10" t="n">
        <v>248</v>
      </c>
      <c r="I56" s="10" t="n">
        <v>42</v>
      </c>
      <c r="J56" s="11" t="n">
        <f aca="false">IF(AND(ISNUMBER(H56),ISNUMBER(I56),N(H56)&gt;0),I56/H56,"")</f>
        <v>0.169354838709677</v>
      </c>
      <c r="K56" s="10"/>
      <c r="L56" s="10"/>
      <c r="M56" s="11" t="str">
        <f aca="false">IF(AND(ISNUMBER(K56),ISNUMBER(L56),N(K56)&gt;0),L56/K56,"")</f>
        <v/>
      </c>
      <c r="N56" s="10"/>
      <c r="O56" s="10"/>
      <c r="P56" s="11" t="str">
        <f aca="false">IF(AND(ISNUMBER(N56),ISNUMBER(O56),N(N56)&gt;0),O56/N56,"")</f>
        <v/>
      </c>
      <c r="Q56" s="20" t="str">
        <f aca="false">IF(AND(ISNUMBER(D56),ISNUMBER(P56)),(P56-D56)*100,"")</f>
        <v/>
      </c>
      <c r="R56" s="9" t="s">
        <v>1303</v>
      </c>
    </row>
    <row r="57" customFormat="false" ht="15" hidden="false" customHeight="false" outlineLevel="0" collapsed="false">
      <c r="A57" s="9" t="s">
        <v>1348</v>
      </c>
      <c r="B57" s="10" t="n">
        <v>1812</v>
      </c>
      <c r="C57" s="10" t="n">
        <v>801</v>
      </c>
      <c r="D57" s="11" t="n">
        <f aca="false">IF(AND(ISNUMBER(B57),ISNUMBER(C57),N(B57)&gt;0),C57/B57,"")</f>
        <v>0.44205298013245</v>
      </c>
      <c r="E57" s="10" t="n">
        <v>3380</v>
      </c>
      <c r="F57" s="10" t="n">
        <v>1478</v>
      </c>
      <c r="G57" s="11" t="n">
        <f aca="false">IF(AND(ISNUMBER(E57),ISNUMBER(F57),N(E57)&gt;0),F57/E57,"")</f>
        <v>0.437278106508876</v>
      </c>
      <c r="H57" s="10" t="n">
        <v>3625</v>
      </c>
      <c r="I57" s="10" t="n">
        <v>1725</v>
      </c>
      <c r="J57" s="11" t="n">
        <f aca="false">IF(AND(ISNUMBER(H57),ISNUMBER(I57),N(H57)&gt;0),I57/H57,"")</f>
        <v>0.475862068965517</v>
      </c>
      <c r="K57" s="10" t="n">
        <v>4021</v>
      </c>
      <c r="L57" s="10" t="n">
        <v>1888</v>
      </c>
      <c r="M57" s="11" t="n">
        <f aca="false">IF(AND(ISNUMBER(K57),ISNUMBER(L57),N(K57)&gt;0),L57/K57,"")</f>
        <v>0.469534941556827</v>
      </c>
      <c r="N57" s="10" t="n">
        <v>4164</v>
      </c>
      <c r="O57" s="10" t="n">
        <v>1922</v>
      </c>
      <c r="P57" s="11" t="n">
        <f aca="false">IF(AND(ISNUMBER(N57),ISNUMBER(O57),N(N57)&gt;0),O57/N57,"")</f>
        <v>0.461575408261287</v>
      </c>
      <c r="Q57" s="20" t="n">
        <f aca="false">IF(AND(ISNUMBER(D57),ISNUMBER(P57)),(P57-D57)*100,"")</f>
        <v>1.95224281288369</v>
      </c>
      <c r="R57" s="9" t="s">
        <v>1298</v>
      </c>
    </row>
    <row r="58" customFormat="false" ht="15" hidden="false" customHeight="false" outlineLevel="0" collapsed="false">
      <c r="A58" s="9" t="s">
        <v>1349</v>
      </c>
      <c r="B58" s="10" t="n">
        <v>745</v>
      </c>
      <c r="C58" s="10"/>
      <c r="D58" s="11" t="str">
        <f aca="false">IF(AND(ISNUMBER(B58),ISNUMBER(C58),N(B58)&gt;0),C58/B58,"")</f>
        <v/>
      </c>
      <c r="E58" s="10" t="n">
        <v>1315</v>
      </c>
      <c r="F58" s="10" t="n">
        <v>221</v>
      </c>
      <c r="G58" s="11" t="n">
        <f aca="false">IF(AND(ISNUMBER(E58),ISNUMBER(F58),N(E58)&gt;0),F58/E58,"")</f>
        <v>0.168060836501901</v>
      </c>
      <c r="H58" s="10" t="n">
        <v>1519</v>
      </c>
      <c r="I58" s="10" t="n">
        <v>266</v>
      </c>
      <c r="J58" s="11" t="n">
        <f aca="false">IF(AND(ISNUMBER(H58),ISNUMBER(I58),N(H58)&gt;0),I58/H58,"")</f>
        <v>0.175115207373272</v>
      </c>
      <c r="K58" s="10" t="n">
        <v>2014</v>
      </c>
      <c r="L58" s="10" t="n">
        <v>402</v>
      </c>
      <c r="M58" s="11" t="n">
        <f aca="false">IF(AND(ISNUMBER(K58),ISNUMBER(L58),N(K58)&gt;0),L58/K58,"")</f>
        <v>0.199602780536246</v>
      </c>
      <c r="N58" s="10" t="n">
        <v>2093</v>
      </c>
      <c r="O58" s="10" t="n">
        <v>413</v>
      </c>
      <c r="P58" s="11" t="n">
        <f aca="false">IF(AND(ISNUMBER(N58),ISNUMBER(O58),N(N58)&gt;0),O58/N58,"")</f>
        <v>0.197324414715719</v>
      </c>
      <c r="Q58" s="20" t="str">
        <f aca="false">IF(AND(ISNUMBER(D58),ISNUMBER(P58)),(P58-D58)*100,"")</f>
        <v/>
      </c>
      <c r="R58" s="9" t="s">
        <v>1303</v>
      </c>
    </row>
    <row r="59" customFormat="false" ht="15" hidden="false" customHeight="false" outlineLevel="0" collapsed="false">
      <c r="A59" s="9" t="s">
        <v>1350</v>
      </c>
      <c r="B59" s="10" t="n">
        <v>9232</v>
      </c>
      <c r="C59" s="10" t="n">
        <v>7837</v>
      </c>
      <c r="D59" s="11" t="n">
        <f aca="false">IF(AND(ISNUMBER(B59),ISNUMBER(C59),N(B59)&gt;0),C59/B59,"")</f>
        <v>0.848895147313692</v>
      </c>
      <c r="E59" s="10" t="n">
        <v>9306</v>
      </c>
      <c r="F59" s="10" t="n">
        <v>7941</v>
      </c>
      <c r="G59" s="11" t="n">
        <f aca="false">IF(AND(ISNUMBER(E59),ISNUMBER(F59),N(E59)&gt;0),F59/E59,"")</f>
        <v>0.853320438426821</v>
      </c>
      <c r="H59" s="10" t="n">
        <v>8803</v>
      </c>
      <c r="I59" s="10" t="n">
        <v>7635</v>
      </c>
      <c r="J59" s="11" t="n">
        <f aca="false">IF(AND(ISNUMBER(H59),ISNUMBER(I59),N(H59)&gt;0),I59/H59,"")</f>
        <v>0.867317959786436</v>
      </c>
      <c r="K59" s="10" t="n">
        <v>8373</v>
      </c>
      <c r="L59" s="10" t="n">
        <v>7240</v>
      </c>
      <c r="M59" s="11" t="n">
        <f aca="false">IF(AND(ISNUMBER(K59),ISNUMBER(L59),N(K59)&gt;0),L59/K59,"")</f>
        <v>0.864684103666547</v>
      </c>
      <c r="N59" s="10" t="n">
        <v>7812</v>
      </c>
      <c r="O59" s="10" t="n">
        <v>6764</v>
      </c>
      <c r="P59" s="11" t="n">
        <f aca="false">IF(AND(ISNUMBER(N59),ISNUMBER(O59),N(N59)&gt;0),O59/N59,"")</f>
        <v>0.865847414234511</v>
      </c>
      <c r="Q59" s="20" t="n">
        <f aca="false">IF(AND(ISNUMBER(D59),ISNUMBER(P59)),(P59-D59)*100,"")</f>
        <v>1.69522669208195</v>
      </c>
      <c r="R59" s="9" t="s">
        <v>1298</v>
      </c>
    </row>
    <row r="61" customFormat="false" ht="15" hidden="false" customHeight="false" outlineLevel="0" collapsed="false">
      <c r="A61" s="5" t="s">
        <v>1351</v>
      </c>
      <c r="B61" s="13" t="n">
        <f aca="false">SUMIFS(B5:B59,$R$5:$R$59,"oui")</f>
        <v>161262</v>
      </c>
      <c r="C61" s="13" t="n">
        <f aca="false">SUMIFS(C5:C59,$R$5:$R$59,"oui")</f>
        <v>57386</v>
      </c>
      <c r="D61" s="14" t="n">
        <f aca="false">C61/B61</f>
        <v>0.355855688258858</v>
      </c>
      <c r="E61" s="13" t="n">
        <f aca="false">SUMIFS(E5:E59,$R$5:$R$59,"oui")</f>
        <v>177514</v>
      </c>
      <c r="F61" s="13" t="n">
        <f aca="false">SUMIFS(F5:F59,$R$5:$R$59,"oui")</f>
        <v>64213</v>
      </c>
      <c r="G61" s="14" t="n">
        <f aca="false">F61/E61</f>
        <v>0.361734849082326</v>
      </c>
      <c r="H61" s="13" t="n">
        <f aca="false">SUMIFS(H5:H59,$R$5:$R$59,"oui")</f>
        <v>183625</v>
      </c>
      <c r="I61" s="13" t="n">
        <f aca="false">SUMIFS(I5:I59,$R$5:$R$59,"oui")</f>
        <v>67164</v>
      </c>
      <c r="J61" s="14" t="n">
        <f aca="false">I61/H61</f>
        <v>0.365767188563649</v>
      </c>
      <c r="K61" s="13" t="n">
        <f aca="false">SUMIFS(K5:K59,$R$5:$R$59,"oui")</f>
        <v>186591</v>
      </c>
      <c r="L61" s="13" t="n">
        <f aca="false">SUMIFS(L5:L59,$R$5:$R$59,"oui")</f>
        <v>69240</v>
      </c>
      <c r="M61" s="14" t="n">
        <f aca="false">L61/K61</f>
        <v>0.371078990948116</v>
      </c>
      <c r="N61" s="13" t="n">
        <f aca="false">SUMIFS(N5:N59,$R$5:$R$59,"oui")</f>
        <v>187328</v>
      </c>
      <c r="O61" s="13" t="n">
        <f aca="false">SUMIFS(O5:O59,$R$5:$R$59,"oui")</f>
        <v>67131</v>
      </c>
      <c r="P61" s="14" t="n">
        <f aca="false">O61/N61</f>
        <v>0.358360736248719</v>
      </c>
      <c r="Q61" s="21" t="n">
        <f aca="false">(P61-D61)*100</f>
        <v>0.250504798986057</v>
      </c>
    </row>
    <row r="62" customFormat="false" ht="15" hidden="false" customHeight="false" outlineLevel="0" collapsed="false">
      <c r="A62" s="2" t="s">
        <v>1352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1353</v>
      </c>
    </row>
    <row r="2" customFormat="false" ht="15" hidden="false" customHeight="false" outlineLevel="0" collapsed="false">
      <c r="A2" s="2" t="s">
        <v>1354</v>
      </c>
    </row>
    <row r="4" customFormat="false" ht="42" hidden="false" customHeight="true" outlineLevel="0" collapsed="false">
      <c r="A4" s="8" t="s">
        <v>1355</v>
      </c>
      <c r="B4" s="8" t="s">
        <v>1356</v>
      </c>
      <c r="C4" s="8" t="s">
        <v>1357</v>
      </c>
      <c r="D4" s="8" t="s">
        <v>502</v>
      </c>
      <c r="E4" s="8" t="s">
        <v>23</v>
      </c>
    </row>
    <row r="5" customFormat="false" ht="15" hidden="false" customHeight="false" outlineLevel="0" collapsed="false">
      <c r="A5" s="9" t="s">
        <v>1358</v>
      </c>
      <c r="B5" s="10" t="n">
        <v>173991</v>
      </c>
      <c r="C5" s="10" t="n">
        <v>64494</v>
      </c>
      <c r="D5" s="11" t="n">
        <f aca="false">IF(B5&gt;0,C5/B5,"")</f>
        <v>0.370674345224753</v>
      </c>
      <c r="E5" s="9" t="s">
        <v>1359</v>
      </c>
    </row>
    <row r="6" customFormat="false" ht="15" hidden="false" customHeight="false" outlineLevel="0" collapsed="false">
      <c r="A6" s="9" t="s">
        <v>1360</v>
      </c>
      <c r="B6" s="10" t="n">
        <v>7170</v>
      </c>
      <c r="C6" s="10" t="n">
        <v>3215</v>
      </c>
      <c r="D6" s="11" t="n">
        <f aca="false">IF(B6&gt;0,C6/B6,"")</f>
        <v>0.448396094839609</v>
      </c>
      <c r="E6" s="9" t="s">
        <v>1361</v>
      </c>
    </row>
    <row r="7" customFormat="false" ht="15" hidden="false" customHeight="false" outlineLevel="0" collapsed="false">
      <c r="A7" s="9" t="s">
        <v>1362</v>
      </c>
      <c r="B7" s="10" t="n">
        <v>5019</v>
      </c>
      <c r="C7" s="10" t="n">
        <v>1902</v>
      </c>
      <c r="D7" s="11" t="n">
        <f aca="false">IF(B7&gt;0,C7/B7,"")</f>
        <v>0.37895995218171</v>
      </c>
      <c r="E7" s="9" t="s">
        <v>1363</v>
      </c>
    </row>
    <row r="8" customFormat="false" ht="15" hidden="false" customHeight="false" outlineLevel="0" collapsed="false">
      <c r="A8" s="9" t="s">
        <v>1364</v>
      </c>
      <c r="B8" s="10" t="n">
        <v>1842</v>
      </c>
      <c r="C8" s="10" t="n">
        <v>668</v>
      </c>
      <c r="D8" s="11" t="n">
        <f aca="false">IF(B8&gt;0,C8/B8,"")</f>
        <v>0.362649294245385</v>
      </c>
      <c r="E8" s="9" t="s">
        <v>1365</v>
      </c>
    </row>
    <row r="9" customFormat="false" ht="15" hidden="false" customHeight="false" outlineLevel="0" collapsed="false">
      <c r="A9" s="9" t="s">
        <v>1366</v>
      </c>
      <c r="B9" s="10" t="n">
        <v>718</v>
      </c>
      <c r="C9" s="10" t="n">
        <v>193</v>
      </c>
      <c r="D9" s="11" t="n">
        <f aca="false">IF(B9&gt;0,C9/B9,"")</f>
        <v>0.268802228412256</v>
      </c>
      <c r="E9" s="9" t="s">
        <v>1367</v>
      </c>
    </row>
    <row r="10" customFormat="false" ht="15" hidden="false" customHeight="false" outlineLevel="0" collapsed="false">
      <c r="A10" s="9" t="s">
        <v>1368</v>
      </c>
      <c r="B10" s="10" t="n">
        <v>537</v>
      </c>
      <c r="C10" s="10" t="n">
        <v>151</v>
      </c>
      <c r="D10" s="11" t="n">
        <f aca="false">IF(B10&gt;0,C10/B10,"")</f>
        <v>0.281191806331471</v>
      </c>
      <c r="E10" s="9" t="s">
        <v>1369</v>
      </c>
    </row>
    <row r="11" customFormat="false" ht="15" hidden="false" customHeight="false" outlineLevel="0" collapsed="false">
      <c r="A11" s="9" t="s">
        <v>1370</v>
      </c>
      <c r="B11" s="10" t="n">
        <v>111</v>
      </c>
      <c r="C11" s="10" t="n">
        <v>29</v>
      </c>
      <c r="D11" s="11" t="n">
        <f aca="false">IF(B11&gt;0,C11/B11,"")</f>
        <v>0.261261261261261</v>
      </c>
      <c r="E11" s="9" t="s">
        <v>1369</v>
      </c>
    </row>
    <row r="12" customFormat="false" ht="15" hidden="false" customHeight="false" outlineLevel="0" collapsed="false">
      <c r="A12" s="9" t="s">
        <v>1371</v>
      </c>
      <c r="B12" s="10" t="n">
        <v>49</v>
      </c>
      <c r="C12" s="10" t="n">
        <v>9</v>
      </c>
      <c r="D12" s="11" t="n">
        <f aca="false">IF(B12&gt;0,C12/B12,"")</f>
        <v>0.183673469387755</v>
      </c>
      <c r="E12" s="9" t="s">
        <v>1369</v>
      </c>
    </row>
    <row r="13" customFormat="false" ht="15" hidden="false" customHeight="false" outlineLevel="0" collapsed="false">
      <c r="A13" s="9" t="s">
        <v>1372</v>
      </c>
      <c r="B13" s="10" t="n">
        <v>68</v>
      </c>
      <c r="C13" s="10" t="n">
        <v>21</v>
      </c>
      <c r="D13" s="11" t="n">
        <f aca="false">IF(B13&gt;0,C13/B13,"")</f>
        <v>0.308823529411765</v>
      </c>
      <c r="E13" s="9" t="s">
        <v>1373</v>
      </c>
    </row>
    <row r="14" customFormat="false" ht="15" hidden="false" customHeight="false" outlineLevel="0" collapsed="false">
      <c r="A14" s="9" t="s">
        <v>1374</v>
      </c>
      <c r="B14" s="10" t="n">
        <v>47</v>
      </c>
      <c r="C14" s="10" t="n">
        <v>8</v>
      </c>
      <c r="D14" s="11" t="n">
        <f aca="false">IF(B14&gt;0,C14/B14,"")</f>
        <v>0.170212765957447</v>
      </c>
      <c r="E14" s="9" t="s">
        <v>1375</v>
      </c>
    </row>
    <row r="16" customFormat="false" ht="15" hidden="false" customHeight="false" outlineLevel="0" collapsed="false">
      <c r="A16" s="2" t="s">
        <v>1376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32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1377</v>
      </c>
    </row>
    <row r="2" customFormat="false" ht="15" hidden="false" customHeight="false" outlineLevel="0" collapsed="false">
      <c r="A2" s="2" t="s">
        <v>1378</v>
      </c>
    </row>
    <row r="4" customFormat="false" ht="42" hidden="false" customHeight="true" outlineLevel="0" collapsed="false">
      <c r="A4" s="8" t="s">
        <v>1379</v>
      </c>
      <c r="B4" s="8" t="s">
        <v>1380</v>
      </c>
      <c r="C4" s="8" t="s">
        <v>1381</v>
      </c>
      <c r="D4" s="8" t="s">
        <v>496</v>
      </c>
      <c r="E4" s="8" t="s">
        <v>50</v>
      </c>
      <c r="F4" s="8" t="s">
        <v>51</v>
      </c>
      <c r="G4" s="8" t="s">
        <v>52</v>
      </c>
      <c r="H4" s="8" t="s">
        <v>1382</v>
      </c>
      <c r="I4" s="8" t="s">
        <v>1383</v>
      </c>
    </row>
    <row r="5" customFormat="false" ht="15" hidden="false" customHeight="false" outlineLevel="0" collapsed="false">
      <c r="A5" s="9" t="s">
        <v>1384</v>
      </c>
      <c r="B5" s="9" t="s">
        <v>1385</v>
      </c>
      <c r="C5" s="9" t="s">
        <v>1386</v>
      </c>
      <c r="D5" s="9" t="s">
        <v>737</v>
      </c>
      <c r="E5" s="9" t="s">
        <v>250</v>
      </c>
      <c r="F5" s="9" t="s">
        <v>229</v>
      </c>
      <c r="G5" s="9" t="s">
        <v>229</v>
      </c>
      <c r="H5" s="9" t="s">
        <v>1387</v>
      </c>
      <c r="I5" s="9" t="s">
        <v>1303</v>
      </c>
    </row>
    <row r="6" customFormat="false" ht="15" hidden="false" customHeight="false" outlineLevel="0" collapsed="false">
      <c r="A6" s="9" t="s">
        <v>1388</v>
      </c>
      <c r="B6" s="9" t="s">
        <v>1385</v>
      </c>
      <c r="C6" s="9" t="s">
        <v>1389</v>
      </c>
      <c r="D6" s="9" t="s">
        <v>771</v>
      </c>
      <c r="E6" s="9" t="s">
        <v>262</v>
      </c>
      <c r="F6" s="9" t="s">
        <v>263</v>
      </c>
      <c r="G6" s="9" t="s">
        <v>182</v>
      </c>
      <c r="H6" s="9" t="s">
        <v>1390</v>
      </c>
      <c r="I6" s="9" t="s">
        <v>1303</v>
      </c>
    </row>
    <row r="7" customFormat="false" ht="15" hidden="false" customHeight="false" outlineLevel="0" collapsed="false">
      <c r="A7" s="9" t="s">
        <v>1391</v>
      </c>
      <c r="B7" s="9" t="s">
        <v>1385</v>
      </c>
      <c r="C7" s="9" t="s">
        <v>1392</v>
      </c>
      <c r="D7" s="9" t="s">
        <v>780</v>
      </c>
      <c r="E7" s="9" t="s">
        <v>264</v>
      </c>
      <c r="F7" s="9" t="s">
        <v>216</v>
      </c>
      <c r="G7" s="9" t="s">
        <v>216</v>
      </c>
      <c r="H7" s="9" t="s">
        <v>1254</v>
      </c>
      <c r="I7" s="9" t="s">
        <v>1303</v>
      </c>
    </row>
    <row r="8" customFormat="false" ht="15" hidden="false" customHeight="false" outlineLevel="0" collapsed="false">
      <c r="A8" s="9" t="s">
        <v>1393</v>
      </c>
      <c r="B8" s="9" t="s">
        <v>1385</v>
      </c>
      <c r="C8" s="9" t="s">
        <v>1394</v>
      </c>
      <c r="D8" s="9" t="s">
        <v>1395</v>
      </c>
      <c r="E8" s="9" t="s">
        <v>412</v>
      </c>
      <c r="F8" s="9" t="s">
        <v>413</v>
      </c>
      <c r="G8" s="9" t="s">
        <v>120</v>
      </c>
      <c r="H8" s="9" t="s">
        <v>1390</v>
      </c>
      <c r="I8" s="9" t="s">
        <v>1303</v>
      </c>
    </row>
    <row r="9" customFormat="false" ht="15" hidden="false" customHeight="false" outlineLevel="0" collapsed="false">
      <c r="A9" s="9" t="s">
        <v>1396</v>
      </c>
      <c r="B9" s="9" t="s">
        <v>1385</v>
      </c>
      <c r="C9" s="9" t="s">
        <v>1397</v>
      </c>
      <c r="D9" s="9" t="s">
        <v>1398</v>
      </c>
      <c r="E9" s="9" t="s">
        <v>418</v>
      </c>
      <c r="F9" s="9" t="s">
        <v>140</v>
      </c>
      <c r="G9" s="9" t="s">
        <v>140</v>
      </c>
      <c r="H9" s="9" t="s">
        <v>1390</v>
      </c>
      <c r="I9" s="9" t="s">
        <v>1303</v>
      </c>
    </row>
    <row r="10" customFormat="false" ht="15" hidden="false" customHeight="false" outlineLevel="0" collapsed="false">
      <c r="A10" s="9" t="s">
        <v>1399</v>
      </c>
      <c r="B10" s="9" t="s">
        <v>1385</v>
      </c>
      <c r="C10" s="9" t="s">
        <v>1400</v>
      </c>
      <c r="D10" s="9" t="s">
        <v>1059</v>
      </c>
      <c r="E10" s="9" t="s">
        <v>427</v>
      </c>
      <c r="F10" s="9" t="s">
        <v>428</v>
      </c>
      <c r="G10" s="9" t="s">
        <v>428</v>
      </c>
      <c r="H10" s="9" t="s">
        <v>1401</v>
      </c>
      <c r="I10" s="9" t="s">
        <v>1303</v>
      </c>
    </row>
    <row r="11" customFormat="false" ht="15" hidden="false" customHeight="false" outlineLevel="0" collapsed="false">
      <c r="A11" s="9" t="s">
        <v>1402</v>
      </c>
      <c r="B11" s="9" t="s">
        <v>1403</v>
      </c>
      <c r="C11" s="9" t="s">
        <v>1404</v>
      </c>
      <c r="D11" s="9" t="s">
        <v>1059</v>
      </c>
      <c r="E11" s="9" t="s">
        <v>427</v>
      </c>
      <c r="F11" s="9" t="s">
        <v>428</v>
      </c>
      <c r="G11" s="9" t="s">
        <v>428</v>
      </c>
      <c r="H11" s="9" t="s">
        <v>1405</v>
      </c>
      <c r="I11" s="9" t="s">
        <v>1303</v>
      </c>
    </row>
    <row r="12" customFormat="false" ht="15" hidden="false" customHeight="false" outlineLevel="0" collapsed="false">
      <c r="A12" s="9" t="s">
        <v>1406</v>
      </c>
      <c r="B12" s="9" t="s">
        <v>1385</v>
      </c>
      <c r="C12" s="9" t="s">
        <v>1407</v>
      </c>
      <c r="D12" s="9" t="s">
        <v>707</v>
      </c>
      <c r="E12" s="9" t="s">
        <v>246</v>
      </c>
      <c r="F12" s="9" t="s">
        <v>241</v>
      </c>
      <c r="G12" s="9" t="s">
        <v>241</v>
      </c>
      <c r="H12" s="9" t="s">
        <v>1408</v>
      </c>
      <c r="I12" s="9" t="s">
        <v>1303</v>
      </c>
    </row>
    <row r="13" customFormat="false" ht="15" hidden="false" customHeight="false" outlineLevel="0" collapsed="false">
      <c r="A13" s="9" t="s">
        <v>1409</v>
      </c>
      <c r="B13" s="9" t="s">
        <v>1385</v>
      </c>
      <c r="C13" s="9" t="s">
        <v>1410</v>
      </c>
      <c r="D13" s="9" t="s">
        <v>1411</v>
      </c>
      <c r="E13" s="9" t="s">
        <v>465</v>
      </c>
      <c r="F13" s="9" t="s">
        <v>182</v>
      </c>
      <c r="G13" s="9" t="s">
        <v>182</v>
      </c>
      <c r="H13" s="9" t="s">
        <v>1238</v>
      </c>
      <c r="I13" s="9" t="s">
        <v>1303</v>
      </c>
    </row>
    <row r="14" customFormat="false" ht="15" hidden="false" customHeight="false" outlineLevel="0" collapsed="false">
      <c r="A14" s="9" t="s">
        <v>1409</v>
      </c>
      <c r="B14" s="9" t="s">
        <v>1385</v>
      </c>
      <c r="C14" s="9" t="s">
        <v>1410</v>
      </c>
      <c r="D14" s="9" t="s">
        <v>1411</v>
      </c>
      <c r="E14" s="9" t="s">
        <v>465</v>
      </c>
      <c r="F14" s="9" t="s">
        <v>182</v>
      </c>
      <c r="G14" s="9" t="s">
        <v>182</v>
      </c>
      <c r="H14" s="9" t="s">
        <v>1254</v>
      </c>
      <c r="I14" s="9" t="s">
        <v>1303</v>
      </c>
    </row>
    <row r="15" customFormat="false" ht="15" hidden="false" customHeight="false" outlineLevel="0" collapsed="false">
      <c r="A15" s="9" t="s">
        <v>1412</v>
      </c>
      <c r="B15" s="9" t="s">
        <v>1385</v>
      </c>
      <c r="C15" s="9" t="s">
        <v>1413</v>
      </c>
      <c r="D15" s="9" t="s">
        <v>507</v>
      </c>
      <c r="E15" s="9" t="s">
        <v>118</v>
      </c>
      <c r="F15" s="9" t="s">
        <v>119</v>
      </c>
      <c r="G15" s="9" t="s">
        <v>120</v>
      </c>
      <c r="H15" s="9" t="s">
        <v>1254</v>
      </c>
      <c r="I15" s="9" t="s">
        <v>1303</v>
      </c>
    </row>
    <row r="16" customFormat="false" ht="15" hidden="false" customHeight="false" outlineLevel="0" collapsed="false">
      <c r="A16" s="9" t="s">
        <v>1414</v>
      </c>
      <c r="B16" s="9" t="s">
        <v>1385</v>
      </c>
      <c r="C16" s="9" t="s">
        <v>1415</v>
      </c>
      <c r="D16" s="9" t="s">
        <v>591</v>
      </c>
      <c r="E16" s="9" t="s">
        <v>168</v>
      </c>
      <c r="F16" s="9" t="s">
        <v>169</v>
      </c>
      <c r="G16" s="9" t="s">
        <v>120</v>
      </c>
      <c r="H16" s="9" t="s">
        <v>1390</v>
      </c>
      <c r="I16" s="9" t="s">
        <v>1303</v>
      </c>
    </row>
    <row r="17" customFormat="false" ht="15" hidden="false" customHeight="false" outlineLevel="0" collapsed="false">
      <c r="A17" s="9" t="s">
        <v>1416</v>
      </c>
      <c r="B17" s="9" t="s">
        <v>1385</v>
      </c>
      <c r="C17" s="9" t="s">
        <v>1417</v>
      </c>
      <c r="D17" s="9" t="s">
        <v>972</v>
      </c>
      <c r="E17" s="9" t="s">
        <v>391</v>
      </c>
      <c r="F17" s="9" t="s">
        <v>100</v>
      </c>
      <c r="G17" s="9" t="s">
        <v>100</v>
      </c>
      <c r="H17" s="9" t="s">
        <v>1418</v>
      </c>
      <c r="I17" s="9" t="s">
        <v>1303</v>
      </c>
    </row>
    <row r="18" customFormat="false" ht="15" hidden="false" customHeight="false" outlineLevel="0" collapsed="false">
      <c r="A18" s="9" t="s">
        <v>1419</v>
      </c>
      <c r="B18" s="9" t="s">
        <v>1385</v>
      </c>
      <c r="C18" s="9" t="s">
        <v>1420</v>
      </c>
      <c r="D18" s="9" t="s">
        <v>1059</v>
      </c>
      <c r="E18" s="9" t="s">
        <v>427</v>
      </c>
      <c r="F18" s="9" t="s">
        <v>428</v>
      </c>
      <c r="G18" s="9" t="s">
        <v>428</v>
      </c>
      <c r="H18" s="9" t="s">
        <v>1254</v>
      </c>
      <c r="I18" s="9" t="s">
        <v>1303</v>
      </c>
    </row>
    <row r="19" customFormat="false" ht="15" hidden="false" customHeight="false" outlineLevel="0" collapsed="false">
      <c r="A19" s="9" t="s">
        <v>1421</v>
      </c>
      <c r="B19" s="9" t="s">
        <v>1385</v>
      </c>
      <c r="C19" s="9" t="s">
        <v>1422</v>
      </c>
      <c r="D19" s="9" t="s">
        <v>869</v>
      </c>
      <c r="E19" s="9" t="s">
        <v>320</v>
      </c>
      <c r="F19" s="9" t="s">
        <v>321</v>
      </c>
      <c r="G19" s="9" t="s">
        <v>216</v>
      </c>
      <c r="H19" s="9" t="s">
        <v>1254</v>
      </c>
      <c r="I19" s="9" t="s">
        <v>1303</v>
      </c>
    </row>
    <row r="20" customFormat="false" ht="15" hidden="false" customHeight="false" outlineLevel="0" collapsed="false">
      <c r="A20" s="9" t="s">
        <v>1423</v>
      </c>
      <c r="B20" s="9" t="s">
        <v>1385</v>
      </c>
      <c r="C20" s="9" t="s">
        <v>1424</v>
      </c>
      <c r="D20" s="9" t="s">
        <v>1425</v>
      </c>
      <c r="E20" s="9" t="s">
        <v>242</v>
      </c>
      <c r="F20" s="9" t="s">
        <v>243</v>
      </c>
      <c r="G20" s="9" t="s">
        <v>115</v>
      </c>
      <c r="H20" s="9" t="s">
        <v>1285</v>
      </c>
      <c r="I20" s="9" t="s">
        <v>1303</v>
      </c>
    </row>
    <row r="21" customFormat="false" ht="15" hidden="false" customHeight="false" outlineLevel="0" collapsed="false">
      <c r="A21" s="9" t="s">
        <v>1426</v>
      </c>
      <c r="B21" s="9" t="s">
        <v>1385</v>
      </c>
      <c r="C21" s="9" t="s">
        <v>1427</v>
      </c>
      <c r="D21" s="9" t="s">
        <v>1428</v>
      </c>
      <c r="E21" s="9" t="s">
        <v>404</v>
      </c>
      <c r="F21" s="9" t="s">
        <v>405</v>
      </c>
      <c r="G21" s="9" t="s">
        <v>237</v>
      </c>
      <c r="H21" s="9" t="s">
        <v>1418</v>
      </c>
      <c r="I21" s="9" t="s">
        <v>1303</v>
      </c>
    </row>
    <row r="22" customFormat="false" ht="15" hidden="false" customHeight="false" outlineLevel="0" collapsed="false">
      <c r="A22" s="9" t="s">
        <v>1429</v>
      </c>
      <c r="B22" s="9" t="s">
        <v>1385</v>
      </c>
      <c r="C22" s="9" t="s">
        <v>1430</v>
      </c>
      <c r="D22" s="9" t="s">
        <v>959</v>
      </c>
      <c r="E22" s="9" t="s">
        <v>385</v>
      </c>
      <c r="F22" s="9" t="s">
        <v>386</v>
      </c>
      <c r="G22" s="9" t="s">
        <v>155</v>
      </c>
      <c r="H22" s="9" t="s">
        <v>1238</v>
      </c>
      <c r="I22" s="9" t="s">
        <v>1303</v>
      </c>
    </row>
    <row r="23" customFormat="false" ht="15" hidden="false" customHeight="false" outlineLevel="0" collapsed="false">
      <c r="A23" s="9" t="s">
        <v>1431</v>
      </c>
      <c r="B23" s="9" t="s">
        <v>1385</v>
      </c>
      <c r="C23" s="9" t="s">
        <v>1432</v>
      </c>
      <c r="D23" s="9" t="s">
        <v>614</v>
      </c>
      <c r="E23" s="9" t="s">
        <v>198</v>
      </c>
      <c r="F23" s="9" t="s">
        <v>199</v>
      </c>
      <c r="G23" s="9" t="s">
        <v>200</v>
      </c>
      <c r="H23" s="9" t="s">
        <v>1433</v>
      </c>
      <c r="I23" s="9" t="s">
        <v>1303</v>
      </c>
    </row>
    <row r="24" customFormat="false" ht="15" hidden="false" customHeight="false" outlineLevel="0" collapsed="false">
      <c r="A24" s="9" t="s">
        <v>1431</v>
      </c>
      <c r="B24" s="9" t="s">
        <v>1385</v>
      </c>
      <c r="C24" s="9" t="s">
        <v>1432</v>
      </c>
      <c r="D24" s="9" t="s">
        <v>614</v>
      </c>
      <c r="E24" s="9" t="s">
        <v>198</v>
      </c>
      <c r="F24" s="9" t="s">
        <v>199</v>
      </c>
      <c r="G24" s="9" t="s">
        <v>200</v>
      </c>
      <c r="H24" s="9" t="s">
        <v>1390</v>
      </c>
      <c r="I24" s="9" t="s">
        <v>1303</v>
      </c>
    </row>
    <row r="25" customFormat="false" ht="15" hidden="false" customHeight="false" outlineLevel="0" collapsed="false">
      <c r="A25" s="9" t="s">
        <v>1434</v>
      </c>
      <c r="B25" s="9" t="s">
        <v>1385</v>
      </c>
      <c r="C25" s="9" t="s">
        <v>1435</v>
      </c>
      <c r="D25" s="9" t="s">
        <v>1153</v>
      </c>
      <c r="E25" s="9" t="s">
        <v>474</v>
      </c>
      <c r="F25" s="9" t="s">
        <v>475</v>
      </c>
      <c r="G25" s="9" t="s">
        <v>133</v>
      </c>
      <c r="H25" s="9" t="s">
        <v>1240</v>
      </c>
      <c r="I25" s="9" t="s">
        <v>1303</v>
      </c>
    </row>
    <row r="26" customFormat="false" ht="15" hidden="false" customHeight="false" outlineLevel="0" collapsed="false">
      <c r="A26" s="9" t="s">
        <v>1436</v>
      </c>
      <c r="B26" s="9" t="s">
        <v>1385</v>
      </c>
      <c r="C26" s="9" t="s">
        <v>1437</v>
      </c>
      <c r="D26" s="9" t="s">
        <v>1059</v>
      </c>
      <c r="E26" s="9" t="s">
        <v>427</v>
      </c>
      <c r="F26" s="9" t="s">
        <v>428</v>
      </c>
      <c r="G26" s="9" t="s">
        <v>428</v>
      </c>
      <c r="H26" s="9" t="s">
        <v>1271</v>
      </c>
      <c r="I26" s="9" t="s">
        <v>1303</v>
      </c>
    </row>
    <row r="27" customFormat="false" ht="15" hidden="false" customHeight="false" outlineLevel="0" collapsed="false">
      <c r="A27" s="9" t="s">
        <v>1438</v>
      </c>
      <c r="B27" s="9" t="s">
        <v>1385</v>
      </c>
      <c r="C27" s="9" t="s">
        <v>1439</v>
      </c>
      <c r="D27" s="9" t="s">
        <v>780</v>
      </c>
      <c r="E27" s="9" t="s">
        <v>264</v>
      </c>
      <c r="F27" s="9" t="s">
        <v>216</v>
      </c>
      <c r="G27" s="9" t="s">
        <v>216</v>
      </c>
      <c r="H27" s="9" t="s">
        <v>1238</v>
      </c>
      <c r="I27" s="9" t="s">
        <v>1303</v>
      </c>
    </row>
    <row r="28" customFormat="false" ht="15" hidden="false" customHeight="false" outlineLevel="0" collapsed="false">
      <c r="A28" s="9" t="s">
        <v>1440</v>
      </c>
      <c r="B28" s="9" t="s">
        <v>1385</v>
      </c>
      <c r="C28" s="9" t="s">
        <v>1441</v>
      </c>
      <c r="D28" s="9" t="s">
        <v>926</v>
      </c>
      <c r="E28" s="9" t="s">
        <v>355</v>
      </c>
      <c r="F28" s="9" t="s">
        <v>356</v>
      </c>
      <c r="G28" s="9" t="s">
        <v>146</v>
      </c>
      <c r="H28" s="9" t="s">
        <v>1442</v>
      </c>
      <c r="I28" s="9" t="s">
        <v>1303</v>
      </c>
    </row>
    <row r="29" customFormat="false" ht="15" hidden="false" customHeight="false" outlineLevel="0" collapsed="false">
      <c r="A29" s="9" t="s">
        <v>1443</v>
      </c>
      <c r="B29" s="9" t="s">
        <v>1385</v>
      </c>
      <c r="C29" s="9" t="s">
        <v>1444</v>
      </c>
      <c r="D29" s="9" t="s">
        <v>1445</v>
      </c>
      <c r="E29" s="9" t="s">
        <v>259</v>
      </c>
      <c r="F29" s="9" t="s">
        <v>124</v>
      </c>
      <c r="G29" s="9" t="s">
        <v>124</v>
      </c>
      <c r="H29" s="9" t="s">
        <v>1254</v>
      </c>
      <c r="I29" s="9" t="s">
        <v>1303</v>
      </c>
    </row>
    <row r="30" customFormat="false" ht="15" hidden="false" customHeight="false" outlineLevel="0" collapsed="false">
      <c r="A30" s="9" t="s">
        <v>1446</v>
      </c>
      <c r="B30" s="9" t="s">
        <v>1385</v>
      </c>
      <c r="C30" s="9" t="s">
        <v>1447</v>
      </c>
      <c r="D30" s="9" t="s">
        <v>737</v>
      </c>
      <c r="E30" s="9" t="s">
        <v>250</v>
      </c>
      <c r="F30" s="9" t="s">
        <v>229</v>
      </c>
      <c r="G30" s="9" t="s">
        <v>229</v>
      </c>
      <c r="H30" s="9" t="s">
        <v>1258</v>
      </c>
      <c r="I30" s="9" t="s">
        <v>1303</v>
      </c>
    </row>
    <row r="31" customFormat="false" ht="15" hidden="false" customHeight="false" outlineLevel="0" collapsed="false">
      <c r="A31" s="9" t="s">
        <v>1448</v>
      </c>
      <c r="B31" s="9" t="s">
        <v>1385</v>
      </c>
      <c r="C31" s="9" t="s">
        <v>1404</v>
      </c>
      <c r="D31" s="9" t="s">
        <v>507</v>
      </c>
      <c r="E31" s="9" t="s">
        <v>118</v>
      </c>
      <c r="F31" s="9" t="s">
        <v>119</v>
      </c>
      <c r="G31" s="9" t="s">
        <v>120</v>
      </c>
      <c r="H31" s="9" t="s">
        <v>1254</v>
      </c>
      <c r="I31" s="9" t="s">
        <v>1303</v>
      </c>
    </row>
    <row r="32" customFormat="false" ht="15" hidden="false" customHeight="false" outlineLevel="0" collapsed="false">
      <c r="A32" s="9" t="s">
        <v>1449</v>
      </c>
      <c r="B32" s="9" t="s">
        <v>1385</v>
      </c>
      <c r="C32" s="9" t="s">
        <v>1450</v>
      </c>
      <c r="D32" s="9" t="s">
        <v>1451</v>
      </c>
      <c r="E32" s="9" t="s">
        <v>412</v>
      </c>
      <c r="F32" s="9" t="s">
        <v>413</v>
      </c>
      <c r="G32" s="9" t="s">
        <v>120</v>
      </c>
      <c r="H32" s="9" t="s">
        <v>1251</v>
      </c>
      <c r="I32" s="9" t="s">
        <v>1303</v>
      </c>
    </row>
    <row r="33" customFormat="false" ht="15" hidden="false" customHeight="false" outlineLevel="0" collapsed="false">
      <c r="A33" s="9" t="s">
        <v>1452</v>
      </c>
      <c r="B33" s="9" t="s">
        <v>1385</v>
      </c>
      <c r="C33" s="9" t="s">
        <v>1441</v>
      </c>
      <c r="D33" s="9" t="s">
        <v>1398</v>
      </c>
      <c r="E33" s="9" t="s">
        <v>418</v>
      </c>
      <c r="F33" s="9" t="s">
        <v>140</v>
      </c>
      <c r="G33" s="9" t="s">
        <v>140</v>
      </c>
      <c r="H33" s="9" t="s">
        <v>1260</v>
      </c>
      <c r="I33" s="9" t="s">
        <v>1303</v>
      </c>
    </row>
    <row r="34" customFormat="false" ht="15" hidden="false" customHeight="false" outlineLevel="0" collapsed="false">
      <c r="A34" s="9" t="s">
        <v>1453</v>
      </c>
      <c r="B34" s="9" t="s">
        <v>1385</v>
      </c>
      <c r="C34" s="9" t="s">
        <v>1454</v>
      </c>
      <c r="D34" s="9" t="s">
        <v>507</v>
      </c>
      <c r="E34" s="9" t="s">
        <v>118</v>
      </c>
      <c r="F34" s="9" t="s">
        <v>119</v>
      </c>
      <c r="G34" s="9" t="s">
        <v>120</v>
      </c>
      <c r="H34" s="9" t="s">
        <v>1455</v>
      </c>
      <c r="I34" s="9" t="s">
        <v>1303</v>
      </c>
    </row>
    <row r="35" customFormat="false" ht="15" hidden="false" customHeight="false" outlineLevel="0" collapsed="false">
      <c r="A35" s="9" t="s">
        <v>1456</v>
      </c>
      <c r="B35" s="9" t="s">
        <v>1385</v>
      </c>
      <c r="C35" s="9" t="s">
        <v>1457</v>
      </c>
      <c r="D35" s="9" t="s">
        <v>873</v>
      </c>
      <c r="E35" s="9" t="s">
        <v>322</v>
      </c>
      <c r="F35" s="9" t="s">
        <v>323</v>
      </c>
      <c r="G35" s="9" t="s">
        <v>133</v>
      </c>
      <c r="H35" s="9" t="s">
        <v>1442</v>
      </c>
      <c r="I35" s="9" t="s">
        <v>1303</v>
      </c>
    </row>
    <row r="36" customFormat="false" ht="15" hidden="false" customHeight="false" outlineLevel="0" collapsed="false">
      <c r="A36" s="9" t="s">
        <v>1458</v>
      </c>
      <c r="B36" s="9" t="s">
        <v>1385</v>
      </c>
      <c r="C36" s="9" t="s">
        <v>1459</v>
      </c>
      <c r="D36" s="9" t="s">
        <v>614</v>
      </c>
      <c r="E36" s="9" t="s">
        <v>198</v>
      </c>
      <c r="F36" s="9" t="s">
        <v>199</v>
      </c>
      <c r="G36" s="9" t="s">
        <v>200</v>
      </c>
      <c r="H36" s="9" t="s">
        <v>1238</v>
      </c>
      <c r="I36" s="9" t="s">
        <v>1303</v>
      </c>
    </row>
    <row r="37" customFormat="false" ht="15" hidden="false" customHeight="false" outlineLevel="0" collapsed="false">
      <c r="A37" s="9" t="s">
        <v>1460</v>
      </c>
      <c r="B37" s="9" t="s">
        <v>1385</v>
      </c>
      <c r="C37" s="9" t="s">
        <v>1461</v>
      </c>
      <c r="D37" s="9" t="s">
        <v>949</v>
      </c>
      <c r="E37" s="9" t="s">
        <v>381</v>
      </c>
      <c r="F37" s="9" t="s">
        <v>382</v>
      </c>
      <c r="G37" s="9" t="s">
        <v>200</v>
      </c>
      <c r="H37" s="9" t="s">
        <v>1254</v>
      </c>
      <c r="I37" s="9" t="s">
        <v>1303</v>
      </c>
    </row>
    <row r="38" customFormat="false" ht="15" hidden="false" customHeight="false" outlineLevel="0" collapsed="false">
      <c r="A38" s="9" t="s">
        <v>1462</v>
      </c>
      <c r="B38" s="9" t="s">
        <v>1385</v>
      </c>
      <c r="C38" s="9" t="s">
        <v>1463</v>
      </c>
      <c r="D38" s="9" t="s">
        <v>1464</v>
      </c>
      <c r="E38" s="9" t="s">
        <v>287</v>
      </c>
      <c r="F38" s="9" t="s">
        <v>288</v>
      </c>
      <c r="G38" s="9" t="s">
        <v>200</v>
      </c>
      <c r="H38" s="9" t="s">
        <v>1285</v>
      </c>
      <c r="I38" s="9" t="s">
        <v>1303</v>
      </c>
    </row>
    <row r="39" customFormat="false" ht="15" hidden="false" customHeight="false" outlineLevel="0" collapsed="false">
      <c r="A39" s="9" t="s">
        <v>1465</v>
      </c>
      <c r="B39" s="9" t="s">
        <v>1385</v>
      </c>
      <c r="C39" s="9" t="s">
        <v>1466</v>
      </c>
      <c r="D39" s="9" t="s">
        <v>1115</v>
      </c>
      <c r="E39" s="9" t="s">
        <v>450</v>
      </c>
      <c r="F39" s="9" t="s">
        <v>106</v>
      </c>
      <c r="G39" s="9" t="s">
        <v>106</v>
      </c>
      <c r="H39" s="9" t="s">
        <v>1390</v>
      </c>
      <c r="I39" s="9" t="s">
        <v>1303</v>
      </c>
    </row>
    <row r="40" customFormat="false" ht="15" hidden="false" customHeight="false" outlineLevel="0" collapsed="false">
      <c r="A40" s="9" t="s">
        <v>1467</v>
      </c>
      <c r="B40" s="9" t="s">
        <v>1385</v>
      </c>
      <c r="C40" s="9" t="s">
        <v>1468</v>
      </c>
      <c r="D40" s="9" t="s">
        <v>1469</v>
      </c>
      <c r="E40" s="9" t="s">
        <v>483</v>
      </c>
      <c r="F40" s="9" t="s">
        <v>484</v>
      </c>
      <c r="G40" s="9" t="s">
        <v>200</v>
      </c>
      <c r="H40" s="9" t="s">
        <v>1390</v>
      </c>
      <c r="I40" s="9" t="s">
        <v>1303</v>
      </c>
    </row>
    <row r="41" customFormat="false" ht="15" hidden="false" customHeight="false" outlineLevel="0" collapsed="false">
      <c r="A41" s="9" t="s">
        <v>1470</v>
      </c>
      <c r="B41" s="9" t="s">
        <v>1385</v>
      </c>
      <c r="C41" s="9" t="s">
        <v>1471</v>
      </c>
      <c r="D41" s="9" t="s">
        <v>1115</v>
      </c>
      <c r="E41" s="9" t="s">
        <v>450</v>
      </c>
      <c r="F41" s="9" t="s">
        <v>106</v>
      </c>
      <c r="G41" s="9" t="s">
        <v>106</v>
      </c>
      <c r="H41" s="9" t="s">
        <v>1281</v>
      </c>
      <c r="I41" s="9" t="s">
        <v>1303</v>
      </c>
    </row>
    <row r="42" customFormat="false" ht="15" hidden="false" customHeight="false" outlineLevel="0" collapsed="false">
      <c r="A42" s="9" t="s">
        <v>1472</v>
      </c>
      <c r="B42" s="9" t="s">
        <v>1403</v>
      </c>
      <c r="C42" s="9" t="s">
        <v>1473</v>
      </c>
      <c r="D42" s="9" t="s">
        <v>1098</v>
      </c>
      <c r="E42" s="9" t="s">
        <v>437</v>
      </c>
      <c r="F42" s="9" t="s">
        <v>151</v>
      </c>
      <c r="G42" s="9" t="s">
        <v>151</v>
      </c>
      <c r="H42" s="9" t="s">
        <v>1260</v>
      </c>
      <c r="I42" s="9" t="s">
        <v>1303</v>
      </c>
    </row>
    <row r="43" customFormat="false" ht="15" hidden="false" customHeight="false" outlineLevel="0" collapsed="false">
      <c r="A43" s="9" t="s">
        <v>1474</v>
      </c>
      <c r="B43" s="9" t="s">
        <v>1385</v>
      </c>
      <c r="C43" s="9" t="s">
        <v>1475</v>
      </c>
      <c r="D43" s="9" t="s">
        <v>1476</v>
      </c>
      <c r="E43" s="9" t="s">
        <v>138</v>
      </c>
      <c r="F43" s="9" t="s">
        <v>139</v>
      </c>
      <c r="G43" s="9" t="s">
        <v>140</v>
      </c>
      <c r="H43" s="9" t="s">
        <v>1387</v>
      </c>
      <c r="I43" s="9" t="s">
        <v>1303</v>
      </c>
    </row>
    <row r="44" customFormat="false" ht="15" hidden="false" customHeight="false" outlineLevel="0" collapsed="false">
      <c r="A44" s="9" t="s">
        <v>1477</v>
      </c>
      <c r="B44" s="9" t="s">
        <v>1385</v>
      </c>
      <c r="C44" s="9" t="s">
        <v>1478</v>
      </c>
      <c r="D44" s="9" t="s">
        <v>771</v>
      </c>
      <c r="E44" s="9" t="s">
        <v>262</v>
      </c>
      <c r="F44" s="9" t="s">
        <v>263</v>
      </c>
      <c r="G44" s="9" t="s">
        <v>182</v>
      </c>
      <c r="H44" s="9" t="s">
        <v>1238</v>
      </c>
      <c r="I44" s="9" t="s">
        <v>1303</v>
      </c>
    </row>
    <row r="45" customFormat="false" ht="15" hidden="false" customHeight="false" outlineLevel="0" collapsed="false">
      <c r="A45" s="9" t="s">
        <v>1479</v>
      </c>
      <c r="B45" s="9" t="s">
        <v>1385</v>
      </c>
      <c r="C45" s="9" t="s">
        <v>1480</v>
      </c>
      <c r="D45" s="9" t="s">
        <v>780</v>
      </c>
      <c r="E45" s="9" t="s">
        <v>264</v>
      </c>
      <c r="F45" s="9" t="s">
        <v>216</v>
      </c>
      <c r="G45" s="9" t="s">
        <v>216</v>
      </c>
      <c r="H45" s="9" t="s">
        <v>1481</v>
      </c>
      <c r="I45" s="9" t="s">
        <v>1303</v>
      </c>
    </row>
    <row r="46" customFormat="false" ht="15" hidden="false" customHeight="false" outlineLevel="0" collapsed="false">
      <c r="A46" s="9" t="s">
        <v>1482</v>
      </c>
      <c r="B46" s="9" t="s">
        <v>1385</v>
      </c>
      <c r="C46" s="9" t="s">
        <v>1483</v>
      </c>
      <c r="D46" s="9" t="s">
        <v>1059</v>
      </c>
      <c r="E46" s="9" t="s">
        <v>427</v>
      </c>
      <c r="F46" s="9" t="s">
        <v>428</v>
      </c>
      <c r="G46" s="9" t="s">
        <v>428</v>
      </c>
      <c r="H46" s="9" t="s">
        <v>1484</v>
      </c>
      <c r="I46" s="9" t="s">
        <v>1303</v>
      </c>
    </row>
    <row r="47" customFormat="false" ht="15" hidden="false" customHeight="false" outlineLevel="0" collapsed="false">
      <c r="A47" s="9" t="s">
        <v>1485</v>
      </c>
      <c r="B47" s="9" t="s">
        <v>1385</v>
      </c>
      <c r="C47" s="9" t="s">
        <v>1486</v>
      </c>
      <c r="D47" s="9" t="s">
        <v>737</v>
      </c>
      <c r="E47" s="9" t="s">
        <v>250</v>
      </c>
      <c r="F47" s="9" t="s">
        <v>229</v>
      </c>
      <c r="G47" s="9" t="s">
        <v>229</v>
      </c>
      <c r="H47" s="9" t="s">
        <v>1487</v>
      </c>
      <c r="I47" s="9" t="s">
        <v>1298</v>
      </c>
    </row>
    <row r="48" customFormat="false" ht="15" hidden="false" customHeight="false" outlineLevel="0" collapsed="false">
      <c r="A48" s="9" t="s">
        <v>1488</v>
      </c>
      <c r="B48" s="9" t="s">
        <v>1385</v>
      </c>
      <c r="C48" s="9" t="s">
        <v>1489</v>
      </c>
      <c r="D48" s="9" t="s">
        <v>507</v>
      </c>
      <c r="E48" s="9" t="s">
        <v>118</v>
      </c>
      <c r="F48" s="9" t="s">
        <v>119</v>
      </c>
      <c r="G48" s="9" t="s">
        <v>120</v>
      </c>
      <c r="H48" s="9" t="s">
        <v>1490</v>
      </c>
      <c r="I48" s="9" t="s">
        <v>1303</v>
      </c>
    </row>
    <row r="49" customFormat="false" ht="15" hidden="false" customHeight="false" outlineLevel="0" collapsed="false">
      <c r="A49" s="9" t="s">
        <v>1491</v>
      </c>
      <c r="B49" s="9" t="s">
        <v>1385</v>
      </c>
      <c r="C49" s="9" t="s">
        <v>1492</v>
      </c>
      <c r="D49" s="9" t="s">
        <v>1493</v>
      </c>
      <c r="E49" s="9" t="s">
        <v>277</v>
      </c>
      <c r="F49" s="9" t="s">
        <v>278</v>
      </c>
      <c r="G49" s="9" t="s">
        <v>278</v>
      </c>
      <c r="H49" s="9" t="s">
        <v>1281</v>
      </c>
      <c r="I49" s="9" t="s">
        <v>1303</v>
      </c>
    </row>
    <row r="50" customFormat="false" ht="15" hidden="false" customHeight="false" outlineLevel="0" collapsed="false">
      <c r="A50" s="9" t="s">
        <v>1494</v>
      </c>
      <c r="B50" s="9" t="s">
        <v>1385</v>
      </c>
      <c r="C50" s="9" t="s">
        <v>1495</v>
      </c>
      <c r="D50" s="9" t="s">
        <v>1496</v>
      </c>
      <c r="E50" s="9" t="s">
        <v>227</v>
      </c>
      <c r="F50" s="9" t="s">
        <v>228</v>
      </c>
      <c r="G50" s="9" t="s">
        <v>229</v>
      </c>
      <c r="H50" s="9" t="s">
        <v>1260</v>
      </c>
      <c r="I50" s="9" t="s">
        <v>1303</v>
      </c>
    </row>
    <row r="51" customFormat="false" ht="15" hidden="false" customHeight="false" outlineLevel="0" collapsed="false">
      <c r="A51" s="9" t="s">
        <v>1497</v>
      </c>
      <c r="B51" s="9" t="s">
        <v>1385</v>
      </c>
      <c r="C51" s="9" t="s">
        <v>1498</v>
      </c>
      <c r="D51" s="9" t="s">
        <v>959</v>
      </c>
      <c r="E51" s="9" t="s">
        <v>385</v>
      </c>
      <c r="F51" s="9" t="s">
        <v>386</v>
      </c>
      <c r="G51" s="9" t="s">
        <v>155</v>
      </c>
      <c r="H51" s="9" t="s">
        <v>1240</v>
      </c>
      <c r="I51" s="9" t="s">
        <v>1303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1499</v>
      </c>
    </row>
    <row r="2" customFormat="false" ht="15" hidden="false" customHeight="false" outlineLevel="0" collapsed="false">
      <c r="A2" s="2" t="s">
        <v>1500</v>
      </c>
    </row>
    <row r="4" customFormat="false" ht="42" hidden="false" customHeight="true" outlineLevel="0" collapsed="false">
      <c r="A4" s="8" t="s">
        <v>1501</v>
      </c>
      <c r="B4" s="8" t="s">
        <v>1502</v>
      </c>
      <c r="C4" s="8" t="s">
        <v>51</v>
      </c>
      <c r="D4" s="8" t="s">
        <v>50</v>
      </c>
      <c r="E4" s="8" t="s">
        <v>52</v>
      </c>
      <c r="F4" s="8" t="s">
        <v>8</v>
      </c>
      <c r="G4" s="8" t="s">
        <v>1503</v>
      </c>
      <c r="H4" s="8" t="s">
        <v>1504</v>
      </c>
      <c r="I4" s="8" t="s">
        <v>1505</v>
      </c>
    </row>
    <row r="5" customFormat="false" ht="15" hidden="false" customHeight="false" outlineLevel="0" collapsed="false">
      <c r="A5" s="9" t="s">
        <v>1506</v>
      </c>
      <c r="B5" s="9" t="s">
        <v>1507</v>
      </c>
      <c r="C5" s="9" t="s">
        <v>140</v>
      </c>
      <c r="D5" s="9" t="s">
        <v>418</v>
      </c>
      <c r="E5" s="9" t="s">
        <v>140</v>
      </c>
      <c r="F5" s="9" t="s">
        <v>173</v>
      </c>
      <c r="G5" s="9"/>
      <c r="H5" s="9" t="n">
        <v>25</v>
      </c>
      <c r="I5" s="9" t="s">
        <v>117</v>
      </c>
    </row>
    <row r="6" customFormat="false" ht="15" hidden="false" customHeight="false" outlineLevel="0" collapsed="false">
      <c r="A6" s="9" t="s">
        <v>1508</v>
      </c>
      <c r="B6" s="9" t="s">
        <v>1509</v>
      </c>
      <c r="C6" s="9" t="s">
        <v>140</v>
      </c>
      <c r="D6" s="9" t="s">
        <v>418</v>
      </c>
      <c r="E6" s="9" t="s">
        <v>140</v>
      </c>
      <c r="F6" s="9" t="s">
        <v>173</v>
      </c>
      <c r="G6" s="9" t="s">
        <v>1510</v>
      </c>
      <c r="H6" s="9" t="n">
        <v>8</v>
      </c>
      <c r="I6" s="9" t="s">
        <v>117</v>
      </c>
    </row>
    <row r="7" customFormat="false" ht="15" hidden="false" customHeight="false" outlineLevel="0" collapsed="false">
      <c r="A7" s="9" t="s">
        <v>1511</v>
      </c>
      <c r="B7" s="9" t="s">
        <v>1512</v>
      </c>
      <c r="C7" s="9" t="s">
        <v>140</v>
      </c>
      <c r="D7" s="9" t="s">
        <v>418</v>
      </c>
      <c r="E7" s="9" t="s">
        <v>140</v>
      </c>
      <c r="F7" s="9" t="s">
        <v>173</v>
      </c>
      <c r="G7" s="9"/>
      <c r="H7" s="9" t="n">
        <v>10</v>
      </c>
      <c r="I7" s="9" t="s">
        <v>117</v>
      </c>
    </row>
    <row r="8" customFormat="false" ht="15" hidden="false" customHeight="false" outlineLevel="0" collapsed="false">
      <c r="A8" s="9" t="s">
        <v>1513</v>
      </c>
      <c r="B8" s="9" t="s">
        <v>1514</v>
      </c>
      <c r="C8" s="9" t="s">
        <v>140</v>
      </c>
      <c r="D8" s="9" t="s">
        <v>418</v>
      </c>
      <c r="E8" s="9" t="s">
        <v>140</v>
      </c>
      <c r="F8" s="9" t="s">
        <v>173</v>
      </c>
      <c r="G8" s="9"/>
      <c r="H8" s="9" t="n">
        <v>11</v>
      </c>
      <c r="I8" s="9" t="s">
        <v>117</v>
      </c>
    </row>
    <row r="9" customFormat="false" ht="15" hidden="false" customHeight="false" outlineLevel="0" collapsed="false">
      <c r="A9" s="9" t="s">
        <v>1515</v>
      </c>
      <c r="B9" s="9" t="s">
        <v>1516</v>
      </c>
      <c r="C9" s="9" t="s">
        <v>140</v>
      </c>
      <c r="D9" s="9" t="s">
        <v>418</v>
      </c>
      <c r="E9" s="9" t="s">
        <v>140</v>
      </c>
      <c r="F9" s="9" t="s">
        <v>173</v>
      </c>
      <c r="G9" s="9"/>
      <c r="H9" s="9" t="n">
        <v>14</v>
      </c>
      <c r="I9" s="9" t="s">
        <v>117</v>
      </c>
    </row>
    <row r="10" customFormat="false" ht="15" hidden="false" customHeight="false" outlineLevel="0" collapsed="false">
      <c r="A10" s="9" t="s">
        <v>1517</v>
      </c>
      <c r="B10" s="9" t="s">
        <v>1518</v>
      </c>
      <c r="C10" s="9" t="s">
        <v>140</v>
      </c>
      <c r="D10" s="9" t="s">
        <v>418</v>
      </c>
      <c r="E10" s="9" t="s">
        <v>140</v>
      </c>
      <c r="F10" s="9" t="s">
        <v>173</v>
      </c>
      <c r="G10" s="9"/>
      <c r="H10" s="9" t="n">
        <v>15</v>
      </c>
      <c r="I10" s="9" t="s">
        <v>117</v>
      </c>
    </row>
    <row r="11" customFormat="false" ht="15" hidden="false" customHeight="false" outlineLevel="0" collapsed="false">
      <c r="A11" s="9" t="s">
        <v>1519</v>
      </c>
      <c r="B11" s="9" t="s">
        <v>1520</v>
      </c>
      <c r="C11" s="9" t="s">
        <v>384</v>
      </c>
      <c r="D11" s="9" t="s">
        <v>383</v>
      </c>
      <c r="E11" s="9" t="s">
        <v>155</v>
      </c>
      <c r="F11" s="9" t="s">
        <v>197</v>
      </c>
      <c r="G11" s="9"/>
      <c r="H11" s="9" t="n">
        <v>3</v>
      </c>
      <c r="I11" s="9" t="s">
        <v>135</v>
      </c>
    </row>
    <row r="12" customFormat="false" ht="15" hidden="false" customHeight="false" outlineLevel="0" collapsed="false">
      <c r="A12" s="9" t="s">
        <v>1521</v>
      </c>
      <c r="B12" s="9" t="s">
        <v>1520</v>
      </c>
      <c r="C12" s="9" t="s">
        <v>384</v>
      </c>
      <c r="D12" s="9" t="s">
        <v>383</v>
      </c>
      <c r="E12" s="9" t="s">
        <v>155</v>
      </c>
      <c r="F12" s="9" t="s">
        <v>197</v>
      </c>
      <c r="G12" s="9"/>
      <c r="H12" s="9" t="n">
        <v>4</v>
      </c>
      <c r="I12" s="9" t="s">
        <v>135</v>
      </c>
    </row>
    <row r="13" customFormat="false" ht="15" hidden="false" customHeight="false" outlineLevel="0" collapsed="false">
      <c r="A13" s="9" t="s">
        <v>1522</v>
      </c>
      <c r="B13" s="9" t="s">
        <v>1523</v>
      </c>
      <c r="C13" s="9" t="s">
        <v>384</v>
      </c>
      <c r="D13" s="9" t="s">
        <v>383</v>
      </c>
      <c r="E13" s="9" t="s">
        <v>155</v>
      </c>
      <c r="F13" s="9" t="s">
        <v>197</v>
      </c>
      <c r="G13" s="9" t="s">
        <v>1510</v>
      </c>
      <c r="H13" s="9" t="n">
        <v>12</v>
      </c>
      <c r="I13" s="9" t="s">
        <v>135</v>
      </c>
    </row>
    <row r="14" customFormat="false" ht="15" hidden="false" customHeight="false" outlineLevel="0" collapsed="false">
      <c r="A14" s="9" t="s">
        <v>1524</v>
      </c>
      <c r="B14" s="9" t="s">
        <v>1520</v>
      </c>
      <c r="C14" s="9" t="s">
        <v>384</v>
      </c>
      <c r="D14" s="9" t="s">
        <v>383</v>
      </c>
      <c r="E14" s="9" t="s">
        <v>155</v>
      </c>
      <c r="F14" s="9" t="s">
        <v>197</v>
      </c>
      <c r="G14" s="9"/>
      <c r="H14" s="9" t="n">
        <v>13</v>
      </c>
      <c r="I14" s="9" t="s">
        <v>135</v>
      </c>
    </row>
    <row r="15" customFormat="false" ht="15" hidden="false" customHeight="false" outlineLevel="0" collapsed="false">
      <c r="A15" s="9" t="s">
        <v>1525</v>
      </c>
      <c r="B15" s="9" t="s">
        <v>1526</v>
      </c>
      <c r="C15" s="9" t="s">
        <v>386</v>
      </c>
      <c r="D15" s="9" t="s">
        <v>385</v>
      </c>
      <c r="E15" s="9" t="s">
        <v>155</v>
      </c>
      <c r="F15" s="9" t="s">
        <v>156</v>
      </c>
      <c r="G15" s="9"/>
      <c r="H15" s="9" t="n">
        <v>3</v>
      </c>
      <c r="I15" s="9" t="s">
        <v>157</v>
      </c>
    </row>
    <row r="16" customFormat="false" ht="15" hidden="false" customHeight="false" outlineLevel="0" collapsed="false">
      <c r="A16" s="9" t="s">
        <v>1527</v>
      </c>
      <c r="B16" s="9" t="s">
        <v>1528</v>
      </c>
      <c r="C16" s="9" t="s">
        <v>386</v>
      </c>
      <c r="D16" s="9" t="s">
        <v>385</v>
      </c>
      <c r="E16" s="9" t="s">
        <v>155</v>
      </c>
      <c r="F16" s="9" t="s">
        <v>156</v>
      </c>
      <c r="G16" s="9"/>
      <c r="H16" s="9" t="n">
        <v>4</v>
      </c>
      <c r="I16" s="9" t="s">
        <v>157</v>
      </c>
    </row>
    <row r="17" customFormat="false" ht="15" hidden="false" customHeight="false" outlineLevel="0" collapsed="false">
      <c r="A17" s="9" t="s">
        <v>1529</v>
      </c>
      <c r="B17" s="9" t="s">
        <v>1530</v>
      </c>
      <c r="C17" s="9" t="s">
        <v>386</v>
      </c>
      <c r="D17" s="9" t="s">
        <v>385</v>
      </c>
      <c r="E17" s="9" t="s">
        <v>155</v>
      </c>
      <c r="F17" s="9" t="s">
        <v>156</v>
      </c>
      <c r="G17" s="9"/>
      <c r="H17" s="9" t="n">
        <v>5</v>
      </c>
      <c r="I17" s="9" t="s">
        <v>157</v>
      </c>
    </row>
    <row r="18" customFormat="false" ht="15" hidden="false" customHeight="false" outlineLevel="0" collapsed="false">
      <c r="A18" s="9" t="s">
        <v>1531</v>
      </c>
      <c r="B18" s="9" t="s">
        <v>1532</v>
      </c>
      <c r="C18" s="9" t="s">
        <v>386</v>
      </c>
      <c r="D18" s="9" t="s">
        <v>385</v>
      </c>
      <c r="E18" s="9" t="s">
        <v>155</v>
      </c>
      <c r="F18" s="9" t="s">
        <v>156</v>
      </c>
      <c r="G18" s="9"/>
      <c r="H18" s="9" t="n">
        <v>7</v>
      </c>
      <c r="I18" s="9" t="s">
        <v>157</v>
      </c>
    </row>
    <row r="19" customFormat="false" ht="15" hidden="false" customHeight="false" outlineLevel="0" collapsed="false">
      <c r="A19" s="9" t="s">
        <v>1533</v>
      </c>
      <c r="B19" s="9" t="s">
        <v>1534</v>
      </c>
      <c r="C19" s="9" t="s">
        <v>388</v>
      </c>
      <c r="D19" s="9" t="s">
        <v>387</v>
      </c>
      <c r="E19" s="9" t="s">
        <v>151</v>
      </c>
      <c r="F19" s="9" t="s">
        <v>152</v>
      </c>
      <c r="G19" s="9"/>
      <c r="H19" s="9" t="n">
        <v>4</v>
      </c>
      <c r="I19" s="9" t="s">
        <v>117</v>
      </c>
    </row>
    <row r="20" customFormat="false" ht="15" hidden="false" customHeight="false" outlineLevel="0" collapsed="false">
      <c r="A20" s="9" t="s">
        <v>1535</v>
      </c>
      <c r="B20" s="9" t="s">
        <v>1536</v>
      </c>
      <c r="C20" s="9" t="s">
        <v>388</v>
      </c>
      <c r="D20" s="9" t="s">
        <v>387</v>
      </c>
      <c r="E20" s="9" t="s">
        <v>151</v>
      </c>
      <c r="F20" s="9" t="s">
        <v>152</v>
      </c>
      <c r="G20" s="9"/>
      <c r="H20" s="9" t="n">
        <v>6</v>
      </c>
      <c r="I20" s="9" t="s">
        <v>117</v>
      </c>
    </row>
    <row r="21" customFormat="false" ht="15" hidden="false" customHeight="false" outlineLevel="0" collapsed="false">
      <c r="A21" s="9" t="s">
        <v>1537</v>
      </c>
      <c r="B21" s="9" t="s">
        <v>1538</v>
      </c>
      <c r="C21" s="9" t="s">
        <v>388</v>
      </c>
      <c r="D21" s="9" t="s">
        <v>387</v>
      </c>
      <c r="E21" s="9" t="s">
        <v>151</v>
      </c>
      <c r="F21" s="9" t="s">
        <v>152</v>
      </c>
      <c r="G21" s="9"/>
      <c r="H21" s="9" t="n">
        <v>7</v>
      </c>
      <c r="I21" s="9" t="s">
        <v>117</v>
      </c>
    </row>
    <row r="22" customFormat="false" ht="15" hidden="false" customHeight="false" outlineLevel="0" collapsed="false">
      <c r="A22" s="9" t="s">
        <v>1539</v>
      </c>
      <c r="B22" s="9" t="s">
        <v>1540</v>
      </c>
      <c r="C22" s="9" t="s">
        <v>388</v>
      </c>
      <c r="D22" s="9" t="s">
        <v>387</v>
      </c>
      <c r="E22" s="9" t="s">
        <v>151</v>
      </c>
      <c r="F22" s="9" t="s">
        <v>152</v>
      </c>
      <c r="G22" s="9"/>
      <c r="H22" s="9" t="n">
        <v>9</v>
      </c>
      <c r="I22" s="9" t="s">
        <v>117</v>
      </c>
    </row>
    <row r="23" customFormat="false" ht="15" hidden="false" customHeight="false" outlineLevel="0" collapsed="false">
      <c r="A23" s="9" t="s">
        <v>1541</v>
      </c>
      <c r="B23" s="9" t="s">
        <v>1542</v>
      </c>
      <c r="C23" s="9" t="s">
        <v>388</v>
      </c>
      <c r="D23" s="9" t="s">
        <v>387</v>
      </c>
      <c r="E23" s="9" t="s">
        <v>151</v>
      </c>
      <c r="F23" s="9" t="s">
        <v>152</v>
      </c>
      <c r="G23" s="9" t="s">
        <v>1543</v>
      </c>
      <c r="H23" s="9" t="n">
        <v>10</v>
      </c>
      <c r="I23" s="9" t="s">
        <v>117</v>
      </c>
    </row>
    <row r="24" customFormat="false" ht="15" hidden="false" customHeight="false" outlineLevel="0" collapsed="false">
      <c r="A24" s="9" t="s">
        <v>1544</v>
      </c>
      <c r="B24" s="9" t="s">
        <v>1545</v>
      </c>
      <c r="C24" s="9" t="s">
        <v>388</v>
      </c>
      <c r="D24" s="9" t="s">
        <v>387</v>
      </c>
      <c r="E24" s="9" t="s">
        <v>151</v>
      </c>
      <c r="F24" s="9" t="s">
        <v>152</v>
      </c>
      <c r="G24" s="9" t="s">
        <v>1510</v>
      </c>
      <c r="H24" s="9" t="n">
        <v>15</v>
      </c>
      <c r="I24" s="9" t="s">
        <v>117</v>
      </c>
    </row>
    <row r="25" customFormat="false" ht="15" hidden="false" customHeight="false" outlineLevel="0" collapsed="false">
      <c r="A25" s="9" t="s">
        <v>1546</v>
      </c>
      <c r="B25" s="9" t="s">
        <v>1547</v>
      </c>
      <c r="C25" s="9" t="s">
        <v>388</v>
      </c>
      <c r="D25" s="9" t="s">
        <v>387</v>
      </c>
      <c r="E25" s="9" t="s">
        <v>151</v>
      </c>
      <c r="F25" s="9" t="s">
        <v>152</v>
      </c>
      <c r="G25" s="9" t="s">
        <v>1510</v>
      </c>
      <c r="H25" s="9" t="n">
        <v>16</v>
      </c>
      <c r="I25" s="9" t="s">
        <v>117</v>
      </c>
    </row>
    <row r="26" customFormat="false" ht="15" hidden="false" customHeight="false" outlineLevel="0" collapsed="false">
      <c r="A26" s="9" t="s">
        <v>1548</v>
      </c>
      <c r="B26" s="9" t="s">
        <v>1549</v>
      </c>
      <c r="C26" s="9" t="s">
        <v>309</v>
      </c>
      <c r="D26" s="9" t="s">
        <v>308</v>
      </c>
      <c r="E26" s="9" t="s">
        <v>146</v>
      </c>
      <c r="F26" s="9" t="s">
        <v>152</v>
      </c>
      <c r="G26" s="9"/>
      <c r="H26" s="9" t="n">
        <v>1</v>
      </c>
      <c r="I26" s="9" t="s">
        <v>117</v>
      </c>
    </row>
    <row r="27" customFormat="false" ht="15" hidden="false" customHeight="false" outlineLevel="0" collapsed="false">
      <c r="A27" s="9" t="s">
        <v>1550</v>
      </c>
      <c r="B27" s="9" t="s">
        <v>1551</v>
      </c>
      <c r="C27" s="9" t="s">
        <v>309</v>
      </c>
      <c r="D27" s="9" t="s">
        <v>308</v>
      </c>
      <c r="E27" s="9" t="s">
        <v>146</v>
      </c>
      <c r="F27" s="9" t="s">
        <v>152</v>
      </c>
      <c r="G27" s="9"/>
      <c r="H27" s="9" t="n">
        <v>7</v>
      </c>
      <c r="I27" s="9" t="s">
        <v>117</v>
      </c>
    </row>
    <row r="28" customFormat="false" ht="15" hidden="false" customHeight="false" outlineLevel="0" collapsed="false">
      <c r="A28" s="9" t="s">
        <v>1552</v>
      </c>
      <c r="B28" s="9" t="s">
        <v>1553</v>
      </c>
      <c r="C28" s="9" t="s">
        <v>309</v>
      </c>
      <c r="D28" s="9" t="s">
        <v>308</v>
      </c>
      <c r="E28" s="9" t="s">
        <v>146</v>
      </c>
      <c r="F28" s="9" t="s">
        <v>152</v>
      </c>
      <c r="G28" s="9" t="s">
        <v>1510</v>
      </c>
      <c r="H28" s="9" t="n">
        <v>8</v>
      </c>
      <c r="I28" s="9" t="s">
        <v>117</v>
      </c>
    </row>
    <row r="29" customFormat="false" ht="15" hidden="false" customHeight="false" outlineLevel="0" collapsed="false">
      <c r="A29" s="9" t="s">
        <v>1554</v>
      </c>
      <c r="B29" s="9" t="s">
        <v>1555</v>
      </c>
      <c r="C29" s="9" t="s">
        <v>309</v>
      </c>
      <c r="D29" s="9" t="s">
        <v>308</v>
      </c>
      <c r="E29" s="9" t="s">
        <v>146</v>
      </c>
      <c r="F29" s="9" t="s">
        <v>152</v>
      </c>
      <c r="G29" s="9" t="s">
        <v>1510</v>
      </c>
      <c r="H29" s="9" t="n">
        <v>10</v>
      </c>
      <c r="I29" s="9" t="s">
        <v>117</v>
      </c>
    </row>
    <row r="30" customFormat="false" ht="15" hidden="false" customHeight="false" outlineLevel="0" collapsed="false">
      <c r="A30" s="9" t="s">
        <v>1556</v>
      </c>
      <c r="B30" s="9" t="s">
        <v>1557</v>
      </c>
      <c r="C30" s="9" t="s">
        <v>309</v>
      </c>
      <c r="D30" s="9" t="s">
        <v>308</v>
      </c>
      <c r="E30" s="9" t="s">
        <v>146</v>
      </c>
      <c r="F30" s="9" t="s">
        <v>152</v>
      </c>
      <c r="G30" s="9" t="s">
        <v>1510</v>
      </c>
      <c r="H30" s="9" t="n">
        <v>11</v>
      </c>
      <c r="I30" s="9" t="s">
        <v>117</v>
      </c>
    </row>
    <row r="31" customFormat="false" ht="15" hidden="false" customHeight="false" outlineLevel="0" collapsed="false">
      <c r="A31" s="9" t="s">
        <v>1558</v>
      </c>
      <c r="B31" s="9" t="s">
        <v>1559</v>
      </c>
      <c r="C31" s="9" t="s">
        <v>100</v>
      </c>
      <c r="D31" s="9" t="s">
        <v>391</v>
      </c>
      <c r="E31" s="9" t="s">
        <v>100</v>
      </c>
      <c r="F31" s="9" t="s">
        <v>173</v>
      </c>
      <c r="G31" s="9"/>
      <c r="H31" s="9" t="n">
        <v>1</v>
      </c>
      <c r="I31" s="9" t="s">
        <v>117</v>
      </c>
    </row>
    <row r="32" customFormat="false" ht="15" hidden="false" customHeight="false" outlineLevel="0" collapsed="false">
      <c r="A32" s="9" t="s">
        <v>1560</v>
      </c>
      <c r="B32" s="9" t="s">
        <v>1561</v>
      </c>
      <c r="C32" s="9" t="s">
        <v>100</v>
      </c>
      <c r="D32" s="9" t="s">
        <v>391</v>
      </c>
      <c r="E32" s="9" t="s">
        <v>100</v>
      </c>
      <c r="F32" s="9" t="s">
        <v>173</v>
      </c>
      <c r="G32" s="9"/>
      <c r="H32" s="9" t="n">
        <v>3</v>
      </c>
      <c r="I32" s="9" t="s">
        <v>117</v>
      </c>
    </row>
    <row r="33" customFormat="false" ht="15" hidden="false" customHeight="false" outlineLevel="0" collapsed="false">
      <c r="A33" s="9" t="s">
        <v>1562</v>
      </c>
      <c r="B33" s="9" t="s">
        <v>1563</v>
      </c>
      <c r="C33" s="9" t="s">
        <v>100</v>
      </c>
      <c r="D33" s="9" t="s">
        <v>391</v>
      </c>
      <c r="E33" s="9" t="s">
        <v>100</v>
      </c>
      <c r="F33" s="9" t="s">
        <v>173</v>
      </c>
      <c r="G33" s="9" t="s">
        <v>1510</v>
      </c>
      <c r="H33" s="9" t="n">
        <v>9</v>
      </c>
      <c r="I33" s="9" t="s">
        <v>117</v>
      </c>
    </row>
    <row r="34" customFormat="false" ht="15" hidden="false" customHeight="false" outlineLevel="0" collapsed="false">
      <c r="A34" s="9" t="s">
        <v>1564</v>
      </c>
      <c r="B34" s="9" t="s">
        <v>1565</v>
      </c>
      <c r="C34" s="9" t="s">
        <v>100</v>
      </c>
      <c r="D34" s="9" t="s">
        <v>391</v>
      </c>
      <c r="E34" s="9" t="s">
        <v>100</v>
      </c>
      <c r="F34" s="9" t="s">
        <v>173</v>
      </c>
      <c r="G34" s="9"/>
      <c r="H34" s="9" t="n">
        <v>13</v>
      </c>
      <c r="I34" s="9" t="s">
        <v>117</v>
      </c>
    </row>
    <row r="35" customFormat="false" ht="15" hidden="false" customHeight="false" outlineLevel="0" collapsed="false">
      <c r="A35" s="9" t="s">
        <v>1566</v>
      </c>
      <c r="B35" s="9" t="s">
        <v>1567</v>
      </c>
      <c r="C35" s="9" t="s">
        <v>100</v>
      </c>
      <c r="D35" s="9" t="s">
        <v>391</v>
      </c>
      <c r="E35" s="9" t="s">
        <v>100</v>
      </c>
      <c r="F35" s="9" t="s">
        <v>173</v>
      </c>
      <c r="G35" s="9"/>
      <c r="H35" s="9" t="n">
        <v>16</v>
      </c>
      <c r="I35" s="9" t="s">
        <v>117</v>
      </c>
    </row>
    <row r="36" customFormat="false" ht="15" hidden="false" customHeight="false" outlineLevel="0" collapsed="false">
      <c r="A36" s="9" t="s">
        <v>1568</v>
      </c>
      <c r="B36" s="9" t="s">
        <v>1569</v>
      </c>
      <c r="C36" s="9" t="s">
        <v>100</v>
      </c>
      <c r="D36" s="9" t="s">
        <v>391</v>
      </c>
      <c r="E36" s="9" t="s">
        <v>100</v>
      </c>
      <c r="F36" s="9" t="s">
        <v>173</v>
      </c>
      <c r="G36" s="9"/>
      <c r="H36" s="9" t="n">
        <v>18</v>
      </c>
      <c r="I36" s="9" t="s">
        <v>117</v>
      </c>
    </row>
    <row r="37" customFormat="false" ht="15" hidden="false" customHeight="false" outlineLevel="0" collapsed="false">
      <c r="A37" s="9" t="s">
        <v>1570</v>
      </c>
      <c r="B37" s="9" t="s">
        <v>1571</v>
      </c>
      <c r="C37" s="9" t="s">
        <v>100</v>
      </c>
      <c r="D37" s="9" t="s">
        <v>391</v>
      </c>
      <c r="E37" s="9" t="s">
        <v>100</v>
      </c>
      <c r="F37" s="9" t="s">
        <v>173</v>
      </c>
      <c r="G37" s="9"/>
      <c r="H37" s="9" t="n">
        <v>19</v>
      </c>
      <c r="I37" s="9" t="s">
        <v>117</v>
      </c>
    </row>
    <row r="38" customFormat="false" ht="15" hidden="false" customHeight="false" outlineLevel="0" collapsed="false">
      <c r="A38" s="9" t="s">
        <v>1572</v>
      </c>
      <c r="B38" s="9" t="s">
        <v>1573</v>
      </c>
      <c r="C38" s="9" t="s">
        <v>100</v>
      </c>
      <c r="D38" s="9" t="s">
        <v>391</v>
      </c>
      <c r="E38" s="9" t="s">
        <v>100</v>
      </c>
      <c r="F38" s="9" t="s">
        <v>173</v>
      </c>
      <c r="G38" s="9" t="s">
        <v>1510</v>
      </c>
      <c r="H38" s="9" t="n">
        <v>25</v>
      </c>
      <c r="I38" s="9" t="s">
        <v>117</v>
      </c>
    </row>
    <row r="39" customFormat="false" ht="15" hidden="false" customHeight="false" outlineLevel="0" collapsed="false">
      <c r="A39" s="9" t="s">
        <v>1574</v>
      </c>
      <c r="B39" s="9" t="s">
        <v>1575</v>
      </c>
      <c r="C39" s="9" t="s">
        <v>100</v>
      </c>
      <c r="D39" s="9" t="s">
        <v>391</v>
      </c>
      <c r="E39" s="9" t="s">
        <v>100</v>
      </c>
      <c r="F39" s="9" t="s">
        <v>173</v>
      </c>
      <c r="G39" s="9"/>
      <c r="H39" s="9" t="n">
        <v>29</v>
      </c>
      <c r="I39" s="9" t="s">
        <v>117</v>
      </c>
    </row>
    <row r="40" customFormat="false" ht="15" hidden="false" customHeight="false" outlineLevel="0" collapsed="false">
      <c r="A40" s="9" t="s">
        <v>1576</v>
      </c>
      <c r="B40" s="9" t="s">
        <v>1577</v>
      </c>
      <c r="C40" s="9" t="s">
        <v>100</v>
      </c>
      <c r="D40" s="9" t="s">
        <v>391</v>
      </c>
      <c r="E40" s="9" t="s">
        <v>100</v>
      </c>
      <c r="F40" s="9" t="s">
        <v>173</v>
      </c>
      <c r="G40" s="9"/>
      <c r="H40" s="9" t="n">
        <v>31</v>
      </c>
      <c r="I40" s="9" t="s">
        <v>117</v>
      </c>
    </row>
    <row r="41" customFormat="false" ht="15" hidden="false" customHeight="false" outlineLevel="0" collapsed="false">
      <c r="A41" s="9" t="s">
        <v>1578</v>
      </c>
      <c r="B41" s="9" t="s">
        <v>1579</v>
      </c>
      <c r="C41" s="9" t="s">
        <v>100</v>
      </c>
      <c r="D41" s="9" t="s">
        <v>391</v>
      </c>
      <c r="E41" s="9" t="s">
        <v>100</v>
      </c>
      <c r="F41" s="9" t="s">
        <v>173</v>
      </c>
      <c r="G41" s="9"/>
      <c r="H41" s="9" t="n">
        <v>32</v>
      </c>
      <c r="I41" s="9" t="s">
        <v>117</v>
      </c>
    </row>
    <row r="42" customFormat="false" ht="15" hidden="false" customHeight="false" outlineLevel="0" collapsed="false">
      <c r="A42" s="9" t="s">
        <v>1580</v>
      </c>
      <c r="B42" s="9" t="s">
        <v>1581</v>
      </c>
      <c r="C42" s="9" t="s">
        <v>100</v>
      </c>
      <c r="D42" s="9" t="s">
        <v>391</v>
      </c>
      <c r="E42" s="9" t="s">
        <v>100</v>
      </c>
      <c r="F42" s="9" t="s">
        <v>173</v>
      </c>
      <c r="G42" s="9"/>
      <c r="H42" s="9" t="n">
        <v>33</v>
      </c>
      <c r="I42" s="9" t="s">
        <v>117</v>
      </c>
    </row>
    <row r="43" customFormat="false" ht="15" hidden="false" customHeight="false" outlineLevel="0" collapsed="false">
      <c r="A43" s="9" t="s">
        <v>1582</v>
      </c>
      <c r="B43" s="9" t="s">
        <v>1583</v>
      </c>
      <c r="C43" s="9" t="s">
        <v>100</v>
      </c>
      <c r="D43" s="9" t="s">
        <v>391</v>
      </c>
      <c r="E43" s="9" t="s">
        <v>100</v>
      </c>
      <c r="F43" s="9" t="s">
        <v>173</v>
      </c>
      <c r="G43" s="9"/>
      <c r="H43" s="9" t="n">
        <v>36</v>
      </c>
      <c r="I43" s="9" t="s">
        <v>117</v>
      </c>
    </row>
    <row r="44" customFormat="false" ht="15" hidden="false" customHeight="false" outlineLevel="0" collapsed="false">
      <c r="A44" s="9" t="s">
        <v>1584</v>
      </c>
      <c r="B44" s="9" t="s">
        <v>1585</v>
      </c>
      <c r="C44" s="9" t="s">
        <v>100</v>
      </c>
      <c r="D44" s="9" t="s">
        <v>391</v>
      </c>
      <c r="E44" s="9" t="s">
        <v>100</v>
      </c>
      <c r="F44" s="9" t="s">
        <v>173</v>
      </c>
      <c r="G44" s="9"/>
      <c r="H44" s="9" t="n">
        <v>37</v>
      </c>
      <c r="I44" s="9" t="s">
        <v>117</v>
      </c>
    </row>
    <row r="45" customFormat="false" ht="15" hidden="false" customHeight="false" outlineLevel="0" collapsed="false">
      <c r="A45" s="9" t="s">
        <v>1586</v>
      </c>
      <c r="B45" s="9" t="s">
        <v>1587</v>
      </c>
      <c r="C45" s="9" t="s">
        <v>100</v>
      </c>
      <c r="D45" s="9" t="s">
        <v>391</v>
      </c>
      <c r="E45" s="9" t="s">
        <v>100</v>
      </c>
      <c r="F45" s="9" t="s">
        <v>173</v>
      </c>
      <c r="G45" s="9"/>
      <c r="H45" s="9" t="n">
        <v>38</v>
      </c>
      <c r="I45" s="9" t="s">
        <v>117</v>
      </c>
    </row>
    <row r="46" customFormat="false" ht="15" hidden="false" customHeight="false" outlineLevel="0" collapsed="false">
      <c r="A46" s="9" t="s">
        <v>1588</v>
      </c>
      <c r="B46" s="9" t="s">
        <v>1589</v>
      </c>
      <c r="C46" s="9" t="s">
        <v>100</v>
      </c>
      <c r="D46" s="9" t="s">
        <v>391</v>
      </c>
      <c r="E46" s="9" t="s">
        <v>100</v>
      </c>
      <c r="F46" s="9" t="s">
        <v>173</v>
      </c>
      <c r="G46" s="9"/>
      <c r="H46" s="9" t="n">
        <v>40</v>
      </c>
      <c r="I46" s="9" t="s">
        <v>117</v>
      </c>
    </row>
    <row r="47" customFormat="false" ht="15" hidden="false" customHeight="false" outlineLevel="0" collapsed="false">
      <c r="A47" s="9" t="s">
        <v>1590</v>
      </c>
      <c r="B47" s="9" t="s">
        <v>1591</v>
      </c>
      <c r="C47" s="9" t="s">
        <v>100</v>
      </c>
      <c r="D47" s="9" t="s">
        <v>391</v>
      </c>
      <c r="E47" s="9" t="s">
        <v>100</v>
      </c>
      <c r="F47" s="9" t="s">
        <v>173</v>
      </c>
      <c r="G47" s="9"/>
      <c r="H47" s="9" t="n">
        <v>41</v>
      </c>
      <c r="I47" s="9" t="s">
        <v>117</v>
      </c>
    </row>
    <row r="48" customFormat="false" ht="15" hidden="false" customHeight="false" outlineLevel="0" collapsed="false">
      <c r="A48" s="9" t="s">
        <v>1592</v>
      </c>
      <c r="B48" s="9" t="s">
        <v>1593</v>
      </c>
      <c r="C48" s="9" t="s">
        <v>100</v>
      </c>
      <c r="D48" s="9" t="s">
        <v>391</v>
      </c>
      <c r="E48" s="9" t="s">
        <v>100</v>
      </c>
      <c r="F48" s="9" t="s">
        <v>173</v>
      </c>
      <c r="G48" s="9"/>
      <c r="H48" s="9" t="n">
        <v>43</v>
      </c>
      <c r="I48" s="9" t="s">
        <v>117</v>
      </c>
    </row>
    <row r="49" customFormat="false" ht="15" hidden="false" customHeight="false" outlineLevel="0" collapsed="false">
      <c r="A49" s="9" t="s">
        <v>1594</v>
      </c>
      <c r="B49" s="9" t="s">
        <v>1595</v>
      </c>
      <c r="C49" s="9" t="s">
        <v>100</v>
      </c>
      <c r="D49" s="9" t="s">
        <v>391</v>
      </c>
      <c r="E49" s="9" t="s">
        <v>100</v>
      </c>
      <c r="F49" s="9" t="s">
        <v>173</v>
      </c>
      <c r="G49" s="9" t="s">
        <v>1543</v>
      </c>
      <c r="H49" s="9" t="n">
        <v>44</v>
      </c>
      <c r="I49" s="9" t="s">
        <v>117</v>
      </c>
    </row>
    <row r="50" customFormat="false" ht="15" hidden="false" customHeight="false" outlineLevel="0" collapsed="false">
      <c r="A50" s="9" t="s">
        <v>1596</v>
      </c>
      <c r="B50" s="9" t="s">
        <v>1597</v>
      </c>
      <c r="C50" s="9" t="s">
        <v>100</v>
      </c>
      <c r="D50" s="9" t="s">
        <v>391</v>
      </c>
      <c r="E50" s="9" t="s">
        <v>100</v>
      </c>
      <c r="F50" s="9" t="s">
        <v>173</v>
      </c>
      <c r="G50" s="9"/>
      <c r="H50" s="9" t="n">
        <v>46</v>
      </c>
      <c r="I50" s="9" t="s">
        <v>117</v>
      </c>
    </row>
    <row r="51" customFormat="false" ht="15" hidden="false" customHeight="false" outlineLevel="0" collapsed="false">
      <c r="A51" s="9" t="s">
        <v>1598</v>
      </c>
      <c r="B51" s="9" t="s">
        <v>1599</v>
      </c>
      <c r="C51" s="9" t="s">
        <v>100</v>
      </c>
      <c r="D51" s="9" t="s">
        <v>391</v>
      </c>
      <c r="E51" s="9" t="s">
        <v>100</v>
      </c>
      <c r="F51" s="9" t="s">
        <v>173</v>
      </c>
      <c r="G51" s="9" t="s">
        <v>1510</v>
      </c>
      <c r="H51" s="9" t="n">
        <v>48</v>
      </c>
      <c r="I51" s="9" t="s">
        <v>117</v>
      </c>
    </row>
    <row r="52" customFormat="false" ht="15" hidden="false" customHeight="false" outlineLevel="0" collapsed="false">
      <c r="A52" s="9" t="s">
        <v>1600</v>
      </c>
      <c r="B52" s="9" t="s">
        <v>1601</v>
      </c>
      <c r="C52" s="9" t="s">
        <v>100</v>
      </c>
      <c r="D52" s="9" t="s">
        <v>391</v>
      </c>
      <c r="E52" s="9" t="s">
        <v>100</v>
      </c>
      <c r="F52" s="9" t="s">
        <v>173</v>
      </c>
      <c r="G52" s="9" t="s">
        <v>1510</v>
      </c>
      <c r="H52" s="9" t="n">
        <v>49</v>
      </c>
      <c r="I52" s="9" t="s">
        <v>117</v>
      </c>
    </row>
    <row r="53" customFormat="false" ht="15" hidden="false" customHeight="false" outlineLevel="0" collapsed="false">
      <c r="A53" s="9" t="s">
        <v>1602</v>
      </c>
      <c r="B53" s="9" t="s">
        <v>1603</v>
      </c>
      <c r="C53" s="9" t="s">
        <v>100</v>
      </c>
      <c r="D53" s="9" t="s">
        <v>391</v>
      </c>
      <c r="E53" s="9" t="s">
        <v>100</v>
      </c>
      <c r="F53" s="9" t="s">
        <v>173</v>
      </c>
      <c r="G53" s="9" t="s">
        <v>1510</v>
      </c>
      <c r="H53" s="9" t="n">
        <v>51</v>
      </c>
      <c r="I53" s="9" t="s">
        <v>117</v>
      </c>
    </row>
    <row r="54" customFormat="false" ht="15" hidden="false" customHeight="false" outlineLevel="0" collapsed="false">
      <c r="A54" s="9" t="s">
        <v>1604</v>
      </c>
      <c r="B54" s="9" t="s">
        <v>1605</v>
      </c>
      <c r="C54" s="9" t="s">
        <v>100</v>
      </c>
      <c r="D54" s="9" t="s">
        <v>391</v>
      </c>
      <c r="E54" s="9" t="s">
        <v>100</v>
      </c>
      <c r="F54" s="9" t="s">
        <v>173</v>
      </c>
      <c r="G54" s="9" t="s">
        <v>1510</v>
      </c>
      <c r="H54" s="9" t="n">
        <v>52</v>
      </c>
      <c r="I54" s="9" t="s">
        <v>117</v>
      </c>
    </row>
    <row r="55" customFormat="false" ht="15" hidden="false" customHeight="false" outlineLevel="0" collapsed="false">
      <c r="A55" s="9" t="s">
        <v>1606</v>
      </c>
      <c r="B55" s="9" t="s">
        <v>1607</v>
      </c>
      <c r="C55" s="9" t="s">
        <v>393</v>
      </c>
      <c r="D55" s="9" t="s">
        <v>392</v>
      </c>
      <c r="E55" s="9" t="s">
        <v>155</v>
      </c>
      <c r="F55" s="9" t="s">
        <v>197</v>
      </c>
      <c r="G55" s="9"/>
      <c r="H55" s="9" t="n">
        <v>2</v>
      </c>
      <c r="I55" s="9" t="s">
        <v>135</v>
      </c>
    </row>
    <row r="56" customFormat="false" ht="15" hidden="false" customHeight="false" outlineLevel="0" collapsed="false">
      <c r="A56" s="9" t="s">
        <v>1608</v>
      </c>
      <c r="B56" s="9" t="s">
        <v>1609</v>
      </c>
      <c r="C56" s="9" t="s">
        <v>393</v>
      </c>
      <c r="D56" s="9" t="s">
        <v>392</v>
      </c>
      <c r="E56" s="9" t="s">
        <v>155</v>
      </c>
      <c r="F56" s="9" t="s">
        <v>197</v>
      </c>
      <c r="G56" s="9"/>
      <c r="H56" s="9" t="n">
        <v>5</v>
      </c>
      <c r="I56" s="9" t="s">
        <v>135</v>
      </c>
    </row>
    <row r="57" customFormat="false" ht="15" hidden="false" customHeight="false" outlineLevel="0" collapsed="false">
      <c r="A57" s="9" t="s">
        <v>1610</v>
      </c>
      <c r="B57" s="9" t="s">
        <v>1611</v>
      </c>
      <c r="C57" s="9" t="s">
        <v>397</v>
      </c>
      <c r="D57" s="9" t="s">
        <v>396</v>
      </c>
      <c r="E57" s="9" t="s">
        <v>133</v>
      </c>
      <c r="F57" s="9" t="s">
        <v>125</v>
      </c>
      <c r="G57" s="9"/>
      <c r="H57" s="9" t="n">
        <v>4</v>
      </c>
      <c r="I57" s="9" t="s">
        <v>157</v>
      </c>
    </row>
    <row r="58" customFormat="false" ht="15" hidden="false" customHeight="false" outlineLevel="0" collapsed="false">
      <c r="A58" s="9" t="s">
        <v>1612</v>
      </c>
      <c r="B58" s="9" t="s">
        <v>1613</v>
      </c>
      <c r="C58" s="9" t="s">
        <v>397</v>
      </c>
      <c r="D58" s="9" t="s">
        <v>396</v>
      </c>
      <c r="E58" s="9" t="s">
        <v>133</v>
      </c>
      <c r="F58" s="9" t="s">
        <v>125</v>
      </c>
      <c r="G58" s="9"/>
      <c r="H58" s="9" t="n">
        <v>5</v>
      </c>
      <c r="I58" s="9" t="s">
        <v>157</v>
      </c>
    </row>
    <row r="59" customFormat="false" ht="15" hidden="false" customHeight="false" outlineLevel="0" collapsed="false">
      <c r="A59" s="9" t="s">
        <v>1614</v>
      </c>
      <c r="B59" s="9" t="s">
        <v>1615</v>
      </c>
      <c r="C59" s="9" t="s">
        <v>295</v>
      </c>
      <c r="D59" s="9" t="s">
        <v>294</v>
      </c>
      <c r="E59" s="9" t="s">
        <v>106</v>
      </c>
      <c r="F59" s="9" t="s">
        <v>108</v>
      </c>
      <c r="G59" s="9"/>
      <c r="H59" s="9" t="n">
        <v>3</v>
      </c>
      <c r="I59" s="9" t="s">
        <v>103</v>
      </c>
    </row>
    <row r="60" customFormat="false" ht="15" hidden="false" customHeight="false" outlineLevel="0" collapsed="false">
      <c r="A60" s="9" t="s">
        <v>1616</v>
      </c>
      <c r="B60" s="9" t="s">
        <v>1617</v>
      </c>
      <c r="C60" s="9" t="s">
        <v>295</v>
      </c>
      <c r="D60" s="9" t="s">
        <v>294</v>
      </c>
      <c r="E60" s="9" t="s">
        <v>106</v>
      </c>
      <c r="F60" s="9" t="s">
        <v>108</v>
      </c>
      <c r="G60" s="9"/>
      <c r="H60" s="9" t="n">
        <v>4</v>
      </c>
      <c r="I60" s="9" t="s">
        <v>103</v>
      </c>
    </row>
    <row r="61" customFormat="false" ht="15" hidden="false" customHeight="false" outlineLevel="0" collapsed="false">
      <c r="A61" s="9" t="s">
        <v>1618</v>
      </c>
      <c r="B61" s="9" t="s">
        <v>1619</v>
      </c>
      <c r="C61" s="9" t="s">
        <v>295</v>
      </c>
      <c r="D61" s="9" t="s">
        <v>294</v>
      </c>
      <c r="E61" s="9" t="s">
        <v>106</v>
      </c>
      <c r="F61" s="9" t="s">
        <v>108</v>
      </c>
      <c r="G61" s="9" t="s">
        <v>1510</v>
      </c>
      <c r="H61" s="9" t="n">
        <v>7</v>
      </c>
      <c r="I61" s="9" t="s">
        <v>103</v>
      </c>
    </row>
    <row r="62" customFormat="false" ht="15" hidden="false" customHeight="false" outlineLevel="0" collapsed="false">
      <c r="A62" s="9" t="s">
        <v>1620</v>
      </c>
      <c r="B62" s="9" t="s">
        <v>1621</v>
      </c>
      <c r="C62" s="9" t="s">
        <v>399</v>
      </c>
      <c r="D62" s="9" t="s">
        <v>398</v>
      </c>
      <c r="E62" s="9" t="s">
        <v>182</v>
      </c>
      <c r="F62" s="9" t="s">
        <v>125</v>
      </c>
      <c r="G62" s="9"/>
      <c r="H62" s="9" t="n">
        <v>5</v>
      </c>
      <c r="I62" s="9" t="s">
        <v>143</v>
      </c>
    </row>
    <row r="63" customFormat="false" ht="15" hidden="false" customHeight="false" outlineLevel="0" collapsed="false">
      <c r="A63" s="9" t="s">
        <v>1622</v>
      </c>
      <c r="B63" s="9" t="s">
        <v>1623</v>
      </c>
      <c r="C63" s="9" t="s">
        <v>399</v>
      </c>
      <c r="D63" s="9" t="s">
        <v>398</v>
      </c>
      <c r="E63" s="9" t="s">
        <v>182</v>
      </c>
      <c r="F63" s="9" t="s">
        <v>125</v>
      </c>
      <c r="G63" s="9"/>
      <c r="H63" s="9" t="n">
        <v>8</v>
      </c>
      <c r="I63" s="9" t="s">
        <v>143</v>
      </c>
    </row>
    <row r="64" customFormat="false" ht="15" hidden="false" customHeight="false" outlineLevel="0" collapsed="false">
      <c r="A64" s="9" t="s">
        <v>1506</v>
      </c>
      <c r="B64" s="9" t="s">
        <v>1624</v>
      </c>
      <c r="C64" s="9" t="s">
        <v>399</v>
      </c>
      <c r="D64" s="9" t="s">
        <v>398</v>
      </c>
      <c r="E64" s="9" t="s">
        <v>182</v>
      </c>
      <c r="F64" s="9" t="s">
        <v>125</v>
      </c>
      <c r="G64" s="9"/>
      <c r="H64" s="9" t="n">
        <v>10</v>
      </c>
      <c r="I64" s="9" t="s">
        <v>143</v>
      </c>
    </row>
    <row r="65" customFormat="false" ht="15" hidden="false" customHeight="false" outlineLevel="0" collapsed="false">
      <c r="A65" s="9" t="s">
        <v>1625</v>
      </c>
      <c r="B65" s="9" t="s">
        <v>1626</v>
      </c>
      <c r="C65" s="9" t="s">
        <v>401</v>
      </c>
      <c r="D65" s="9" t="s">
        <v>400</v>
      </c>
      <c r="E65" s="9" t="s">
        <v>155</v>
      </c>
      <c r="F65" s="9" t="s">
        <v>156</v>
      </c>
      <c r="G65" s="9"/>
      <c r="H65" s="9" t="n">
        <v>4</v>
      </c>
      <c r="I65" s="9" t="s">
        <v>135</v>
      </c>
    </row>
    <row r="66" customFormat="false" ht="15" hidden="false" customHeight="false" outlineLevel="0" collapsed="false">
      <c r="A66" s="9" t="s">
        <v>1627</v>
      </c>
      <c r="B66" s="9" t="s">
        <v>1628</v>
      </c>
      <c r="C66" s="9" t="s">
        <v>401</v>
      </c>
      <c r="D66" s="9" t="s">
        <v>400</v>
      </c>
      <c r="E66" s="9" t="s">
        <v>155</v>
      </c>
      <c r="F66" s="9" t="s">
        <v>156</v>
      </c>
      <c r="G66" s="9"/>
      <c r="H66" s="9" t="n">
        <v>5</v>
      </c>
      <c r="I66" s="9" t="s">
        <v>135</v>
      </c>
    </row>
    <row r="67" customFormat="false" ht="15" hidden="false" customHeight="false" outlineLevel="0" collapsed="false">
      <c r="A67" s="9" t="s">
        <v>1629</v>
      </c>
      <c r="B67" s="9" t="s">
        <v>1630</v>
      </c>
      <c r="C67" s="9" t="s">
        <v>403</v>
      </c>
      <c r="D67" s="9" t="s">
        <v>402</v>
      </c>
      <c r="E67" s="9" t="s">
        <v>106</v>
      </c>
      <c r="F67" s="9" t="s">
        <v>102</v>
      </c>
      <c r="G67" s="9" t="s">
        <v>1631</v>
      </c>
      <c r="H67" s="9" t="n">
        <v>1</v>
      </c>
      <c r="I67" s="9" t="s">
        <v>103</v>
      </c>
    </row>
    <row r="68" customFormat="false" ht="15" hidden="false" customHeight="false" outlineLevel="0" collapsed="false">
      <c r="A68" s="9" t="s">
        <v>1632</v>
      </c>
      <c r="B68" s="9" t="s">
        <v>1633</v>
      </c>
      <c r="C68" s="9" t="s">
        <v>403</v>
      </c>
      <c r="D68" s="9" t="s">
        <v>402</v>
      </c>
      <c r="E68" s="9" t="s">
        <v>106</v>
      </c>
      <c r="F68" s="9" t="s">
        <v>102</v>
      </c>
      <c r="G68" s="9"/>
      <c r="H68" s="9" t="n">
        <v>4</v>
      </c>
      <c r="I68" s="9" t="s">
        <v>103</v>
      </c>
    </row>
    <row r="69" customFormat="false" ht="15" hidden="false" customHeight="false" outlineLevel="0" collapsed="false">
      <c r="A69" s="9" t="s">
        <v>1634</v>
      </c>
      <c r="B69" s="9" t="s">
        <v>1635</v>
      </c>
      <c r="C69" s="9" t="s">
        <v>405</v>
      </c>
      <c r="D69" s="9" t="s">
        <v>404</v>
      </c>
      <c r="E69" s="9" t="s">
        <v>237</v>
      </c>
      <c r="F69" s="9" t="s">
        <v>116</v>
      </c>
      <c r="G69" s="9"/>
      <c r="H69" s="9" t="n">
        <v>3</v>
      </c>
      <c r="I69" s="9" t="s">
        <v>117</v>
      </c>
    </row>
    <row r="70" customFormat="false" ht="15" hidden="false" customHeight="false" outlineLevel="0" collapsed="false">
      <c r="A70" s="9" t="s">
        <v>1636</v>
      </c>
      <c r="B70" s="9" t="s">
        <v>1637</v>
      </c>
      <c r="C70" s="9" t="s">
        <v>405</v>
      </c>
      <c r="D70" s="9" t="s">
        <v>404</v>
      </c>
      <c r="E70" s="9" t="s">
        <v>237</v>
      </c>
      <c r="F70" s="9" t="s">
        <v>116</v>
      </c>
      <c r="G70" s="9"/>
      <c r="H70" s="9" t="n">
        <v>4</v>
      </c>
      <c r="I70" s="9" t="s">
        <v>117</v>
      </c>
    </row>
    <row r="71" customFormat="false" ht="15" hidden="false" customHeight="false" outlineLevel="0" collapsed="false">
      <c r="A71" s="9" t="s">
        <v>1576</v>
      </c>
      <c r="B71" s="9" t="s">
        <v>1638</v>
      </c>
      <c r="C71" s="9" t="s">
        <v>405</v>
      </c>
      <c r="D71" s="9" t="s">
        <v>404</v>
      </c>
      <c r="E71" s="9" t="s">
        <v>237</v>
      </c>
      <c r="F71" s="9" t="s">
        <v>116</v>
      </c>
      <c r="G71" s="9"/>
      <c r="H71" s="9" t="n">
        <v>5</v>
      </c>
      <c r="I71" s="9" t="s">
        <v>117</v>
      </c>
    </row>
    <row r="72" customFormat="false" ht="15" hidden="false" customHeight="false" outlineLevel="0" collapsed="false">
      <c r="A72" s="9" t="s">
        <v>1639</v>
      </c>
      <c r="B72" s="9" t="s">
        <v>1640</v>
      </c>
      <c r="C72" s="9" t="s">
        <v>407</v>
      </c>
      <c r="D72" s="9" t="s">
        <v>406</v>
      </c>
      <c r="E72" s="9" t="s">
        <v>106</v>
      </c>
      <c r="F72" s="9" t="s">
        <v>108</v>
      </c>
      <c r="G72" s="9"/>
      <c r="H72" s="9" t="n">
        <v>3</v>
      </c>
      <c r="I72" s="9" t="s">
        <v>143</v>
      </c>
    </row>
    <row r="73" customFormat="false" ht="15" hidden="false" customHeight="false" outlineLevel="0" collapsed="false">
      <c r="A73" s="9" t="s">
        <v>1641</v>
      </c>
      <c r="B73" s="9" t="s">
        <v>1642</v>
      </c>
      <c r="C73" s="9" t="s">
        <v>413</v>
      </c>
      <c r="D73" s="9" t="s">
        <v>412</v>
      </c>
      <c r="E73" s="9" t="s">
        <v>120</v>
      </c>
      <c r="F73" s="9" t="s">
        <v>116</v>
      </c>
      <c r="G73" s="9"/>
      <c r="H73" s="9" t="n">
        <v>2</v>
      </c>
      <c r="I73" s="9" t="s">
        <v>117</v>
      </c>
    </row>
    <row r="74" customFormat="false" ht="15" hidden="false" customHeight="false" outlineLevel="0" collapsed="false">
      <c r="A74" s="9" t="s">
        <v>1643</v>
      </c>
      <c r="B74" s="9" t="s">
        <v>1644</v>
      </c>
      <c r="C74" s="9" t="s">
        <v>413</v>
      </c>
      <c r="D74" s="9" t="s">
        <v>412</v>
      </c>
      <c r="E74" s="9" t="s">
        <v>120</v>
      </c>
      <c r="F74" s="9" t="s">
        <v>116</v>
      </c>
      <c r="G74" s="9"/>
      <c r="H74" s="9" t="n">
        <v>4</v>
      </c>
      <c r="I74" s="9" t="s">
        <v>117</v>
      </c>
    </row>
    <row r="75" customFormat="false" ht="15" hidden="false" customHeight="false" outlineLevel="0" collapsed="false">
      <c r="A75" s="9" t="s">
        <v>1645</v>
      </c>
      <c r="B75" s="9" t="s">
        <v>1646</v>
      </c>
      <c r="C75" s="9" t="s">
        <v>413</v>
      </c>
      <c r="D75" s="9" t="s">
        <v>412</v>
      </c>
      <c r="E75" s="9" t="s">
        <v>120</v>
      </c>
      <c r="F75" s="9" t="s">
        <v>116</v>
      </c>
      <c r="G75" s="9"/>
      <c r="H75" s="9" t="n">
        <v>7</v>
      </c>
      <c r="I75" s="9" t="s">
        <v>117</v>
      </c>
    </row>
    <row r="76" customFormat="false" ht="15" hidden="false" customHeight="false" outlineLevel="0" collapsed="false">
      <c r="A76" s="9" t="s">
        <v>1647</v>
      </c>
      <c r="B76" s="9" t="s">
        <v>1648</v>
      </c>
      <c r="C76" s="9" t="s">
        <v>413</v>
      </c>
      <c r="D76" s="9" t="s">
        <v>412</v>
      </c>
      <c r="E76" s="9" t="s">
        <v>120</v>
      </c>
      <c r="F76" s="9" t="s">
        <v>116</v>
      </c>
      <c r="G76" s="9"/>
      <c r="H76" s="9" t="n">
        <v>12</v>
      </c>
      <c r="I76" s="9" t="s">
        <v>117</v>
      </c>
    </row>
    <row r="77" customFormat="false" ht="15" hidden="false" customHeight="false" outlineLevel="0" collapsed="false">
      <c r="A77" s="9" t="s">
        <v>1620</v>
      </c>
      <c r="B77" s="9" t="s">
        <v>1649</v>
      </c>
      <c r="C77" s="9" t="s">
        <v>413</v>
      </c>
      <c r="D77" s="9" t="s">
        <v>412</v>
      </c>
      <c r="E77" s="9" t="s">
        <v>120</v>
      </c>
      <c r="F77" s="9" t="s">
        <v>116</v>
      </c>
      <c r="G77" s="9"/>
      <c r="H77" s="9" t="n">
        <v>13</v>
      </c>
      <c r="I77" s="9" t="s">
        <v>117</v>
      </c>
    </row>
    <row r="78" customFormat="false" ht="15" hidden="false" customHeight="false" outlineLevel="0" collapsed="false">
      <c r="A78" s="9" t="s">
        <v>1650</v>
      </c>
      <c r="B78" s="9" t="s">
        <v>1651</v>
      </c>
      <c r="C78" s="9" t="s">
        <v>413</v>
      </c>
      <c r="D78" s="9" t="s">
        <v>412</v>
      </c>
      <c r="E78" s="9" t="s">
        <v>120</v>
      </c>
      <c r="F78" s="9" t="s">
        <v>116</v>
      </c>
      <c r="G78" s="9"/>
      <c r="H78" s="9" t="n">
        <v>15</v>
      </c>
      <c r="I78" s="9" t="s">
        <v>117</v>
      </c>
    </row>
    <row r="79" customFormat="false" ht="15" hidden="false" customHeight="false" outlineLevel="0" collapsed="false">
      <c r="A79" s="9" t="s">
        <v>1652</v>
      </c>
      <c r="B79" s="9" t="s">
        <v>1653</v>
      </c>
      <c r="C79" s="9" t="s">
        <v>413</v>
      </c>
      <c r="D79" s="9" t="s">
        <v>412</v>
      </c>
      <c r="E79" s="9" t="s">
        <v>120</v>
      </c>
      <c r="F79" s="9" t="s">
        <v>116</v>
      </c>
      <c r="G79" s="9"/>
      <c r="H79" s="9" t="n">
        <v>17</v>
      </c>
      <c r="I79" s="9" t="s">
        <v>117</v>
      </c>
    </row>
    <row r="80" customFormat="false" ht="15" hidden="false" customHeight="false" outlineLevel="0" collapsed="false">
      <c r="A80" s="9" t="s">
        <v>1654</v>
      </c>
      <c r="B80" s="9" t="s">
        <v>1655</v>
      </c>
      <c r="C80" s="9" t="s">
        <v>413</v>
      </c>
      <c r="D80" s="9" t="s">
        <v>412</v>
      </c>
      <c r="E80" s="9" t="s">
        <v>120</v>
      </c>
      <c r="F80" s="9" t="s">
        <v>116</v>
      </c>
      <c r="G80" s="9" t="s">
        <v>1631</v>
      </c>
      <c r="H80" s="9" t="n">
        <v>18</v>
      </c>
      <c r="I80" s="9" t="s">
        <v>117</v>
      </c>
    </row>
    <row r="81" customFormat="false" ht="15" hidden="false" customHeight="false" outlineLevel="0" collapsed="false">
      <c r="A81" s="9" t="s">
        <v>1656</v>
      </c>
      <c r="B81" s="9" t="s">
        <v>1657</v>
      </c>
      <c r="C81" s="9" t="s">
        <v>413</v>
      </c>
      <c r="D81" s="9" t="s">
        <v>412</v>
      </c>
      <c r="E81" s="9" t="s">
        <v>120</v>
      </c>
      <c r="F81" s="9" t="s">
        <v>116</v>
      </c>
      <c r="G81" s="9"/>
      <c r="H81" s="9" t="n">
        <v>20</v>
      </c>
      <c r="I81" s="9" t="s">
        <v>117</v>
      </c>
    </row>
    <row r="82" customFormat="false" ht="15" hidden="false" customHeight="false" outlineLevel="0" collapsed="false">
      <c r="A82" s="9" t="s">
        <v>1658</v>
      </c>
      <c r="B82" s="9" t="s">
        <v>1659</v>
      </c>
      <c r="C82" s="9" t="s">
        <v>413</v>
      </c>
      <c r="D82" s="9" t="s">
        <v>412</v>
      </c>
      <c r="E82" s="9" t="s">
        <v>120</v>
      </c>
      <c r="F82" s="9" t="s">
        <v>116</v>
      </c>
      <c r="G82" s="9" t="s">
        <v>1510</v>
      </c>
      <c r="H82" s="9" t="n">
        <v>21</v>
      </c>
      <c r="I82" s="9" t="s">
        <v>117</v>
      </c>
    </row>
    <row r="83" customFormat="false" ht="15" hidden="false" customHeight="false" outlineLevel="0" collapsed="false">
      <c r="A83" s="9" t="s">
        <v>1660</v>
      </c>
      <c r="B83" s="9" t="s">
        <v>1661</v>
      </c>
      <c r="C83" s="9" t="s">
        <v>413</v>
      </c>
      <c r="D83" s="9" t="s">
        <v>412</v>
      </c>
      <c r="E83" s="9" t="s">
        <v>120</v>
      </c>
      <c r="F83" s="9" t="s">
        <v>116</v>
      </c>
      <c r="G83" s="9" t="s">
        <v>1510</v>
      </c>
      <c r="H83" s="9" t="n">
        <v>24</v>
      </c>
      <c r="I83" s="9" t="s">
        <v>117</v>
      </c>
    </row>
    <row r="84" customFormat="false" ht="15" hidden="false" customHeight="false" outlineLevel="0" collapsed="false">
      <c r="A84" s="9" t="s">
        <v>1662</v>
      </c>
      <c r="B84" s="9" t="s">
        <v>1663</v>
      </c>
      <c r="C84" s="9" t="s">
        <v>413</v>
      </c>
      <c r="D84" s="9" t="s">
        <v>412</v>
      </c>
      <c r="E84" s="9" t="s">
        <v>120</v>
      </c>
      <c r="F84" s="9" t="s">
        <v>116</v>
      </c>
      <c r="G84" s="9" t="s">
        <v>1510</v>
      </c>
      <c r="H84" s="9" t="n">
        <v>29</v>
      </c>
      <c r="I84" s="9" t="s">
        <v>117</v>
      </c>
    </row>
    <row r="85" customFormat="false" ht="15" hidden="false" customHeight="false" outlineLevel="0" collapsed="false">
      <c r="A85" s="9" t="s">
        <v>1664</v>
      </c>
      <c r="B85" s="9" t="s">
        <v>1665</v>
      </c>
      <c r="C85" s="9" t="s">
        <v>415</v>
      </c>
      <c r="D85" s="9" t="s">
        <v>414</v>
      </c>
      <c r="E85" s="9" t="s">
        <v>146</v>
      </c>
      <c r="F85" s="9" t="s">
        <v>152</v>
      </c>
      <c r="G85" s="9"/>
      <c r="H85" s="9" t="n">
        <v>1</v>
      </c>
      <c r="I85" s="9" t="s">
        <v>117</v>
      </c>
    </row>
    <row r="86" customFormat="false" ht="15" hidden="false" customHeight="false" outlineLevel="0" collapsed="false">
      <c r="A86" s="9" t="s">
        <v>1666</v>
      </c>
      <c r="B86" s="9" t="s">
        <v>1667</v>
      </c>
      <c r="C86" s="9" t="s">
        <v>415</v>
      </c>
      <c r="D86" s="9" t="s">
        <v>414</v>
      </c>
      <c r="E86" s="9" t="s">
        <v>146</v>
      </c>
      <c r="F86" s="9" t="s">
        <v>152</v>
      </c>
      <c r="G86" s="9" t="s">
        <v>1510</v>
      </c>
      <c r="H86" s="9" t="n">
        <v>10</v>
      </c>
      <c r="I86" s="9" t="s">
        <v>117</v>
      </c>
    </row>
    <row r="87" customFormat="false" ht="15" hidden="false" customHeight="false" outlineLevel="0" collapsed="false">
      <c r="A87" s="9" t="s">
        <v>1668</v>
      </c>
      <c r="B87" s="9" t="s">
        <v>1669</v>
      </c>
      <c r="C87" s="9" t="s">
        <v>415</v>
      </c>
      <c r="D87" s="9" t="s">
        <v>414</v>
      </c>
      <c r="E87" s="9" t="s">
        <v>146</v>
      </c>
      <c r="F87" s="9" t="s">
        <v>152</v>
      </c>
      <c r="G87" s="9"/>
      <c r="H87" s="9" t="n">
        <v>15</v>
      </c>
      <c r="I87" s="9" t="s">
        <v>117</v>
      </c>
    </row>
    <row r="88" customFormat="false" ht="15" hidden="false" customHeight="false" outlineLevel="0" collapsed="false">
      <c r="A88" s="9" t="s">
        <v>1544</v>
      </c>
      <c r="B88" s="9" t="s">
        <v>1670</v>
      </c>
      <c r="C88" s="9" t="s">
        <v>415</v>
      </c>
      <c r="D88" s="9" t="s">
        <v>414</v>
      </c>
      <c r="E88" s="9" t="s">
        <v>146</v>
      </c>
      <c r="F88" s="9" t="s">
        <v>152</v>
      </c>
      <c r="G88" s="9" t="s">
        <v>1510</v>
      </c>
      <c r="H88" s="9" t="n">
        <v>16</v>
      </c>
      <c r="I88" s="9" t="s">
        <v>117</v>
      </c>
    </row>
    <row r="89" customFormat="false" ht="15" hidden="false" customHeight="false" outlineLevel="0" collapsed="false">
      <c r="A89" s="9" t="s">
        <v>1671</v>
      </c>
      <c r="B89" s="9" t="s">
        <v>1672</v>
      </c>
      <c r="C89" s="9" t="s">
        <v>415</v>
      </c>
      <c r="D89" s="9" t="s">
        <v>414</v>
      </c>
      <c r="E89" s="9" t="s">
        <v>146</v>
      </c>
      <c r="F89" s="9" t="s">
        <v>152</v>
      </c>
      <c r="G89" s="9" t="s">
        <v>1510</v>
      </c>
      <c r="H89" s="9" t="n">
        <v>17</v>
      </c>
      <c r="I89" s="9" t="s">
        <v>117</v>
      </c>
    </row>
    <row r="90" customFormat="false" ht="15" hidden="false" customHeight="false" outlineLevel="0" collapsed="false">
      <c r="A90" s="9" t="s">
        <v>1673</v>
      </c>
      <c r="B90" s="9" t="s">
        <v>1674</v>
      </c>
      <c r="C90" s="9" t="s">
        <v>415</v>
      </c>
      <c r="D90" s="9" t="s">
        <v>414</v>
      </c>
      <c r="E90" s="9" t="s">
        <v>146</v>
      </c>
      <c r="F90" s="9" t="s">
        <v>152</v>
      </c>
      <c r="G90" s="9" t="s">
        <v>1510</v>
      </c>
      <c r="H90" s="9" t="n">
        <v>18</v>
      </c>
      <c r="I90" s="9" t="s">
        <v>117</v>
      </c>
    </row>
    <row r="91" customFormat="false" ht="15" hidden="false" customHeight="false" outlineLevel="0" collapsed="false">
      <c r="A91" s="9" t="s">
        <v>1675</v>
      </c>
      <c r="B91" s="9" t="s">
        <v>1676</v>
      </c>
      <c r="C91" s="9" t="s">
        <v>415</v>
      </c>
      <c r="D91" s="9" t="s">
        <v>414</v>
      </c>
      <c r="E91" s="9" t="s">
        <v>146</v>
      </c>
      <c r="F91" s="9" t="s">
        <v>152</v>
      </c>
      <c r="G91" s="9" t="s">
        <v>1510</v>
      </c>
      <c r="H91" s="9" t="n">
        <v>20</v>
      </c>
      <c r="I91" s="9" t="s">
        <v>117</v>
      </c>
    </row>
    <row r="92" customFormat="false" ht="15" hidden="false" customHeight="false" outlineLevel="0" collapsed="false">
      <c r="A92" s="9" t="s">
        <v>1677</v>
      </c>
      <c r="B92" s="9" t="s">
        <v>1678</v>
      </c>
      <c r="C92" s="9" t="s">
        <v>417</v>
      </c>
      <c r="D92" s="9" t="s">
        <v>416</v>
      </c>
      <c r="E92" s="9" t="s">
        <v>133</v>
      </c>
      <c r="F92" s="9" t="s">
        <v>134</v>
      </c>
      <c r="G92" s="9" t="s">
        <v>1631</v>
      </c>
      <c r="H92" s="9" t="n">
        <v>2</v>
      </c>
      <c r="I92" s="9" t="s">
        <v>135</v>
      </c>
    </row>
    <row r="93" customFormat="false" ht="15" hidden="false" customHeight="false" outlineLevel="0" collapsed="false">
      <c r="A93" s="9" t="s">
        <v>1679</v>
      </c>
      <c r="B93" s="9" t="s">
        <v>1680</v>
      </c>
      <c r="C93" s="9" t="s">
        <v>417</v>
      </c>
      <c r="D93" s="9" t="s">
        <v>416</v>
      </c>
      <c r="E93" s="9" t="s">
        <v>133</v>
      </c>
      <c r="F93" s="9" t="s">
        <v>134</v>
      </c>
      <c r="G93" s="9"/>
      <c r="H93" s="9" t="n">
        <v>3</v>
      </c>
      <c r="I93" s="9" t="s">
        <v>135</v>
      </c>
    </row>
    <row r="94" customFormat="false" ht="15" hidden="false" customHeight="false" outlineLevel="0" collapsed="false">
      <c r="A94" s="9" t="s">
        <v>1681</v>
      </c>
      <c r="B94" s="9" t="s">
        <v>1682</v>
      </c>
      <c r="C94" s="9" t="s">
        <v>420</v>
      </c>
      <c r="D94" s="9" t="s">
        <v>419</v>
      </c>
      <c r="E94" s="9" t="s">
        <v>146</v>
      </c>
      <c r="F94" s="9" t="s">
        <v>116</v>
      </c>
      <c r="G94" s="9" t="s">
        <v>1631</v>
      </c>
      <c r="H94" s="9" t="n">
        <v>1</v>
      </c>
      <c r="I94" s="9" t="s">
        <v>117</v>
      </c>
    </row>
    <row r="95" customFormat="false" ht="15" hidden="false" customHeight="false" outlineLevel="0" collapsed="false">
      <c r="A95" s="9" t="s">
        <v>1683</v>
      </c>
      <c r="B95" s="9" t="s">
        <v>1684</v>
      </c>
      <c r="C95" s="9" t="s">
        <v>420</v>
      </c>
      <c r="D95" s="9" t="s">
        <v>419</v>
      </c>
      <c r="E95" s="9" t="s">
        <v>146</v>
      </c>
      <c r="F95" s="9" t="s">
        <v>116</v>
      </c>
      <c r="G95" s="9"/>
      <c r="H95" s="9" t="n">
        <v>2</v>
      </c>
      <c r="I95" s="9" t="s">
        <v>117</v>
      </c>
    </row>
    <row r="96" customFormat="false" ht="15" hidden="false" customHeight="false" outlineLevel="0" collapsed="false">
      <c r="A96" s="9" t="s">
        <v>1685</v>
      </c>
      <c r="B96" s="9" t="s">
        <v>1686</v>
      </c>
      <c r="C96" s="9" t="s">
        <v>420</v>
      </c>
      <c r="D96" s="9" t="s">
        <v>419</v>
      </c>
      <c r="E96" s="9" t="s">
        <v>146</v>
      </c>
      <c r="F96" s="9" t="s">
        <v>116</v>
      </c>
      <c r="G96" s="9"/>
      <c r="H96" s="9" t="n">
        <v>5</v>
      </c>
      <c r="I96" s="9" t="s">
        <v>117</v>
      </c>
    </row>
    <row r="97" customFormat="false" ht="15" hidden="false" customHeight="false" outlineLevel="0" collapsed="false">
      <c r="A97" s="9" t="s">
        <v>1687</v>
      </c>
      <c r="B97" s="9" t="s">
        <v>1686</v>
      </c>
      <c r="C97" s="9" t="s">
        <v>420</v>
      </c>
      <c r="D97" s="9" t="s">
        <v>419</v>
      </c>
      <c r="E97" s="9" t="s">
        <v>146</v>
      </c>
      <c r="F97" s="9" t="s">
        <v>116</v>
      </c>
      <c r="G97" s="9"/>
      <c r="H97" s="9" t="n">
        <v>6</v>
      </c>
      <c r="I97" s="9" t="s">
        <v>117</v>
      </c>
    </row>
    <row r="98" customFormat="false" ht="15" hidden="false" customHeight="false" outlineLevel="0" collapsed="false">
      <c r="A98" s="9" t="s">
        <v>1688</v>
      </c>
      <c r="B98" s="9" t="s">
        <v>1689</v>
      </c>
      <c r="C98" s="9" t="s">
        <v>422</v>
      </c>
      <c r="D98" s="9" t="s">
        <v>421</v>
      </c>
      <c r="E98" s="9" t="s">
        <v>216</v>
      </c>
      <c r="F98" s="9" t="s">
        <v>125</v>
      </c>
      <c r="G98" s="9"/>
      <c r="H98" s="9" t="n">
        <v>2</v>
      </c>
      <c r="I98" s="9" t="s">
        <v>135</v>
      </c>
    </row>
    <row r="99" customFormat="false" ht="15" hidden="false" customHeight="false" outlineLevel="0" collapsed="false">
      <c r="A99" s="9" t="s">
        <v>1690</v>
      </c>
      <c r="B99" s="9" t="s">
        <v>1691</v>
      </c>
      <c r="C99" s="9" t="s">
        <v>422</v>
      </c>
      <c r="D99" s="9" t="s">
        <v>421</v>
      </c>
      <c r="E99" s="9" t="s">
        <v>216</v>
      </c>
      <c r="F99" s="9" t="s">
        <v>125</v>
      </c>
      <c r="G99" s="9"/>
      <c r="H99" s="9" t="n">
        <v>5</v>
      </c>
      <c r="I99" s="9" t="s">
        <v>135</v>
      </c>
    </row>
    <row r="100" customFormat="false" ht="15" hidden="false" customHeight="false" outlineLevel="0" collapsed="false">
      <c r="A100" s="9" t="s">
        <v>1692</v>
      </c>
      <c r="B100" s="9" t="s">
        <v>1693</v>
      </c>
      <c r="C100" s="9" t="s">
        <v>422</v>
      </c>
      <c r="D100" s="9" t="s">
        <v>421</v>
      </c>
      <c r="E100" s="9" t="s">
        <v>216</v>
      </c>
      <c r="F100" s="9" t="s">
        <v>125</v>
      </c>
      <c r="G100" s="9" t="s">
        <v>1510</v>
      </c>
      <c r="H100" s="9" t="n">
        <v>6</v>
      </c>
      <c r="I100" s="9" t="s">
        <v>135</v>
      </c>
    </row>
    <row r="101" customFormat="false" ht="15" hidden="false" customHeight="false" outlineLevel="0" collapsed="false">
      <c r="A101" s="9" t="s">
        <v>1694</v>
      </c>
      <c r="B101" s="9" t="s">
        <v>1689</v>
      </c>
      <c r="C101" s="9" t="s">
        <v>422</v>
      </c>
      <c r="D101" s="9" t="s">
        <v>421</v>
      </c>
      <c r="E101" s="9" t="s">
        <v>216</v>
      </c>
      <c r="F101" s="9" t="s">
        <v>125</v>
      </c>
      <c r="G101" s="9"/>
      <c r="H101" s="9" t="n">
        <v>7</v>
      </c>
      <c r="I101" s="9" t="s">
        <v>135</v>
      </c>
    </row>
    <row r="102" customFormat="false" ht="15" hidden="false" customHeight="false" outlineLevel="0" collapsed="false">
      <c r="A102" s="9" t="s">
        <v>1695</v>
      </c>
      <c r="B102" s="9" t="s">
        <v>1696</v>
      </c>
      <c r="C102" s="9" t="s">
        <v>424</v>
      </c>
      <c r="D102" s="9" t="s">
        <v>423</v>
      </c>
      <c r="E102" s="9" t="s">
        <v>120</v>
      </c>
      <c r="F102" s="9" t="s">
        <v>152</v>
      </c>
      <c r="G102" s="9"/>
      <c r="H102" s="9" t="n">
        <v>3</v>
      </c>
      <c r="I102" s="9" t="s">
        <v>117</v>
      </c>
    </row>
    <row r="103" customFormat="false" ht="15" hidden="false" customHeight="false" outlineLevel="0" collapsed="false">
      <c r="A103" s="9" t="s">
        <v>1650</v>
      </c>
      <c r="B103" s="9" t="s">
        <v>1697</v>
      </c>
      <c r="C103" s="9" t="s">
        <v>424</v>
      </c>
      <c r="D103" s="9" t="s">
        <v>423</v>
      </c>
      <c r="E103" s="9" t="s">
        <v>120</v>
      </c>
      <c r="F103" s="9" t="s">
        <v>152</v>
      </c>
      <c r="G103" s="9"/>
      <c r="H103" s="9" t="n">
        <v>6</v>
      </c>
      <c r="I103" s="9" t="s">
        <v>117</v>
      </c>
    </row>
    <row r="104" customFormat="false" ht="15" hidden="false" customHeight="false" outlineLevel="0" collapsed="false">
      <c r="A104" s="9" t="s">
        <v>1698</v>
      </c>
      <c r="B104" s="9" t="s">
        <v>1699</v>
      </c>
      <c r="C104" s="9" t="s">
        <v>424</v>
      </c>
      <c r="D104" s="9" t="s">
        <v>423</v>
      </c>
      <c r="E104" s="9" t="s">
        <v>120</v>
      </c>
      <c r="F104" s="9" t="s">
        <v>152</v>
      </c>
      <c r="G104" s="9"/>
      <c r="H104" s="9" t="n">
        <v>7</v>
      </c>
      <c r="I104" s="9" t="s">
        <v>117</v>
      </c>
    </row>
    <row r="105" customFormat="false" ht="15" hidden="false" customHeight="false" outlineLevel="0" collapsed="false">
      <c r="A105" s="9" t="s">
        <v>1700</v>
      </c>
      <c r="B105" s="9" t="s">
        <v>1701</v>
      </c>
      <c r="C105" s="9" t="s">
        <v>424</v>
      </c>
      <c r="D105" s="9" t="s">
        <v>423</v>
      </c>
      <c r="E105" s="9" t="s">
        <v>120</v>
      </c>
      <c r="F105" s="9" t="s">
        <v>152</v>
      </c>
      <c r="G105" s="9"/>
      <c r="H105" s="9" t="n">
        <v>8</v>
      </c>
      <c r="I105" s="9" t="s">
        <v>117</v>
      </c>
    </row>
    <row r="106" customFormat="false" ht="15" hidden="false" customHeight="false" outlineLevel="0" collapsed="false">
      <c r="A106" s="9" t="s">
        <v>1702</v>
      </c>
      <c r="B106" s="9" t="s">
        <v>1703</v>
      </c>
      <c r="C106" s="9" t="s">
        <v>424</v>
      </c>
      <c r="D106" s="9" t="s">
        <v>423</v>
      </c>
      <c r="E106" s="9" t="s">
        <v>120</v>
      </c>
      <c r="F106" s="9" t="s">
        <v>152</v>
      </c>
      <c r="G106" s="9"/>
      <c r="H106" s="9" t="n">
        <v>9</v>
      </c>
      <c r="I106" s="9" t="s">
        <v>117</v>
      </c>
    </row>
    <row r="107" customFormat="false" ht="15" hidden="false" customHeight="false" outlineLevel="0" collapsed="false">
      <c r="A107" s="9" t="s">
        <v>1704</v>
      </c>
      <c r="B107" s="9" t="s">
        <v>1705</v>
      </c>
      <c r="C107" s="9" t="s">
        <v>424</v>
      </c>
      <c r="D107" s="9" t="s">
        <v>423</v>
      </c>
      <c r="E107" s="9" t="s">
        <v>120</v>
      </c>
      <c r="F107" s="9" t="s">
        <v>152</v>
      </c>
      <c r="G107" s="9"/>
      <c r="H107" s="9" t="n">
        <v>13</v>
      </c>
      <c r="I107" s="9" t="s">
        <v>117</v>
      </c>
    </row>
    <row r="108" customFormat="false" ht="15" hidden="false" customHeight="false" outlineLevel="0" collapsed="false">
      <c r="A108" s="9" t="s">
        <v>1706</v>
      </c>
      <c r="B108" s="9" t="s">
        <v>1707</v>
      </c>
      <c r="C108" s="9" t="s">
        <v>424</v>
      </c>
      <c r="D108" s="9" t="s">
        <v>423</v>
      </c>
      <c r="E108" s="9" t="s">
        <v>120</v>
      </c>
      <c r="F108" s="9" t="s">
        <v>152</v>
      </c>
      <c r="G108" s="9" t="s">
        <v>1510</v>
      </c>
      <c r="H108" s="9" t="n">
        <v>14</v>
      </c>
      <c r="I108" s="9" t="s">
        <v>117</v>
      </c>
    </row>
    <row r="109" customFormat="false" ht="15" hidden="false" customHeight="false" outlineLevel="0" collapsed="false">
      <c r="A109" s="9" t="s">
        <v>1708</v>
      </c>
      <c r="B109" s="9" t="s">
        <v>1709</v>
      </c>
      <c r="C109" s="9" t="s">
        <v>424</v>
      </c>
      <c r="D109" s="9" t="s">
        <v>423</v>
      </c>
      <c r="E109" s="9" t="s">
        <v>120</v>
      </c>
      <c r="F109" s="9" t="s">
        <v>152</v>
      </c>
      <c r="G109" s="9"/>
      <c r="H109" s="9" t="n">
        <v>17</v>
      </c>
      <c r="I109" s="9" t="s">
        <v>117</v>
      </c>
    </row>
    <row r="110" customFormat="false" ht="15" hidden="false" customHeight="false" outlineLevel="0" collapsed="false">
      <c r="A110" s="9" t="s">
        <v>1710</v>
      </c>
      <c r="B110" s="9" t="s">
        <v>1711</v>
      </c>
      <c r="C110" s="9" t="s">
        <v>424</v>
      </c>
      <c r="D110" s="9" t="s">
        <v>423</v>
      </c>
      <c r="E110" s="9" t="s">
        <v>120</v>
      </c>
      <c r="F110" s="9" t="s">
        <v>152</v>
      </c>
      <c r="G110" s="9" t="s">
        <v>1510</v>
      </c>
      <c r="H110" s="9" t="n">
        <v>24</v>
      </c>
      <c r="I110" s="9" t="s">
        <v>117</v>
      </c>
    </row>
    <row r="111" customFormat="false" ht="15" hidden="false" customHeight="false" outlineLevel="0" collapsed="false">
      <c r="A111" s="9" t="s">
        <v>1712</v>
      </c>
      <c r="B111" s="9" t="s">
        <v>1713</v>
      </c>
      <c r="C111" s="9" t="s">
        <v>424</v>
      </c>
      <c r="D111" s="9" t="s">
        <v>423</v>
      </c>
      <c r="E111" s="9" t="s">
        <v>120</v>
      </c>
      <c r="F111" s="9" t="s">
        <v>152</v>
      </c>
      <c r="G111" s="9"/>
      <c r="H111" s="9" t="n">
        <v>25</v>
      </c>
      <c r="I111" s="9" t="s">
        <v>117</v>
      </c>
    </row>
    <row r="112" customFormat="false" ht="15" hidden="false" customHeight="false" outlineLevel="0" collapsed="false">
      <c r="A112" s="9" t="s">
        <v>1714</v>
      </c>
      <c r="B112" s="9" t="s">
        <v>1715</v>
      </c>
      <c r="C112" s="9" t="s">
        <v>424</v>
      </c>
      <c r="D112" s="9" t="s">
        <v>423</v>
      </c>
      <c r="E112" s="9" t="s">
        <v>120</v>
      </c>
      <c r="F112" s="9" t="s">
        <v>152</v>
      </c>
      <c r="G112" s="9" t="s">
        <v>1510</v>
      </c>
      <c r="H112" s="9" t="n">
        <v>27</v>
      </c>
      <c r="I112" s="9" t="s">
        <v>117</v>
      </c>
    </row>
    <row r="113" customFormat="false" ht="15" hidden="false" customHeight="false" outlineLevel="0" collapsed="false">
      <c r="A113" s="9" t="s">
        <v>1716</v>
      </c>
      <c r="B113" s="9" t="s">
        <v>1717</v>
      </c>
      <c r="C113" s="9" t="s">
        <v>424</v>
      </c>
      <c r="D113" s="9" t="s">
        <v>423</v>
      </c>
      <c r="E113" s="9" t="s">
        <v>120</v>
      </c>
      <c r="F113" s="9" t="s">
        <v>152</v>
      </c>
      <c r="G113" s="9" t="s">
        <v>1510</v>
      </c>
      <c r="H113" s="9" t="n">
        <v>28</v>
      </c>
      <c r="I113" s="9" t="s">
        <v>117</v>
      </c>
    </row>
    <row r="114" customFormat="false" ht="15" hidden="false" customHeight="false" outlineLevel="0" collapsed="false">
      <c r="A114" s="9" t="s">
        <v>1718</v>
      </c>
      <c r="B114" s="9" t="s">
        <v>1719</v>
      </c>
      <c r="C114" s="9" t="s">
        <v>424</v>
      </c>
      <c r="D114" s="9" t="s">
        <v>423</v>
      </c>
      <c r="E114" s="9" t="s">
        <v>120</v>
      </c>
      <c r="F114" s="9" t="s">
        <v>152</v>
      </c>
      <c r="G114" s="9" t="s">
        <v>1510</v>
      </c>
      <c r="H114" s="9" t="n">
        <v>31</v>
      </c>
      <c r="I114" s="9" t="s">
        <v>117</v>
      </c>
    </row>
    <row r="115" customFormat="false" ht="15" hidden="false" customHeight="false" outlineLevel="0" collapsed="false">
      <c r="A115" s="9" t="s">
        <v>1720</v>
      </c>
      <c r="B115" s="9" t="s">
        <v>1721</v>
      </c>
      <c r="C115" s="9" t="s">
        <v>424</v>
      </c>
      <c r="D115" s="9" t="s">
        <v>423</v>
      </c>
      <c r="E115" s="9" t="s">
        <v>120</v>
      </c>
      <c r="F115" s="9" t="s">
        <v>152</v>
      </c>
      <c r="G115" s="9" t="s">
        <v>1510</v>
      </c>
      <c r="H115" s="9" t="n">
        <v>34</v>
      </c>
      <c r="I115" s="9" t="s">
        <v>117</v>
      </c>
    </row>
    <row r="116" customFormat="false" ht="15" hidden="false" customHeight="false" outlineLevel="0" collapsed="false">
      <c r="A116" s="9" t="s">
        <v>1722</v>
      </c>
      <c r="B116" s="9" t="s">
        <v>1723</v>
      </c>
      <c r="C116" s="9" t="s">
        <v>424</v>
      </c>
      <c r="D116" s="9" t="s">
        <v>423</v>
      </c>
      <c r="E116" s="9" t="s">
        <v>120</v>
      </c>
      <c r="F116" s="9" t="s">
        <v>152</v>
      </c>
      <c r="G116" s="9" t="s">
        <v>1510</v>
      </c>
      <c r="H116" s="9" t="n">
        <v>39</v>
      </c>
      <c r="I116" s="9" t="s">
        <v>117</v>
      </c>
    </row>
    <row r="117" customFormat="false" ht="15" hidden="false" customHeight="false" outlineLevel="0" collapsed="false">
      <c r="A117" s="9" t="s">
        <v>1724</v>
      </c>
      <c r="B117" s="9" t="s">
        <v>1725</v>
      </c>
      <c r="C117" s="9" t="s">
        <v>424</v>
      </c>
      <c r="D117" s="9" t="s">
        <v>423</v>
      </c>
      <c r="E117" s="9" t="s">
        <v>120</v>
      </c>
      <c r="F117" s="9" t="s">
        <v>152</v>
      </c>
      <c r="G117" s="9" t="s">
        <v>1510</v>
      </c>
      <c r="H117" s="9" t="n">
        <v>41</v>
      </c>
      <c r="I117" s="9" t="s">
        <v>117</v>
      </c>
    </row>
    <row r="118" customFormat="false" ht="15" hidden="false" customHeight="false" outlineLevel="0" collapsed="false">
      <c r="A118" s="9" t="s">
        <v>1726</v>
      </c>
      <c r="B118" s="9" t="s">
        <v>1727</v>
      </c>
      <c r="C118" s="9" t="s">
        <v>428</v>
      </c>
      <c r="D118" s="9" t="s">
        <v>427</v>
      </c>
      <c r="E118" s="9" t="s">
        <v>428</v>
      </c>
      <c r="F118" s="9" t="s">
        <v>125</v>
      </c>
      <c r="G118" s="9"/>
      <c r="H118" s="9" t="n">
        <v>4</v>
      </c>
      <c r="I118" s="9" t="s">
        <v>117</v>
      </c>
    </row>
    <row r="119" customFormat="false" ht="15" hidden="false" customHeight="false" outlineLevel="0" collapsed="false">
      <c r="A119" s="9" t="s">
        <v>1728</v>
      </c>
      <c r="B119" s="9" t="s">
        <v>1729</v>
      </c>
      <c r="C119" s="9" t="s">
        <v>428</v>
      </c>
      <c r="D119" s="9" t="s">
        <v>427</v>
      </c>
      <c r="E119" s="9" t="s">
        <v>428</v>
      </c>
      <c r="F119" s="9" t="s">
        <v>125</v>
      </c>
      <c r="G119" s="9"/>
      <c r="H119" s="9" t="n">
        <v>8</v>
      </c>
      <c r="I119" s="9" t="s">
        <v>117</v>
      </c>
    </row>
    <row r="120" customFormat="false" ht="15" hidden="false" customHeight="false" outlineLevel="0" collapsed="false">
      <c r="A120" s="9" t="s">
        <v>1730</v>
      </c>
      <c r="B120" s="9" t="s">
        <v>1731</v>
      </c>
      <c r="C120" s="9" t="s">
        <v>428</v>
      </c>
      <c r="D120" s="9" t="s">
        <v>427</v>
      </c>
      <c r="E120" s="9" t="s">
        <v>428</v>
      </c>
      <c r="F120" s="9" t="s">
        <v>125</v>
      </c>
      <c r="G120" s="9"/>
      <c r="H120" s="9" t="n">
        <v>10</v>
      </c>
      <c r="I120" s="9" t="s">
        <v>117</v>
      </c>
    </row>
    <row r="121" customFormat="false" ht="15" hidden="false" customHeight="false" outlineLevel="0" collapsed="false">
      <c r="A121" s="9" t="s">
        <v>1732</v>
      </c>
      <c r="B121" s="9" t="s">
        <v>1733</v>
      </c>
      <c r="C121" s="9" t="s">
        <v>428</v>
      </c>
      <c r="D121" s="9" t="s">
        <v>427</v>
      </c>
      <c r="E121" s="9" t="s">
        <v>428</v>
      </c>
      <c r="F121" s="9" t="s">
        <v>125</v>
      </c>
      <c r="G121" s="9"/>
      <c r="H121" s="9" t="n">
        <v>13</v>
      </c>
      <c r="I121" s="9" t="s">
        <v>117</v>
      </c>
    </row>
    <row r="122" customFormat="false" ht="15" hidden="false" customHeight="false" outlineLevel="0" collapsed="false">
      <c r="A122" s="9" t="s">
        <v>1734</v>
      </c>
      <c r="B122" s="9" t="s">
        <v>1735</v>
      </c>
      <c r="C122" s="9" t="s">
        <v>428</v>
      </c>
      <c r="D122" s="9" t="s">
        <v>427</v>
      </c>
      <c r="E122" s="9" t="s">
        <v>428</v>
      </c>
      <c r="F122" s="9" t="s">
        <v>125</v>
      </c>
      <c r="G122" s="9"/>
      <c r="H122" s="9" t="n">
        <v>15</v>
      </c>
      <c r="I122" s="9" t="s">
        <v>117</v>
      </c>
    </row>
    <row r="123" customFormat="false" ht="15" hidden="false" customHeight="false" outlineLevel="0" collapsed="false">
      <c r="A123" s="9" t="s">
        <v>1736</v>
      </c>
      <c r="B123" s="9" t="s">
        <v>1737</v>
      </c>
      <c r="C123" s="9" t="s">
        <v>428</v>
      </c>
      <c r="D123" s="9" t="s">
        <v>427</v>
      </c>
      <c r="E123" s="9" t="s">
        <v>428</v>
      </c>
      <c r="F123" s="9" t="s">
        <v>125</v>
      </c>
      <c r="G123" s="9" t="s">
        <v>1510</v>
      </c>
      <c r="H123" s="9" t="n">
        <v>21</v>
      </c>
      <c r="I123" s="9" t="s">
        <v>117</v>
      </c>
    </row>
    <row r="124" customFormat="false" ht="15" hidden="false" customHeight="false" outlineLevel="0" collapsed="false">
      <c r="A124" s="9" t="s">
        <v>1506</v>
      </c>
      <c r="B124" s="9" t="s">
        <v>1738</v>
      </c>
      <c r="C124" s="9" t="s">
        <v>428</v>
      </c>
      <c r="D124" s="9" t="s">
        <v>427</v>
      </c>
      <c r="E124" s="9" t="s">
        <v>428</v>
      </c>
      <c r="F124" s="9" t="s">
        <v>125</v>
      </c>
      <c r="G124" s="9"/>
      <c r="H124" s="9" t="n">
        <v>22</v>
      </c>
      <c r="I124" s="9" t="s">
        <v>117</v>
      </c>
    </row>
    <row r="125" customFormat="false" ht="15" hidden="false" customHeight="false" outlineLevel="0" collapsed="false">
      <c r="A125" s="9" t="s">
        <v>1506</v>
      </c>
      <c r="B125" s="9" t="s">
        <v>1739</v>
      </c>
      <c r="C125" s="9" t="s">
        <v>428</v>
      </c>
      <c r="D125" s="9" t="s">
        <v>427</v>
      </c>
      <c r="E125" s="9" t="s">
        <v>428</v>
      </c>
      <c r="F125" s="9" t="s">
        <v>125</v>
      </c>
      <c r="G125" s="9"/>
      <c r="H125" s="9" t="n">
        <v>29</v>
      </c>
      <c r="I125" s="9" t="s">
        <v>117</v>
      </c>
    </row>
    <row r="126" customFormat="false" ht="15" hidden="false" customHeight="false" outlineLevel="0" collapsed="false">
      <c r="A126" s="9" t="s">
        <v>1740</v>
      </c>
      <c r="B126" s="9" t="s">
        <v>1741</v>
      </c>
      <c r="C126" s="9" t="s">
        <v>430</v>
      </c>
      <c r="D126" s="9" t="s">
        <v>429</v>
      </c>
      <c r="E126" s="9" t="s">
        <v>106</v>
      </c>
      <c r="F126" s="9" t="s">
        <v>102</v>
      </c>
      <c r="G126" s="9"/>
      <c r="H126" s="9" t="n">
        <v>2</v>
      </c>
      <c r="I126" s="9" t="s">
        <v>143</v>
      </c>
    </row>
    <row r="127" customFormat="false" ht="15" hidden="false" customHeight="false" outlineLevel="0" collapsed="false">
      <c r="A127" s="9" t="s">
        <v>1742</v>
      </c>
      <c r="B127" s="9" t="s">
        <v>1743</v>
      </c>
      <c r="C127" s="9" t="s">
        <v>432</v>
      </c>
      <c r="D127" s="9" t="s">
        <v>431</v>
      </c>
      <c r="E127" s="9" t="s">
        <v>133</v>
      </c>
      <c r="F127" s="9" t="s">
        <v>134</v>
      </c>
      <c r="G127" s="9"/>
      <c r="H127" s="9" t="n">
        <v>1</v>
      </c>
      <c r="I127" s="9" t="s">
        <v>135</v>
      </c>
    </row>
    <row r="128" customFormat="false" ht="15" hidden="false" customHeight="false" outlineLevel="0" collapsed="false">
      <c r="A128" s="9" t="s">
        <v>1744</v>
      </c>
      <c r="B128" s="9" t="s">
        <v>1745</v>
      </c>
      <c r="C128" s="9" t="s">
        <v>434</v>
      </c>
      <c r="D128" s="9" t="s">
        <v>433</v>
      </c>
      <c r="E128" s="9" t="s">
        <v>115</v>
      </c>
      <c r="F128" s="9" t="s">
        <v>116</v>
      </c>
      <c r="G128" s="9"/>
      <c r="H128" s="9" t="n">
        <v>5</v>
      </c>
      <c r="I128" s="9" t="s">
        <v>117</v>
      </c>
    </row>
    <row r="129" customFormat="false" ht="15" hidden="false" customHeight="false" outlineLevel="0" collapsed="false">
      <c r="A129" s="9" t="s">
        <v>1746</v>
      </c>
      <c r="B129" s="9" t="s">
        <v>1747</v>
      </c>
      <c r="C129" s="9" t="s">
        <v>434</v>
      </c>
      <c r="D129" s="9" t="s">
        <v>433</v>
      </c>
      <c r="E129" s="9" t="s">
        <v>115</v>
      </c>
      <c r="F129" s="9" t="s">
        <v>116</v>
      </c>
      <c r="G129" s="9"/>
      <c r="H129" s="9" t="n">
        <v>6</v>
      </c>
      <c r="I129" s="9" t="s">
        <v>117</v>
      </c>
    </row>
    <row r="130" customFormat="false" ht="15" hidden="false" customHeight="false" outlineLevel="0" collapsed="false">
      <c r="A130" s="9" t="s">
        <v>1748</v>
      </c>
      <c r="B130" s="9" t="s">
        <v>1749</v>
      </c>
      <c r="C130" s="9" t="s">
        <v>434</v>
      </c>
      <c r="D130" s="9" t="s">
        <v>433</v>
      </c>
      <c r="E130" s="9" t="s">
        <v>115</v>
      </c>
      <c r="F130" s="9" t="s">
        <v>116</v>
      </c>
      <c r="G130" s="9" t="s">
        <v>1543</v>
      </c>
      <c r="H130" s="9" t="n">
        <v>7</v>
      </c>
      <c r="I130" s="9" t="s">
        <v>117</v>
      </c>
    </row>
    <row r="131" customFormat="false" ht="15" hidden="false" customHeight="false" outlineLevel="0" collapsed="false">
      <c r="A131" s="9" t="s">
        <v>1750</v>
      </c>
      <c r="B131" s="9" t="s">
        <v>1751</v>
      </c>
      <c r="C131" s="9" t="s">
        <v>434</v>
      </c>
      <c r="D131" s="9" t="s">
        <v>433</v>
      </c>
      <c r="E131" s="9" t="s">
        <v>115</v>
      </c>
      <c r="F131" s="9" t="s">
        <v>116</v>
      </c>
      <c r="G131" s="9" t="s">
        <v>1510</v>
      </c>
      <c r="H131" s="9" t="n">
        <v>8</v>
      </c>
      <c r="I131" s="9" t="s">
        <v>117</v>
      </c>
    </row>
    <row r="132" customFormat="false" ht="15" hidden="false" customHeight="false" outlineLevel="0" collapsed="false">
      <c r="A132" s="9" t="s">
        <v>1752</v>
      </c>
      <c r="B132" s="9" t="s">
        <v>1753</v>
      </c>
      <c r="C132" s="9" t="s">
        <v>434</v>
      </c>
      <c r="D132" s="9" t="s">
        <v>433</v>
      </c>
      <c r="E132" s="9" t="s">
        <v>115</v>
      </c>
      <c r="F132" s="9" t="s">
        <v>116</v>
      </c>
      <c r="G132" s="9" t="s">
        <v>1510</v>
      </c>
      <c r="H132" s="9" t="n">
        <v>11</v>
      </c>
      <c r="I132" s="9" t="s">
        <v>117</v>
      </c>
    </row>
    <row r="133" customFormat="false" ht="15" hidden="false" customHeight="false" outlineLevel="0" collapsed="false">
      <c r="A133" s="9" t="s">
        <v>1754</v>
      </c>
      <c r="B133" s="9" t="s">
        <v>1755</v>
      </c>
      <c r="C133" s="9" t="s">
        <v>434</v>
      </c>
      <c r="D133" s="9" t="s">
        <v>433</v>
      </c>
      <c r="E133" s="9" t="s">
        <v>115</v>
      </c>
      <c r="F133" s="9" t="s">
        <v>116</v>
      </c>
      <c r="G133" s="9" t="s">
        <v>1510</v>
      </c>
      <c r="H133" s="9" t="n">
        <v>13</v>
      </c>
      <c r="I133" s="9" t="s">
        <v>117</v>
      </c>
    </row>
    <row r="134" customFormat="false" ht="15" hidden="false" customHeight="false" outlineLevel="0" collapsed="false">
      <c r="A134" s="9" t="s">
        <v>1756</v>
      </c>
      <c r="B134" s="9" t="s">
        <v>1757</v>
      </c>
      <c r="C134" s="9" t="s">
        <v>434</v>
      </c>
      <c r="D134" s="9" t="s">
        <v>433</v>
      </c>
      <c r="E134" s="9" t="s">
        <v>115</v>
      </c>
      <c r="F134" s="9" t="s">
        <v>116</v>
      </c>
      <c r="G134" s="9" t="s">
        <v>1510</v>
      </c>
      <c r="H134" s="9" t="n">
        <v>15</v>
      </c>
      <c r="I134" s="9" t="s">
        <v>117</v>
      </c>
    </row>
    <row r="135" customFormat="false" ht="15" hidden="false" customHeight="false" outlineLevel="0" collapsed="false">
      <c r="A135" s="9" t="s">
        <v>1758</v>
      </c>
      <c r="B135" s="9" t="s">
        <v>1759</v>
      </c>
      <c r="C135" s="9" t="s">
        <v>436</v>
      </c>
      <c r="D135" s="9" t="s">
        <v>435</v>
      </c>
      <c r="E135" s="9" t="s">
        <v>216</v>
      </c>
      <c r="F135" s="9" t="s">
        <v>125</v>
      </c>
      <c r="G135" s="9" t="s">
        <v>1543</v>
      </c>
      <c r="H135" s="9" t="n">
        <v>4</v>
      </c>
      <c r="I135" s="9" t="s">
        <v>135</v>
      </c>
    </row>
    <row r="136" customFormat="false" ht="15" hidden="false" customHeight="false" outlineLevel="0" collapsed="false">
      <c r="A136" s="9" t="s">
        <v>1760</v>
      </c>
      <c r="B136" s="9" t="s">
        <v>1761</v>
      </c>
      <c r="C136" s="9" t="s">
        <v>151</v>
      </c>
      <c r="D136" s="9" t="s">
        <v>437</v>
      </c>
      <c r="E136" s="9" t="s">
        <v>151</v>
      </c>
      <c r="F136" s="9" t="s">
        <v>152</v>
      </c>
      <c r="G136" s="9" t="s">
        <v>1543</v>
      </c>
      <c r="H136" s="9" t="n">
        <v>1</v>
      </c>
      <c r="I136" s="9" t="s">
        <v>117</v>
      </c>
    </row>
    <row r="137" customFormat="false" ht="15" hidden="false" customHeight="false" outlineLevel="0" collapsed="false">
      <c r="A137" s="9" t="s">
        <v>1762</v>
      </c>
      <c r="B137" s="9" t="s">
        <v>1763</v>
      </c>
      <c r="C137" s="9" t="s">
        <v>151</v>
      </c>
      <c r="D137" s="9" t="s">
        <v>437</v>
      </c>
      <c r="E137" s="9" t="s">
        <v>151</v>
      </c>
      <c r="F137" s="9" t="s">
        <v>152</v>
      </c>
      <c r="G137" s="9"/>
      <c r="H137" s="9" t="n">
        <v>2</v>
      </c>
      <c r="I137" s="9" t="s">
        <v>117</v>
      </c>
    </row>
    <row r="138" customFormat="false" ht="15" hidden="false" customHeight="false" outlineLevel="0" collapsed="false">
      <c r="A138" s="9" t="s">
        <v>1764</v>
      </c>
      <c r="B138" s="9" t="s">
        <v>1765</v>
      </c>
      <c r="C138" s="9" t="s">
        <v>151</v>
      </c>
      <c r="D138" s="9" t="s">
        <v>437</v>
      </c>
      <c r="E138" s="9" t="s">
        <v>151</v>
      </c>
      <c r="F138" s="9" t="s">
        <v>152</v>
      </c>
      <c r="G138" s="9"/>
      <c r="H138" s="9" t="n">
        <v>6</v>
      </c>
      <c r="I138" s="9" t="s">
        <v>117</v>
      </c>
    </row>
    <row r="139" customFormat="false" ht="15" hidden="false" customHeight="false" outlineLevel="0" collapsed="false">
      <c r="A139" s="9" t="s">
        <v>1766</v>
      </c>
      <c r="B139" s="9" t="s">
        <v>1767</v>
      </c>
      <c r="C139" s="9" t="s">
        <v>151</v>
      </c>
      <c r="D139" s="9" t="s">
        <v>437</v>
      </c>
      <c r="E139" s="9" t="s">
        <v>151</v>
      </c>
      <c r="F139" s="9" t="s">
        <v>152</v>
      </c>
      <c r="G139" s="9"/>
      <c r="H139" s="9" t="n">
        <v>14</v>
      </c>
      <c r="I139" s="9" t="s">
        <v>117</v>
      </c>
    </row>
    <row r="140" customFormat="false" ht="15" hidden="false" customHeight="false" outlineLevel="0" collapsed="false">
      <c r="A140" s="9" t="s">
        <v>1768</v>
      </c>
      <c r="B140" s="9" t="s">
        <v>1769</v>
      </c>
      <c r="C140" s="9" t="s">
        <v>441</v>
      </c>
      <c r="D140" s="9" t="s">
        <v>440</v>
      </c>
      <c r="E140" s="9" t="s">
        <v>106</v>
      </c>
      <c r="F140" s="9" t="s">
        <v>102</v>
      </c>
      <c r="G140" s="9"/>
      <c r="H140" s="9" t="n">
        <v>1</v>
      </c>
      <c r="I140" s="9" t="s">
        <v>103</v>
      </c>
    </row>
    <row r="141" customFormat="false" ht="15" hidden="false" customHeight="false" outlineLevel="0" collapsed="false">
      <c r="A141" s="9" t="s">
        <v>1770</v>
      </c>
      <c r="B141" s="9" t="s">
        <v>1771</v>
      </c>
      <c r="C141" s="9" t="s">
        <v>441</v>
      </c>
      <c r="D141" s="9" t="s">
        <v>440</v>
      </c>
      <c r="E141" s="9" t="s">
        <v>106</v>
      </c>
      <c r="F141" s="9" t="s">
        <v>102</v>
      </c>
      <c r="G141" s="9"/>
      <c r="H141" s="9" t="n">
        <v>2</v>
      </c>
      <c r="I141" s="9" t="s">
        <v>103</v>
      </c>
    </row>
    <row r="142" customFormat="false" ht="15" hidden="false" customHeight="false" outlineLevel="0" collapsed="false">
      <c r="A142" s="9" t="s">
        <v>1772</v>
      </c>
      <c r="B142" s="9" t="s">
        <v>1773</v>
      </c>
      <c r="C142" s="9" t="s">
        <v>443</v>
      </c>
      <c r="D142" s="9" t="s">
        <v>442</v>
      </c>
      <c r="E142" s="9" t="s">
        <v>100</v>
      </c>
      <c r="F142" s="9" t="s">
        <v>102</v>
      </c>
      <c r="G142" s="9" t="s">
        <v>1510</v>
      </c>
      <c r="H142" s="9" t="n">
        <v>5</v>
      </c>
      <c r="I142" s="9" t="s">
        <v>143</v>
      </c>
    </row>
    <row r="143" customFormat="false" ht="15" hidden="false" customHeight="false" outlineLevel="0" collapsed="false">
      <c r="A143" s="9" t="s">
        <v>1774</v>
      </c>
      <c r="B143" s="9" t="s">
        <v>1775</v>
      </c>
      <c r="C143" s="9" t="s">
        <v>445</v>
      </c>
      <c r="D143" s="9" t="s">
        <v>444</v>
      </c>
      <c r="E143" s="9" t="s">
        <v>100</v>
      </c>
      <c r="F143" s="9" t="s">
        <v>128</v>
      </c>
      <c r="G143" s="9"/>
      <c r="H143" s="9" t="n">
        <v>3</v>
      </c>
      <c r="I143" s="9" t="s">
        <v>103</v>
      </c>
    </row>
    <row r="144" customFormat="false" ht="15" hidden="false" customHeight="false" outlineLevel="0" collapsed="false">
      <c r="A144" s="9" t="s">
        <v>1776</v>
      </c>
      <c r="B144" s="9" t="s">
        <v>1777</v>
      </c>
      <c r="C144" s="9" t="s">
        <v>445</v>
      </c>
      <c r="D144" s="9" t="s">
        <v>444</v>
      </c>
      <c r="E144" s="9" t="s">
        <v>100</v>
      </c>
      <c r="F144" s="9" t="s">
        <v>128</v>
      </c>
      <c r="G144" s="9"/>
      <c r="H144" s="9" t="n">
        <v>4</v>
      </c>
      <c r="I144" s="9" t="s">
        <v>103</v>
      </c>
    </row>
    <row r="145" customFormat="false" ht="15" hidden="false" customHeight="false" outlineLevel="0" collapsed="false">
      <c r="A145" s="9" t="s">
        <v>1778</v>
      </c>
      <c r="B145" s="9" t="s">
        <v>1779</v>
      </c>
      <c r="C145" s="9" t="s">
        <v>445</v>
      </c>
      <c r="D145" s="9" t="s">
        <v>444</v>
      </c>
      <c r="E145" s="9" t="s">
        <v>100</v>
      </c>
      <c r="F145" s="9" t="s">
        <v>128</v>
      </c>
      <c r="G145" s="9"/>
      <c r="H145" s="9" t="n">
        <v>5</v>
      </c>
      <c r="I145" s="9" t="s">
        <v>103</v>
      </c>
    </row>
    <row r="146" customFormat="false" ht="15" hidden="false" customHeight="false" outlineLevel="0" collapsed="false">
      <c r="A146" s="9" t="s">
        <v>1780</v>
      </c>
      <c r="B146" s="9" t="s">
        <v>1781</v>
      </c>
      <c r="C146" s="9" t="s">
        <v>447</v>
      </c>
      <c r="D146" s="9" t="s">
        <v>446</v>
      </c>
      <c r="E146" s="9" t="s">
        <v>140</v>
      </c>
      <c r="F146" s="9" t="s">
        <v>128</v>
      </c>
      <c r="G146" s="9"/>
      <c r="H146" s="9" t="n">
        <v>5</v>
      </c>
      <c r="I146" s="9" t="s">
        <v>135</v>
      </c>
    </row>
    <row r="147" customFormat="false" ht="15" hidden="false" customHeight="false" outlineLevel="0" collapsed="false">
      <c r="A147" s="9" t="s">
        <v>1782</v>
      </c>
      <c r="B147" s="9" t="s">
        <v>1783</v>
      </c>
      <c r="C147" s="9" t="s">
        <v>106</v>
      </c>
      <c r="D147" s="9" t="s">
        <v>450</v>
      </c>
      <c r="E147" s="9" t="s">
        <v>106</v>
      </c>
      <c r="F147" s="9" t="s">
        <v>173</v>
      </c>
      <c r="G147" s="9"/>
      <c r="H147" s="9" t="n">
        <v>2</v>
      </c>
      <c r="I147" s="9" t="s">
        <v>117</v>
      </c>
    </row>
    <row r="148" customFormat="false" ht="15" hidden="false" customHeight="false" outlineLevel="0" collapsed="false">
      <c r="A148" s="9" t="s">
        <v>1784</v>
      </c>
      <c r="B148" s="9" t="s">
        <v>1785</v>
      </c>
      <c r="C148" s="9" t="s">
        <v>106</v>
      </c>
      <c r="D148" s="9" t="s">
        <v>450</v>
      </c>
      <c r="E148" s="9" t="s">
        <v>106</v>
      </c>
      <c r="F148" s="9" t="s">
        <v>173</v>
      </c>
      <c r="G148" s="9"/>
      <c r="H148" s="9" t="n">
        <v>9</v>
      </c>
      <c r="I148" s="9" t="s">
        <v>117</v>
      </c>
    </row>
    <row r="149" customFormat="false" ht="15" hidden="false" customHeight="false" outlineLevel="0" collapsed="false">
      <c r="A149" s="9" t="s">
        <v>1786</v>
      </c>
      <c r="B149" s="9" t="s">
        <v>1787</v>
      </c>
      <c r="C149" s="9" t="s">
        <v>106</v>
      </c>
      <c r="D149" s="9" t="s">
        <v>450</v>
      </c>
      <c r="E149" s="9" t="s">
        <v>106</v>
      </c>
      <c r="F149" s="9" t="s">
        <v>173</v>
      </c>
      <c r="G149" s="9"/>
      <c r="H149" s="9" t="n">
        <v>12</v>
      </c>
      <c r="I149" s="9" t="s">
        <v>117</v>
      </c>
    </row>
    <row r="150" customFormat="false" ht="15" hidden="false" customHeight="false" outlineLevel="0" collapsed="false">
      <c r="A150" s="9" t="s">
        <v>1788</v>
      </c>
      <c r="B150" s="9" t="s">
        <v>1787</v>
      </c>
      <c r="C150" s="9" t="s">
        <v>106</v>
      </c>
      <c r="D150" s="9" t="s">
        <v>450</v>
      </c>
      <c r="E150" s="9" t="s">
        <v>106</v>
      </c>
      <c r="F150" s="9" t="s">
        <v>173</v>
      </c>
      <c r="G150" s="9"/>
      <c r="H150" s="9" t="n">
        <v>16</v>
      </c>
      <c r="I150" s="9" t="s">
        <v>117</v>
      </c>
    </row>
    <row r="151" customFormat="false" ht="15" hidden="false" customHeight="false" outlineLevel="0" collapsed="false">
      <c r="A151" s="9" t="s">
        <v>1789</v>
      </c>
      <c r="B151" s="9" t="s">
        <v>1790</v>
      </c>
      <c r="C151" s="9" t="s">
        <v>106</v>
      </c>
      <c r="D151" s="9" t="s">
        <v>450</v>
      </c>
      <c r="E151" s="9" t="s">
        <v>106</v>
      </c>
      <c r="F151" s="9" t="s">
        <v>173</v>
      </c>
      <c r="G151" s="9"/>
      <c r="H151" s="9" t="n">
        <v>17</v>
      </c>
      <c r="I151" s="9" t="s">
        <v>117</v>
      </c>
    </row>
    <row r="152" customFormat="false" ht="15" hidden="false" customHeight="false" outlineLevel="0" collapsed="false">
      <c r="A152" s="9" t="s">
        <v>1791</v>
      </c>
      <c r="B152" s="9" t="s">
        <v>1792</v>
      </c>
      <c r="C152" s="9" t="s">
        <v>106</v>
      </c>
      <c r="D152" s="9" t="s">
        <v>450</v>
      </c>
      <c r="E152" s="9" t="s">
        <v>106</v>
      </c>
      <c r="F152" s="9" t="s">
        <v>173</v>
      </c>
      <c r="G152" s="9"/>
      <c r="H152" s="9" t="n">
        <v>21</v>
      </c>
      <c r="I152" s="9" t="s">
        <v>117</v>
      </c>
    </row>
    <row r="153" customFormat="false" ht="15" hidden="false" customHeight="false" outlineLevel="0" collapsed="false">
      <c r="A153" s="9" t="s">
        <v>1793</v>
      </c>
      <c r="B153" s="9" t="s">
        <v>1794</v>
      </c>
      <c r="C153" s="9" t="s">
        <v>469</v>
      </c>
      <c r="D153" s="9" t="s">
        <v>468</v>
      </c>
      <c r="E153" s="9" t="s">
        <v>216</v>
      </c>
      <c r="F153" s="9" t="s">
        <v>125</v>
      </c>
      <c r="G153" s="9"/>
      <c r="H153" s="9" t="n">
        <v>3</v>
      </c>
      <c r="I153" s="9" t="s">
        <v>143</v>
      </c>
    </row>
    <row r="154" customFormat="false" ht="15" hidden="false" customHeight="false" outlineLevel="0" collapsed="false">
      <c r="A154" s="9" t="s">
        <v>1795</v>
      </c>
      <c r="B154" s="9" t="s">
        <v>1796</v>
      </c>
      <c r="C154" s="9" t="s">
        <v>469</v>
      </c>
      <c r="D154" s="9" t="s">
        <v>468</v>
      </c>
      <c r="E154" s="9" t="s">
        <v>216</v>
      </c>
      <c r="F154" s="9" t="s">
        <v>125</v>
      </c>
      <c r="G154" s="9"/>
      <c r="H154" s="9" t="n">
        <v>4</v>
      </c>
      <c r="I154" s="9" t="s">
        <v>143</v>
      </c>
    </row>
    <row r="155" customFormat="false" ht="15" hidden="false" customHeight="false" outlineLevel="0" collapsed="false">
      <c r="A155" s="9" t="s">
        <v>1677</v>
      </c>
      <c r="B155" s="9" t="s">
        <v>1797</v>
      </c>
      <c r="C155" s="9" t="s">
        <v>469</v>
      </c>
      <c r="D155" s="9" t="s">
        <v>468</v>
      </c>
      <c r="E155" s="9" t="s">
        <v>216</v>
      </c>
      <c r="F155" s="9" t="s">
        <v>125</v>
      </c>
      <c r="G155" s="9"/>
      <c r="H155" s="9" t="n">
        <v>6</v>
      </c>
      <c r="I155" s="9" t="s">
        <v>143</v>
      </c>
    </row>
    <row r="156" customFormat="false" ht="15" hidden="false" customHeight="false" outlineLevel="0" collapsed="false">
      <c r="A156" s="9" t="s">
        <v>1798</v>
      </c>
      <c r="B156" s="9" t="s">
        <v>1799</v>
      </c>
      <c r="C156" s="9" t="s">
        <v>471</v>
      </c>
      <c r="D156" s="9" t="s">
        <v>470</v>
      </c>
      <c r="E156" s="9" t="s">
        <v>106</v>
      </c>
      <c r="F156" s="9" t="s">
        <v>108</v>
      </c>
      <c r="G156" s="9"/>
      <c r="H156" s="9" t="n">
        <v>1</v>
      </c>
      <c r="I156" s="9" t="s">
        <v>143</v>
      </c>
    </row>
    <row r="157" customFormat="false" ht="15" hidden="false" customHeight="false" outlineLevel="0" collapsed="false">
      <c r="A157" s="9" t="s">
        <v>1800</v>
      </c>
      <c r="B157" s="9" t="s">
        <v>1801</v>
      </c>
      <c r="C157" s="9" t="s">
        <v>471</v>
      </c>
      <c r="D157" s="9" t="s">
        <v>470</v>
      </c>
      <c r="E157" s="9" t="s">
        <v>106</v>
      </c>
      <c r="F157" s="9" t="s">
        <v>108</v>
      </c>
      <c r="G157" s="9"/>
      <c r="H157" s="9" t="n">
        <v>2</v>
      </c>
      <c r="I157" s="9" t="s">
        <v>143</v>
      </c>
    </row>
    <row r="158" customFormat="false" ht="15" hidden="false" customHeight="false" outlineLevel="0" collapsed="false">
      <c r="A158" s="9" t="s">
        <v>1802</v>
      </c>
      <c r="B158" s="9" t="s">
        <v>1803</v>
      </c>
      <c r="C158" s="9" t="s">
        <v>452</v>
      </c>
      <c r="D158" s="9" t="s">
        <v>451</v>
      </c>
      <c r="E158" s="9" t="s">
        <v>133</v>
      </c>
      <c r="F158" s="9" t="s">
        <v>134</v>
      </c>
      <c r="G158" s="9" t="s">
        <v>1631</v>
      </c>
      <c r="H158" s="9" t="n">
        <v>4</v>
      </c>
      <c r="I158" s="9" t="s">
        <v>135</v>
      </c>
    </row>
    <row r="159" customFormat="false" ht="15" hidden="false" customHeight="false" outlineLevel="0" collapsed="false">
      <c r="A159" s="9" t="s">
        <v>1804</v>
      </c>
      <c r="B159" s="9" t="s">
        <v>1805</v>
      </c>
      <c r="C159" s="9" t="s">
        <v>452</v>
      </c>
      <c r="D159" s="9" t="s">
        <v>451</v>
      </c>
      <c r="E159" s="9" t="s">
        <v>133</v>
      </c>
      <c r="F159" s="9" t="s">
        <v>134</v>
      </c>
      <c r="G159" s="9"/>
      <c r="H159" s="9" t="n">
        <v>7</v>
      </c>
      <c r="I159" s="9" t="s">
        <v>135</v>
      </c>
    </row>
    <row r="160" customFormat="false" ht="15" hidden="false" customHeight="false" outlineLevel="0" collapsed="false">
      <c r="A160" s="9" t="s">
        <v>1806</v>
      </c>
      <c r="B160" s="9" t="s">
        <v>1807</v>
      </c>
      <c r="C160" s="9" t="s">
        <v>452</v>
      </c>
      <c r="D160" s="9" t="s">
        <v>451</v>
      </c>
      <c r="E160" s="9" t="s">
        <v>133</v>
      </c>
      <c r="F160" s="9" t="s">
        <v>134</v>
      </c>
      <c r="G160" s="9"/>
      <c r="H160" s="9" t="n">
        <v>8</v>
      </c>
      <c r="I160" s="9" t="s">
        <v>135</v>
      </c>
    </row>
    <row r="161" customFormat="false" ht="15" hidden="false" customHeight="false" outlineLevel="0" collapsed="false">
      <c r="A161" s="9" t="s">
        <v>1808</v>
      </c>
      <c r="B161" s="9" t="s">
        <v>1809</v>
      </c>
      <c r="C161" s="9" t="s">
        <v>452</v>
      </c>
      <c r="D161" s="9" t="s">
        <v>451</v>
      </c>
      <c r="E161" s="9" t="s">
        <v>133</v>
      </c>
      <c r="F161" s="9" t="s">
        <v>134</v>
      </c>
      <c r="G161" s="9"/>
      <c r="H161" s="9" t="n">
        <v>9</v>
      </c>
      <c r="I161" s="9" t="s">
        <v>135</v>
      </c>
    </row>
    <row r="162" customFormat="false" ht="15" hidden="false" customHeight="false" outlineLevel="0" collapsed="false">
      <c r="A162" s="9" t="s">
        <v>1810</v>
      </c>
      <c r="B162" s="9" t="s">
        <v>1811</v>
      </c>
      <c r="C162" s="9" t="s">
        <v>452</v>
      </c>
      <c r="D162" s="9" t="s">
        <v>451</v>
      </c>
      <c r="E162" s="9" t="s">
        <v>133</v>
      </c>
      <c r="F162" s="9" t="s">
        <v>134</v>
      </c>
      <c r="G162" s="9"/>
      <c r="H162" s="9" t="n">
        <v>12</v>
      </c>
      <c r="I162" s="9" t="s">
        <v>135</v>
      </c>
    </row>
    <row r="163" customFormat="false" ht="15" hidden="false" customHeight="false" outlineLevel="0" collapsed="false">
      <c r="A163" s="9" t="s">
        <v>1812</v>
      </c>
      <c r="B163" s="9" t="s">
        <v>1813</v>
      </c>
      <c r="C163" s="9" t="s">
        <v>452</v>
      </c>
      <c r="D163" s="9" t="s">
        <v>451</v>
      </c>
      <c r="E163" s="9" t="s">
        <v>133</v>
      </c>
      <c r="F163" s="9" t="s">
        <v>134</v>
      </c>
      <c r="G163" s="9" t="s">
        <v>1510</v>
      </c>
      <c r="H163" s="9" t="n">
        <v>14</v>
      </c>
      <c r="I163" s="9" t="s">
        <v>135</v>
      </c>
    </row>
    <row r="164" customFormat="false" ht="15" hidden="false" customHeight="false" outlineLevel="0" collapsed="false">
      <c r="A164" s="9" t="s">
        <v>1814</v>
      </c>
      <c r="B164" s="9" t="s">
        <v>1815</v>
      </c>
      <c r="C164" s="9" t="s">
        <v>456</v>
      </c>
      <c r="D164" s="9" t="s">
        <v>455</v>
      </c>
      <c r="E164" s="9" t="s">
        <v>106</v>
      </c>
      <c r="F164" s="9" t="s">
        <v>102</v>
      </c>
      <c r="G164" s="9" t="s">
        <v>1510</v>
      </c>
      <c r="H164" s="9" t="n">
        <v>4</v>
      </c>
      <c r="I164" s="9" t="s">
        <v>143</v>
      </c>
    </row>
    <row r="165" customFormat="false" ht="15" hidden="false" customHeight="false" outlineLevel="0" collapsed="false">
      <c r="A165" s="9" t="s">
        <v>1816</v>
      </c>
      <c r="B165" s="9" t="s">
        <v>1817</v>
      </c>
      <c r="C165" s="9" t="s">
        <v>458</v>
      </c>
      <c r="D165" s="9" t="s">
        <v>457</v>
      </c>
      <c r="E165" s="9" t="s">
        <v>133</v>
      </c>
      <c r="F165" s="9" t="s">
        <v>134</v>
      </c>
      <c r="G165" s="9"/>
      <c r="H165" s="9" t="n">
        <v>2</v>
      </c>
      <c r="I165" s="9" t="s">
        <v>143</v>
      </c>
    </row>
    <row r="166" customFormat="false" ht="15" hidden="false" customHeight="false" outlineLevel="0" collapsed="false">
      <c r="A166" s="9" t="s">
        <v>1818</v>
      </c>
      <c r="B166" s="9" t="s">
        <v>1819</v>
      </c>
      <c r="C166" s="9" t="s">
        <v>460</v>
      </c>
      <c r="D166" s="9" t="s">
        <v>459</v>
      </c>
      <c r="E166" s="9" t="s">
        <v>216</v>
      </c>
      <c r="F166" s="9" t="s">
        <v>125</v>
      </c>
      <c r="G166" s="9"/>
      <c r="H166" s="9" t="n">
        <v>1</v>
      </c>
      <c r="I166" s="9" t="s">
        <v>143</v>
      </c>
    </row>
    <row r="167" customFormat="false" ht="15" hidden="false" customHeight="false" outlineLevel="0" collapsed="false">
      <c r="A167" s="9" t="s">
        <v>1576</v>
      </c>
      <c r="B167" s="9" t="s">
        <v>1820</v>
      </c>
      <c r="C167" s="9" t="s">
        <v>460</v>
      </c>
      <c r="D167" s="9" t="s">
        <v>459</v>
      </c>
      <c r="E167" s="9" t="s">
        <v>216</v>
      </c>
      <c r="F167" s="9" t="s">
        <v>125</v>
      </c>
      <c r="G167" s="9"/>
      <c r="H167" s="9" t="n">
        <v>2</v>
      </c>
      <c r="I167" s="9" t="s">
        <v>143</v>
      </c>
    </row>
    <row r="168" customFormat="false" ht="15" hidden="false" customHeight="false" outlineLevel="0" collapsed="false">
      <c r="A168" s="9" t="s">
        <v>1677</v>
      </c>
      <c r="B168" s="9" t="s">
        <v>1821</v>
      </c>
      <c r="C168" s="9" t="s">
        <v>460</v>
      </c>
      <c r="D168" s="9" t="s">
        <v>459</v>
      </c>
      <c r="E168" s="9" t="s">
        <v>216</v>
      </c>
      <c r="F168" s="9" t="s">
        <v>125</v>
      </c>
      <c r="G168" s="9"/>
      <c r="H168" s="9" t="n">
        <v>3</v>
      </c>
      <c r="I168" s="9" t="s">
        <v>143</v>
      </c>
    </row>
    <row r="169" customFormat="false" ht="15" hidden="false" customHeight="false" outlineLevel="0" collapsed="false">
      <c r="A169" s="9" t="s">
        <v>1822</v>
      </c>
      <c r="B169" s="9" t="s">
        <v>1823</v>
      </c>
      <c r="C169" s="9" t="s">
        <v>464</v>
      </c>
      <c r="D169" s="9" t="s">
        <v>463</v>
      </c>
      <c r="E169" s="9" t="s">
        <v>155</v>
      </c>
      <c r="F169" s="9" t="s">
        <v>197</v>
      </c>
      <c r="G169" s="9"/>
      <c r="H169" s="9" t="n">
        <v>4</v>
      </c>
      <c r="I169" s="9" t="s">
        <v>135</v>
      </c>
    </row>
    <row r="170" customFormat="false" ht="15" hidden="false" customHeight="false" outlineLevel="0" collapsed="false">
      <c r="A170" s="9" t="s">
        <v>1824</v>
      </c>
      <c r="B170" s="9" t="s">
        <v>1825</v>
      </c>
      <c r="C170" s="9" t="s">
        <v>464</v>
      </c>
      <c r="D170" s="9" t="s">
        <v>463</v>
      </c>
      <c r="E170" s="9" t="s">
        <v>155</v>
      </c>
      <c r="F170" s="9" t="s">
        <v>197</v>
      </c>
      <c r="G170" s="9" t="s">
        <v>1510</v>
      </c>
      <c r="H170" s="9" t="n">
        <v>5</v>
      </c>
      <c r="I170" s="9" t="s">
        <v>135</v>
      </c>
    </row>
    <row r="171" customFormat="false" ht="15" hidden="false" customHeight="false" outlineLevel="0" collapsed="false">
      <c r="A171" s="9" t="s">
        <v>1826</v>
      </c>
      <c r="B171" s="9" t="s">
        <v>1827</v>
      </c>
      <c r="C171" s="9" t="s">
        <v>182</v>
      </c>
      <c r="D171" s="9" t="s">
        <v>465</v>
      </c>
      <c r="E171" s="9" t="s">
        <v>182</v>
      </c>
      <c r="F171" s="9" t="s">
        <v>125</v>
      </c>
      <c r="G171" s="9" t="s">
        <v>1543</v>
      </c>
      <c r="H171" s="9" t="n">
        <v>1</v>
      </c>
      <c r="I171" s="9" t="s">
        <v>117</v>
      </c>
    </row>
    <row r="172" customFormat="false" ht="15" hidden="false" customHeight="false" outlineLevel="0" collapsed="false">
      <c r="A172" s="9" t="s">
        <v>1828</v>
      </c>
      <c r="B172" s="9" t="s">
        <v>1829</v>
      </c>
      <c r="C172" s="9" t="s">
        <v>182</v>
      </c>
      <c r="D172" s="9" t="s">
        <v>465</v>
      </c>
      <c r="E172" s="9" t="s">
        <v>182</v>
      </c>
      <c r="F172" s="9" t="s">
        <v>125</v>
      </c>
      <c r="G172" s="9"/>
      <c r="H172" s="9" t="n">
        <v>4</v>
      </c>
      <c r="I172" s="9" t="s">
        <v>117</v>
      </c>
    </row>
    <row r="173" customFormat="false" ht="15" hidden="false" customHeight="false" outlineLevel="0" collapsed="false">
      <c r="A173" s="9" t="s">
        <v>1830</v>
      </c>
      <c r="B173" s="9" t="s">
        <v>1831</v>
      </c>
      <c r="C173" s="9" t="s">
        <v>182</v>
      </c>
      <c r="D173" s="9" t="s">
        <v>465</v>
      </c>
      <c r="E173" s="9" t="s">
        <v>182</v>
      </c>
      <c r="F173" s="9" t="s">
        <v>125</v>
      </c>
      <c r="G173" s="9"/>
      <c r="H173" s="9" t="n">
        <v>11</v>
      </c>
      <c r="I173" s="9" t="s">
        <v>117</v>
      </c>
    </row>
    <row r="174" customFormat="false" ht="15" hidden="false" customHeight="false" outlineLevel="0" collapsed="false">
      <c r="A174" s="9" t="s">
        <v>1832</v>
      </c>
      <c r="B174" s="9" t="s">
        <v>1833</v>
      </c>
      <c r="C174" s="9" t="s">
        <v>182</v>
      </c>
      <c r="D174" s="9" t="s">
        <v>465</v>
      </c>
      <c r="E174" s="9" t="s">
        <v>182</v>
      </c>
      <c r="F174" s="9" t="s">
        <v>125</v>
      </c>
      <c r="G174" s="9"/>
      <c r="H174" s="9" t="n">
        <v>13</v>
      </c>
      <c r="I174" s="9" t="s">
        <v>117</v>
      </c>
    </row>
    <row r="175" customFormat="false" ht="15" hidden="false" customHeight="false" outlineLevel="0" collapsed="false">
      <c r="A175" s="9" t="s">
        <v>1834</v>
      </c>
      <c r="B175" s="9" t="s">
        <v>1835</v>
      </c>
      <c r="C175" s="9" t="s">
        <v>182</v>
      </c>
      <c r="D175" s="9" t="s">
        <v>465</v>
      </c>
      <c r="E175" s="9" t="s">
        <v>182</v>
      </c>
      <c r="F175" s="9" t="s">
        <v>125</v>
      </c>
      <c r="G175" s="9" t="s">
        <v>1510</v>
      </c>
      <c r="H175" s="9" t="n">
        <v>22</v>
      </c>
      <c r="I175" s="9" t="s">
        <v>117</v>
      </c>
    </row>
    <row r="176" customFormat="false" ht="15" hidden="false" customHeight="false" outlineLevel="0" collapsed="false">
      <c r="A176" s="9" t="s">
        <v>1836</v>
      </c>
      <c r="B176" s="9" t="s">
        <v>1837</v>
      </c>
      <c r="C176" s="9" t="s">
        <v>182</v>
      </c>
      <c r="D176" s="9" t="s">
        <v>465</v>
      </c>
      <c r="E176" s="9" t="s">
        <v>182</v>
      </c>
      <c r="F176" s="9" t="s">
        <v>125</v>
      </c>
      <c r="G176" s="9" t="s">
        <v>1510</v>
      </c>
      <c r="H176" s="9" t="n">
        <v>23</v>
      </c>
      <c r="I176" s="9" t="s">
        <v>117</v>
      </c>
    </row>
    <row r="177" customFormat="false" ht="15" hidden="false" customHeight="false" outlineLevel="0" collapsed="false">
      <c r="A177" s="9" t="s">
        <v>1838</v>
      </c>
      <c r="B177" s="9" t="s">
        <v>1839</v>
      </c>
      <c r="C177" s="9" t="s">
        <v>182</v>
      </c>
      <c r="D177" s="9" t="s">
        <v>465</v>
      </c>
      <c r="E177" s="9" t="s">
        <v>182</v>
      </c>
      <c r="F177" s="9" t="s">
        <v>125</v>
      </c>
      <c r="G177" s="9" t="s">
        <v>1510</v>
      </c>
      <c r="H177" s="9" t="n">
        <v>25</v>
      </c>
      <c r="I177" s="9" t="s">
        <v>117</v>
      </c>
    </row>
    <row r="178" customFormat="false" ht="15" hidden="false" customHeight="false" outlineLevel="0" collapsed="false">
      <c r="A178" s="9" t="s">
        <v>1840</v>
      </c>
      <c r="B178" s="9" t="s">
        <v>1841</v>
      </c>
      <c r="C178" s="9" t="s">
        <v>182</v>
      </c>
      <c r="D178" s="9" t="s">
        <v>465</v>
      </c>
      <c r="E178" s="9" t="s">
        <v>182</v>
      </c>
      <c r="F178" s="9" t="s">
        <v>125</v>
      </c>
      <c r="G178" s="9" t="s">
        <v>1510</v>
      </c>
      <c r="H178" s="9" t="n">
        <v>31</v>
      </c>
      <c r="I178" s="9" t="s">
        <v>117</v>
      </c>
    </row>
    <row r="179" customFormat="false" ht="15" hidden="false" customHeight="false" outlineLevel="0" collapsed="false">
      <c r="A179" s="9" t="s">
        <v>1842</v>
      </c>
      <c r="B179" s="9" t="s">
        <v>1843</v>
      </c>
      <c r="C179" s="9" t="s">
        <v>99</v>
      </c>
      <c r="D179" s="9" t="s">
        <v>98</v>
      </c>
      <c r="E179" s="9" t="s">
        <v>100</v>
      </c>
      <c r="F179" s="9" t="s">
        <v>102</v>
      </c>
      <c r="G179" s="9" t="s">
        <v>1510</v>
      </c>
      <c r="H179" s="9" t="n">
        <v>2</v>
      </c>
      <c r="I179" s="9" t="s">
        <v>103</v>
      </c>
    </row>
    <row r="180" customFormat="false" ht="15" hidden="false" customHeight="false" outlineLevel="0" collapsed="false">
      <c r="A180" s="9" t="s">
        <v>1800</v>
      </c>
      <c r="B180" s="9" t="s">
        <v>1844</v>
      </c>
      <c r="C180" s="9" t="s">
        <v>142</v>
      </c>
      <c r="D180" s="9" t="s">
        <v>141</v>
      </c>
      <c r="E180" s="9" t="s">
        <v>106</v>
      </c>
      <c r="F180" s="9" t="s">
        <v>102</v>
      </c>
      <c r="G180" s="9"/>
      <c r="H180" s="9" t="n">
        <v>3</v>
      </c>
      <c r="I180" s="9" t="s">
        <v>143</v>
      </c>
    </row>
    <row r="181" customFormat="false" ht="15" hidden="false" customHeight="false" outlineLevel="0" collapsed="false">
      <c r="A181" s="9" t="s">
        <v>1845</v>
      </c>
      <c r="B181" s="9"/>
      <c r="C181" s="9" t="s">
        <v>142</v>
      </c>
      <c r="D181" s="9" t="s">
        <v>141</v>
      </c>
      <c r="E181" s="9" t="s">
        <v>106</v>
      </c>
      <c r="F181" s="9" t="s">
        <v>102</v>
      </c>
      <c r="G181" s="9"/>
      <c r="H181" s="9" t="n">
        <v>5</v>
      </c>
      <c r="I181" s="9" t="s">
        <v>143</v>
      </c>
    </row>
    <row r="182" customFormat="false" ht="15" hidden="false" customHeight="false" outlineLevel="0" collapsed="false">
      <c r="A182" s="9" t="s">
        <v>1846</v>
      </c>
      <c r="B182" s="9" t="s">
        <v>1847</v>
      </c>
      <c r="C182" s="9" t="s">
        <v>301</v>
      </c>
      <c r="D182" s="9" t="s">
        <v>300</v>
      </c>
      <c r="E182" s="9" t="s">
        <v>106</v>
      </c>
      <c r="F182" s="9" t="s">
        <v>102</v>
      </c>
      <c r="G182" s="9"/>
      <c r="H182" s="9" t="n">
        <v>2</v>
      </c>
      <c r="I182" s="9" t="s">
        <v>103</v>
      </c>
    </row>
    <row r="183" customFormat="false" ht="15" hidden="false" customHeight="false" outlineLevel="0" collapsed="false">
      <c r="A183" s="9" t="s">
        <v>1848</v>
      </c>
      <c r="B183" s="9" t="s">
        <v>1849</v>
      </c>
      <c r="C183" s="9" t="s">
        <v>175</v>
      </c>
      <c r="D183" s="9" t="s">
        <v>174</v>
      </c>
      <c r="E183" s="9" t="s">
        <v>100</v>
      </c>
      <c r="F183" s="9" t="s">
        <v>102</v>
      </c>
      <c r="G183" s="9"/>
      <c r="H183" s="9" t="n">
        <v>1</v>
      </c>
      <c r="I183" s="9" t="s">
        <v>135</v>
      </c>
    </row>
    <row r="184" customFormat="false" ht="15" hidden="false" customHeight="false" outlineLevel="0" collapsed="false">
      <c r="A184" s="9" t="s">
        <v>1850</v>
      </c>
      <c r="B184" s="9" t="s">
        <v>1851</v>
      </c>
      <c r="C184" s="9" t="s">
        <v>186</v>
      </c>
      <c r="D184" s="9" t="s">
        <v>185</v>
      </c>
      <c r="E184" s="9" t="s">
        <v>100</v>
      </c>
      <c r="F184" s="9" t="s">
        <v>102</v>
      </c>
      <c r="G184" s="9"/>
      <c r="H184" s="9" t="n">
        <v>2</v>
      </c>
      <c r="I184" s="9" t="s">
        <v>103</v>
      </c>
    </row>
    <row r="185" customFormat="false" ht="15" hidden="false" customHeight="false" outlineLevel="0" collapsed="false">
      <c r="A185" s="9" t="s">
        <v>1774</v>
      </c>
      <c r="B185" s="9" t="s">
        <v>1852</v>
      </c>
      <c r="C185" s="9" t="s">
        <v>206</v>
      </c>
      <c r="D185" s="9" t="s">
        <v>205</v>
      </c>
      <c r="E185" s="9" t="s">
        <v>100</v>
      </c>
      <c r="F185" s="9" t="s">
        <v>102</v>
      </c>
      <c r="G185" s="9"/>
      <c r="H185" s="9" t="n">
        <v>1</v>
      </c>
      <c r="I185" s="9" t="s">
        <v>143</v>
      </c>
    </row>
    <row r="186" customFormat="false" ht="15" hidden="false" customHeight="false" outlineLevel="0" collapsed="false">
      <c r="A186" s="9" t="s">
        <v>1853</v>
      </c>
      <c r="B186" s="9" t="s">
        <v>1854</v>
      </c>
      <c r="C186" s="9" t="s">
        <v>206</v>
      </c>
      <c r="D186" s="9" t="s">
        <v>205</v>
      </c>
      <c r="E186" s="9" t="s">
        <v>100</v>
      </c>
      <c r="F186" s="9" t="s">
        <v>102</v>
      </c>
      <c r="G186" s="9"/>
      <c r="H186" s="9" t="n">
        <v>4</v>
      </c>
      <c r="I186" s="9" t="s">
        <v>143</v>
      </c>
    </row>
    <row r="187" customFormat="false" ht="15" hidden="false" customHeight="false" outlineLevel="0" collapsed="false">
      <c r="A187" s="9" t="s">
        <v>1855</v>
      </c>
      <c r="B187" s="9" t="s">
        <v>1856</v>
      </c>
      <c r="C187" s="9" t="s">
        <v>224</v>
      </c>
      <c r="D187" s="9" t="s">
        <v>223</v>
      </c>
      <c r="E187" s="9" t="s">
        <v>106</v>
      </c>
      <c r="F187" s="9" t="s">
        <v>102</v>
      </c>
      <c r="G187" s="9"/>
      <c r="H187" s="9" t="n">
        <v>2</v>
      </c>
      <c r="I187" s="9" t="s">
        <v>103</v>
      </c>
    </row>
    <row r="188" customFormat="false" ht="15" hidden="false" customHeight="false" outlineLevel="0" collapsed="false">
      <c r="A188" s="9" t="s">
        <v>1857</v>
      </c>
      <c r="B188" s="9" t="s">
        <v>1858</v>
      </c>
      <c r="C188" s="9" t="s">
        <v>119</v>
      </c>
      <c r="D188" s="9" t="s">
        <v>118</v>
      </c>
      <c r="E188" s="9" t="s">
        <v>120</v>
      </c>
      <c r="F188" s="9" t="s">
        <v>121</v>
      </c>
      <c r="G188" s="9"/>
      <c r="H188" s="9" t="n">
        <v>2</v>
      </c>
      <c r="I188" s="9" t="s">
        <v>117</v>
      </c>
    </row>
    <row r="189" customFormat="false" ht="15" hidden="false" customHeight="false" outlineLevel="0" collapsed="false">
      <c r="A189" s="9" t="s">
        <v>1859</v>
      </c>
      <c r="B189" s="9" t="s">
        <v>1860</v>
      </c>
      <c r="C189" s="9" t="s">
        <v>119</v>
      </c>
      <c r="D189" s="9" t="s">
        <v>118</v>
      </c>
      <c r="E189" s="9" t="s">
        <v>120</v>
      </c>
      <c r="F189" s="9" t="s">
        <v>121</v>
      </c>
      <c r="G189" s="9" t="s">
        <v>1510</v>
      </c>
      <c r="H189" s="9" t="n">
        <v>3</v>
      </c>
      <c r="I189" s="9" t="s">
        <v>117</v>
      </c>
    </row>
    <row r="190" customFormat="false" ht="15" hidden="false" customHeight="false" outlineLevel="0" collapsed="false">
      <c r="A190" s="9" t="s">
        <v>1506</v>
      </c>
      <c r="B190" s="9" t="s">
        <v>1861</v>
      </c>
      <c r="C190" s="9" t="s">
        <v>119</v>
      </c>
      <c r="D190" s="9" t="s">
        <v>118</v>
      </c>
      <c r="E190" s="9" t="s">
        <v>120</v>
      </c>
      <c r="F190" s="9" t="s">
        <v>121</v>
      </c>
      <c r="G190" s="9"/>
      <c r="H190" s="9" t="n">
        <v>6</v>
      </c>
      <c r="I190" s="9" t="s">
        <v>117</v>
      </c>
    </row>
    <row r="191" customFormat="false" ht="15" hidden="false" customHeight="false" outlineLevel="0" collapsed="false">
      <c r="A191" s="9" t="s">
        <v>1862</v>
      </c>
      <c r="B191" s="9" t="s">
        <v>1863</v>
      </c>
      <c r="C191" s="9" t="s">
        <v>119</v>
      </c>
      <c r="D191" s="9" t="s">
        <v>118</v>
      </c>
      <c r="E191" s="9" t="s">
        <v>120</v>
      </c>
      <c r="F191" s="9" t="s">
        <v>121</v>
      </c>
      <c r="G191" s="9"/>
      <c r="H191" s="9" t="n">
        <v>11</v>
      </c>
      <c r="I191" s="9" t="s">
        <v>117</v>
      </c>
    </row>
    <row r="192" customFormat="false" ht="15" hidden="false" customHeight="false" outlineLevel="0" collapsed="false">
      <c r="A192" s="9" t="s">
        <v>1864</v>
      </c>
      <c r="B192" s="9" t="s">
        <v>1865</v>
      </c>
      <c r="C192" s="9" t="s">
        <v>119</v>
      </c>
      <c r="D192" s="9" t="s">
        <v>118</v>
      </c>
      <c r="E192" s="9" t="s">
        <v>120</v>
      </c>
      <c r="F192" s="9" t="s">
        <v>121</v>
      </c>
      <c r="G192" s="9" t="s">
        <v>1631</v>
      </c>
      <c r="H192" s="9" t="n">
        <v>26</v>
      </c>
      <c r="I192" s="9" t="s">
        <v>117</v>
      </c>
    </row>
    <row r="193" customFormat="false" ht="15" hidden="false" customHeight="false" outlineLevel="0" collapsed="false">
      <c r="A193" s="9" t="s">
        <v>1866</v>
      </c>
      <c r="B193" s="9" t="s">
        <v>1867</v>
      </c>
      <c r="C193" s="9" t="s">
        <v>119</v>
      </c>
      <c r="D193" s="9" t="s">
        <v>118</v>
      </c>
      <c r="E193" s="9" t="s">
        <v>120</v>
      </c>
      <c r="F193" s="9" t="s">
        <v>121</v>
      </c>
      <c r="G193" s="9"/>
      <c r="H193" s="9" t="n">
        <v>27</v>
      </c>
      <c r="I193" s="9" t="s">
        <v>117</v>
      </c>
    </row>
    <row r="194" customFormat="false" ht="15" hidden="false" customHeight="false" outlineLevel="0" collapsed="false">
      <c r="A194" s="9" t="s">
        <v>1868</v>
      </c>
      <c r="B194" s="9" t="s">
        <v>1869</v>
      </c>
      <c r="C194" s="9" t="s">
        <v>119</v>
      </c>
      <c r="D194" s="9" t="s">
        <v>118</v>
      </c>
      <c r="E194" s="9" t="s">
        <v>120</v>
      </c>
      <c r="F194" s="9" t="s">
        <v>121</v>
      </c>
      <c r="G194" s="9"/>
      <c r="H194" s="9" t="n">
        <v>28</v>
      </c>
      <c r="I194" s="9" t="s">
        <v>117</v>
      </c>
    </row>
    <row r="195" customFormat="false" ht="15" hidden="false" customHeight="false" outlineLevel="0" collapsed="false">
      <c r="A195" s="9" t="s">
        <v>1870</v>
      </c>
      <c r="B195" s="9" t="s">
        <v>1871</v>
      </c>
      <c r="C195" s="9" t="s">
        <v>119</v>
      </c>
      <c r="D195" s="9" t="s">
        <v>118</v>
      </c>
      <c r="E195" s="9" t="s">
        <v>120</v>
      </c>
      <c r="F195" s="9" t="s">
        <v>121</v>
      </c>
      <c r="G195" s="9"/>
      <c r="H195" s="9" t="n">
        <v>36</v>
      </c>
      <c r="I195" s="9" t="s">
        <v>117</v>
      </c>
    </row>
    <row r="196" customFormat="false" ht="15" hidden="false" customHeight="false" outlineLevel="0" collapsed="false">
      <c r="A196" s="9" t="s">
        <v>1872</v>
      </c>
      <c r="B196" s="9" t="s">
        <v>1873</v>
      </c>
      <c r="C196" s="9" t="s">
        <v>119</v>
      </c>
      <c r="D196" s="9" t="s">
        <v>118</v>
      </c>
      <c r="E196" s="9" t="s">
        <v>120</v>
      </c>
      <c r="F196" s="9" t="s">
        <v>121</v>
      </c>
      <c r="G196" s="9"/>
      <c r="H196" s="9" t="n">
        <v>37</v>
      </c>
      <c r="I196" s="9" t="s">
        <v>117</v>
      </c>
    </row>
    <row r="197" customFormat="false" ht="15" hidden="false" customHeight="false" outlineLevel="0" collapsed="false">
      <c r="A197" s="9" t="s">
        <v>1650</v>
      </c>
      <c r="B197" s="9" t="s">
        <v>1874</v>
      </c>
      <c r="C197" s="9" t="s">
        <v>119</v>
      </c>
      <c r="D197" s="9" t="s">
        <v>118</v>
      </c>
      <c r="E197" s="9" t="s">
        <v>120</v>
      </c>
      <c r="F197" s="9" t="s">
        <v>121</v>
      </c>
      <c r="G197" s="9"/>
      <c r="H197" s="9" t="n">
        <v>38</v>
      </c>
      <c r="I197" s="9" t="s">
        <v>117</v>
      </c>
    </row>
    <row r="198" customFormat="false" ht="15" hidden="false" customHeight="false" outlineLevel="0" collapsed="false">
      <c r="A198" s="9" t="s">
        <v>1875</v>
      </c>
      <c r="B198" s="9" t="s">
        <v>1876</v>
      </c>
      <c r="C198" s="9" t="s">
        <v>119</v>
      </c>
      <c r="D198" s="9" t="s">
        <v>118</v>
      </c>
      <c r="E198" s="9" t="s">
        <v>120</v>
      </c>
      <c r="F198" s="9" t="s">
        <v>121</v>
      </c>
      <c r="G198" s="9"/>
      <c r="H198" s="9" t="n">
        <v>40</v>
      </c>
      <c r="I198" s="9" t="s">
        <v>117</v>
      </c>
    </row>
    <row r="199" customFormat="false" ht="15" hidden="false" customHeight="false" outlineLevel="0" collapsed="false">
      <c r="A199" s="9" t="s">
        <v>1877</v>
      </c>
      <c r="B199" s="9" t="s">
        <v>1878</v>
      </c>
      <c r="C199" s="9" t="s">
        <v>119</v>
      </c>
      <c r="D199" s="9" t="s">
        <v>118</v>
      </c>
      <c r="E199" s="9" t="s">
        <v>120</v>
      </c>
      <c r="F199" s="9" t="s">
        <v>121</v>
      </c>
      <c r="G199" s="9"/>
      <c r="H199" s="9" t="n">
        <v>43</v>
      </c>
      <c r="I199" s="9" t="s">
        <v>117</v>
      </c>
    </row>
    <row r="200" customFormat="false" ht="15" hidden="false" customHeight="false" outlineLevel="0" collapsed="false">
      <c r="A200" s="9" t="s">
        <v>1879</v>
      </c>
      <c r="B200" s="9" t="s">
        <v>1880</v>
      </c>
      <c r="C200" s="9" t="s">
        <v>119</v>
      </c>
      <c r="D200" s="9" t="s">
        <v>118</v>
      </c>
      <c r="E200" s="9" t="s">
        <v>120</v>
      </c>
      <c r="F200" s="9" t="s">
        <v>121</v>
      </c>
      <c r="G200" s="9"/>
      <c r="H200" s="9" t="n">
        <v>45</v>
      </c>
      <c r="I200" s="9" t="s">
        <v>117</v>
      </c>
    </row>
    <row r="201" customFormat="false" ht="15" hidden="false" customHeight="false" outlineLevel="0" collapsed="false">
      <c r="A201" s="9" t="s">
        <v>1881</v>
      </c>
      <c r="B201" s="9" t="s">
        <v>1882</v>
      </c>
      <c r="C201" s="9" t="s">
        <v>119</v>
      </c>
      <c r="D201" s="9" t="s">
        <v>118</v>
      </c>
      <c r="E201" s="9" t="s">
        <v>120</v>
      </c>
      <c r="F201" s="9" t="s">
        <v>121</v>
      </c>
      <c r="G201" s="9" t="s">
        <v>1631</v>
      </c>
      <c r="H201" s="9" t="n">
        <v>47</v>
      </c>
      <c r="I201" s="9" t="s">
        <v>117</v>
      </c>
    </row>
    <row r="202" customFormat="false" ht="15" hidden="false" customHeight="false" outlineLevel="0" collapsed="false">
      <c r="A202" s="9" t="s">
        <v>1883</v>
      </c>
      <c r="B202" s="9" t="s">
        <v>1884</v>
      </c>
      <c r="C202" s="9" t="s">
        <v>119</v>
      </c>
      <c r="D202" s="9" t="s">
        <v>118</v>
      </c>
      <c r="E202" s="9" t="s">
        <v>120</v>
      </c>
      <c r="F202" s="9" t="s">
        <v>121</v>
      </c>
      <c r="G202" s="9" t="s">
        <v>1631</v>
      </c>
      <c r="H202" s="9" t="n">
        <v>48</v>
      </c>
      <c r="I202" s="9" t="s">
        <v>117</v>
      </c>
    </row>
    <row r="203" customFormat="false" ht="15" hidden="false" customHeight="false" outlineLevel="0" collapsed="false">
      <c r="A203" s="9" t="s">
        <v>1885</v>
      </c>
      <c r="B203" s="9" t="s">
        <v>1886</v>
      </c>
      <c r="C203" s="9" t="s">
        <v>119</v>
      </c>
      <c r="D203" s="9" t="s">
        <v>118</v>
      </c>
      <c r="E203" s="9" t="s">
        <v>120</v>
      </c>
      <c r="F203" s="9" t="s">
        <v>121</v>
      </c>
      <c r="G203" s="9"/>
      <c r="H203" s="9" t="n">
        <v>57</v>
      </c>
      <c r="I203" s="9" t="s">
        <v>117</v>
      </c>
    </row>
    <row r="204" customFormat="false" ht="15" hidden="false" customHeight="false" outlineLevel="0" collapsed="false">
      <c r="A204" s="9" t="s">
        <v>1887</v>
      </c>
      <c r="B204" s="9" t="s">
        <v>1888</v>
      </c>
      <c r="C204" s="9" t="s">
        <v>119</v>
      </c>
      <c r="D204" s="9" t="s">
        <v>118</v>
      </c>
      <c r="E204" s="9" t="s">
        <v>120</v>
      </c>
      <c r="F204" s="9" t="s">
        <v>121</v>
      </c>
      <c r="G204" s="9"/>
      <c r="H204" s="9" t="n">
        <v>59</v>
      </c>
      <c r="I204" s="9" t="s">
        <v>117</v>
      </c>
    </row>
    <row r="205" customFormat="false" ht="15" hidden="false" customHeight="false" outlineLevel="0" collapsed="false">
      <c r="A205" s="9" t="s">
        <v>1889</v>
      </c>
      <c r="B205" s="9" t="s">
        <v>1890</v>
      </c>
      <c r="C205" s="9" t="s">
        <v>119</v>
      </c>
      <c r="D205" s="9" t="s">
        <v>118</v>
      </c>
      <c r="E205" s="9" t="s">
        <v>120</v>
      </c>
      <c r="F205" s="9" t="s">
        <v>121</v>
      </c>
      <c r="G205" s="9" t="s">
        <v>1510</v>
      </c>
      <c r="H205" s="9" t="n">
        <v>62</v>
      </c>
      <c r="I205" s="9" t="s">
        <v>117</v>
      </c>
    </row>
    <row r="206" customFormat="false" ht="15" hidden="false" customHeight="false" outlineLevel="0" collapsed="false">
      <c r="A206" s="9" t="s">
        <v>1891</v>
      </c>
      <c r="B206" s="9" t="s">
        <v>1892</v>
      </c>
      <c r="C206" s="9" t="s">
        <v>119</v>
      </c>
      <c r="D206" s="9" t="s">
        <v>118</v>
      </c>
      <c r="E206" s="9" t="s">
        <v>120</v>
      </c>
      <c r="F206" s="9" t="s">
        <v>121</v>
      </c>
      <c r="G206" s="9"/>
      <c r="H206" s="9" t="n">
        <v>63</v>
      </c>
      <c r="I206" s="9" t="s">
        <v>117</v>
      </c>
    </row>
    <row r="207" customFormat="false" ht="15" hidden="false" customHeight="false" outlineLevel="0" collapsed="false">
      <c r="A207" s="9" t="s">
        <v>1893</v>
      </c>
      <c r="B207" s="9" t="s">
        <v>1894</v>
      </c>
      <c r="C207" s="9" t="s">
        <v>119</v>
      </c>
      <c r="D207" s="9" t="s">
        <v>118</v>
      </c>
      <c r="E207" s="9" t="s">
        <v>120</v>
      </c>
      <c r="F207" s="9" t="s">
        <v>121</v>
      </c>
      <c r="G207" s="9" t="s">
        <v>1510</v>
      </c>
      <c r="H207" s="9" t="n">
        <v>64</v>
      </c>
      <c r="I207" s="9" t="s">
        <v>117</v>
      </c>
    </row>
    <row r="208" customFormat="false" ht="15" hidden="false" customHeight="false" outlineLevel="0" collapsed="false">
      <c r="A208" s="9" t="s">
        <v>1895</v>
      </c>
      <c r="B208" s="9" t="s">
        <v>1896</v>
      </c>
      <c r="C208" s="9" t="s">
        <v>119</v>
      </c>
      <c r="D208" s="9" t="s">
        <v>118</v>
      </c>
      <c r="E208" s="9" t="s">
        <v>120</v>
      </c>
      <c r="F208" s="9" t="s">
        <v>121</v>
      </c>
      <c r="G208" s="9" t="s">
        <v>1510</v>
      </c>
      <c r="H208" s="9" t="n">
        <v>72</v>
      </c>
      <c r="I208" s="9" t="s">
        <v>117</v>
      </c>
    </row>
    <row r="209" customFormat="false" ht="15" hidden="false" customHeight="false" outlineLevel="0" collapsed="false">
      <c r="A209" s="9" t="s">
        <v>1897</v>
      </c>
      <c r="B209" s="9" t="s">
        <v>1898</v>
      </c>
      <c r="C209" s="9" t="s">
        <v>123</v>
      </c>
      <c r="D209" s="9" t="s">
        <v>122</v>
      </c>
      <c r="E209" s="9" t="s">
        <v>124</v>
      </c>
      <c r="F209" s="9" t="s">
        <v>125</v>
      </c>
      <c r="G209" s="9"/>
      <c r="H209" s="9" t="n">
        <v>4</v>
      </c>
      <c r="I209" s="9" t="s">
        <v>117</v>
      </c>
    </row>
    <row r="210" customFormat="false" ht="15" hidden="false" customHeight="false" outlineLevel="0" collapsed="false">
      <c r="A210" s="9" t="s">
        <v>1899</v>
      </c>
      <c r="B210" s="9" t="s">
        <v>1900</v>
      </c>
      <c r="C210" s="9" t="s">
        <v>123</v>
      </c>
      <c r="D210" s="9" t="s">
        <v>122</v>
      </c>
      <c r="E210" s="9" t="s">
        <v>124</v>
      </c>
      <c r="F210" s="9" t="s">
        <v>125</v>
      </c>
      <c r="G210" s="9"/>
      <c r="H210" s="9" t="n">
        <v>9</v>
      </c>
      <c r="I210" s="9" t="s">
        <v>117</v>
      </c>
    </row>
    <row r="211" customFormat="false" ht="15" hidden="false" customHeight="false" outlineLevel="0" collapsed="false">
      <c r="A211" s="9" t="s">
        <v>1901</v>
      </c>
      <c r="B211" s="9" t="s">
        <v>1902</v>
      </c>
      <c r="C211" s="9" t="s">
        <v>123</v>
      </c>
      <c r="D211" s="9" t="s">
        <v>122</v>
      </c>
      <c r="E211" s="9" t="s">
        <v>124</v>
      </c>
      <c r="F211" s="9" t="s">
        <v>125</v>
      </c>
      <c r="G211" s="9" t="s">
        <v>1510</v>
      </c>
      <c r="H211" s="9" t="n">
        <v>12</v>
      </c>
      <c r="I211" s="9" t="s">
        <v>117</v>
      </c>
    </row>
    <row r="212" customFormat="false" ht="15" hidden="false" customHeight="false" outlineLevel="0" collapsed="false">
      <c r="A212" s="9" t="s">
        <v>1903</v>
      </c>
      <c r="B212" s="9" t="s">
        <v>1904</v>
      </c>
      <c r="C212" s="9" t="s">
        <v>123</v>
      </c>
      <c r="D212" s="9" t="s">
        <v>122</v>
      </c>
      <c r="E212" s="9" t="s">
        <v>124</v>
      </c>
      <c r="F212" s="9" t="s">
        <v>125</v>
      </c>
      <c r="G212" s="9" t="s">
        <v>1510</v>
      </c>
      <c r="H212" s="9" t="n">
        <v>16</v>
      </c>
      <c r="I212" s="9" t="s">
        <v>117</v>
      </c>
    </row>
    <row r="213" customFormat="false" ht="15" hidden="false" customHeight="false" outlineLevel="0" collapsed="false">
      <c r="A213" s="9" t="s">
        <v>1905</v>
      </c>
      <c r="B213" s="9" t="s">
        <v>1906</v>
      </c>
      <c r="C213" s="9" t="s">
        <v>177</v>
      </c>
      <c r="D213" s="9" t="s">
        <v>176</v>
      </c>
      <c r="E213" s="9" t="s">
        <v>124</v>
      </c>
      <c r="F213" s="9" t="s">
        <v>125</v>
      </c>
      <c r="G213" s="9" t="s">
        <v>1510</v>
      </c>
      <c r="H213" s="9" t="n">
        <v>3</v>
      </c>
      <c r="I213" s="9" t="s">
        <v>117</v>
      </c>
    </row>
    <row r="214" customFormat="false" ht="15" hidden="false" customHeight="false" outlineLevel="0" collapsed="false">
      <c r="A214" s="9" t="s">
        <v>1907</v>
      </c>
      <c r="B214" s="9" t="s">
        <v>1908</v>
      </c>
      <c r="C214" s="9" t="s">
        <v>177</v>
      </c>
      <c r="D214" s="9" t="s">
        <v>176</v>
      </c>
      <c r="E214" s="9" t="s">
        <v>124</v>
      </c>
      <c r="F214" s="9" t="s">
        <v>125</v>
      </c>
      <c r="G214" s="9"/>
      <c r="H214" s="9" t="n">
        <v>4</v>
      </c>
      <c r="I214" s="9" t="s">
        <v>117</v>
      </c>
    </row>
    <row r="215" customFormat="false" ht="15" hidden="false" customHeight="false" outlineLevel="0" collapsed="false">
      <c r="A215" s="9" t="s">
        <v>1909</v>
      </c>
      <c r="B215" s="9" t="s">
        <v>1910</v>
      </c>
      <c r="C215" s="9" t="s">
        <v>475</v>
      </c>
      <c r="D215" s="9" t="s">
        <v>474</v>
      </c>
      <c r="E215" s="9" t="s">
        <v>133</v>
      </c>
      <c r="F215" s="9" t="s">
        <v>125</v>
      </c>
      <c r="G215" s="9" t="s">
        <v>1510</v>
      </c>
      <c r="H215" s="9" t="n">
        <v>1</v>
      </c>
      <c r="I215" s="9" t="s">
        <v>117</v>
      </c>
    </row>
    <row r="216" customFormat="false" ht="15" hidden="false" customHeight="false" outlineLevel="0" collapsed="false">
      <c r="A216" s="9" t="s">
        <v>1911</v>
      </c>
      <c r="B216" s="9" t="s">
        <v>1912</v>
      </c>
      <c r="C216" s="9" t="s">
        <v>475</v>
      </c>
      <c r="D216" s="9" t="s">
        <v>474</v>
      </c>
      <c r="E216" s="9" t="s">
        <v>133</v>
      </c>
      <c r="F216" s="9" t="s">
        <v>125</v>
      </c>
      <c r="G216" s="9" t="s">
        <v>1510</v>
      </c>
      <c r="H216" s="9" t="n">
        <v>4</v>
      </c>
      <c r="I216" s="9" t="s">
        <v>117</v>
      </c>
    </row>
    <row r="217" customFormat="false" ht="15" hidden="false" customHeight="false" outlineLevel="0" collapsed="false">
      <c r="A217" s="9" t="s">
        <v>1913</v>
      </c>
      <c r="B217" s="9" t="s">
        <v>1914</v>
      </c>
      <c r="C217" s="9" t="s">
        <v>475</v>
      </c>
      <c r="D217" s="9" t="s">
        <v>474</v>
      </c>
      <c r="E217" s="9" t="s">
        <v>133</v>
      </c>
      <c r="F217" s="9" t="s">
        <v>125</v>
      </c>
      <c r="G217" s="9"/>
      <c r="H217" s="9" t="n">
        <v>11</v>
      </c>
      <c r="I217" s="9" t="s">
        <v>117</v>
      </c>
    </row>
    <row r="218" customFormat="false" ht="15" hidden="false" customHeight="false" outlineLevel="0" collapsed="false">
      <c r="A218" s="9" t="s">
        <v>1915</v>
      </c>
      <c r="B218" s="9" t="s">
        <v>1916</v>
      </c>
      <c r="C218" s="9" t="s">
        <v>475</v>
      </c>
      <c r="D218" s="9" t="s">
        <v>474</v>
      </c>
      <c r="E218" s="9" t="s">
        <v>133</v>
      </c>
      <c r="F218" s="9" t="s">
        <v>125</v>
      </c>
      <c r="G218" s="9" t="s">
        <v>1631</v>
      </c>
      <c r="H218" s="9" t="n">
        <v>13</v>
      </c>
      <c r="I218" s="9" t="s">
        <v>117</v>
      </c>
    </row>
    <row r="219" customFormat="false" ht="15" hidden="false" customHeight="false" outlineLevel="0" collapsed="false">
      <c r="A219" s="9" t="s">
        <v>1917</v>
      </c>
      <c r="B219" s="9" t="s">
        <v>1854</v>
      </c>
      <c r="C219" s="9" t="s">
        <v>475</v>
      </c>
      <c r="D219" s="9" t="s">
        <v>474</v>
      </c>
      <c r="E219" s="9" t="s">
        <v>133</v>
      </c>
      <c r="F219" s="9" t="s">
        <v>125</v>
      </c>
      <c r="G219" s="9"/>
      <c r="H219" s="9" t="n">
        <v>18</v>
      </c>
      <c r="I219" s="9" t="s">
        <v>117</v>
      </c>
    </row>
    <row r="220" customFormat="false" ht="15" hidden="false" customHeight="false" outlineLevel="0" collapsed="false">
      <c r="A220" s="9" t="s">
        <v>1918</v>
      </c>
      <c r="B220" s="9" t="s">
        <v>1919</v>
      </c>
      <c r="C220" s="9" t="s">
        <v>169</v>
      </c>
      <c r="D220" s="9" t="s">
        <v>168</v>
      </c>
      <c r="E220" s="9" t="s">
        <v>120</v>
      </c>
      <c r="F220" s="9" t="s">
        <v>170</v>
      </c>
      <c r="G220" s="9"/>
      <c r="H220" s="9" t="n">
        <v>10</v>
      </c>
      <c r="I220" s="9" t="s">
        <v>117</v>
      </c>
    </row>
    <row r="221" customFormat="false" ht="15" hidden="false" customHeight="false" outlineLevel="0" collapsed="false">
      <c r="A221" s="9" t="s">
        <v>1920</v>
      </c>
      <c r="B221" s="9" t="s">
        <v>1921</v>
      </c>
      <c r="C221" s="9" t="s">
        <v>169</v>
      </c>
      <c r="D221" s="9" t="s">
        <v>168</v>
      </c>
      <c r="E221" s="9" t="s">
        <v>120</v>
      </c>
      <c r="F221" s="9" t="s">
        <v>170</v>
      </c>
      <c r="G221" s="9"/>
      <c r="H221" s="9" t="n">
        <v>16</v>
      </c>
      <c r="I221" s="9" t="s">
        <v>117</v>
      </c>
    </row>
    <row r="222" customFormat="false" ht="15" hidden="false" customHeight="false" outlineLevel="0" collapsed="false">
      <c r="A222" s="9" t="s">
        <v>1922</v>
      </c>
      <c r="B222" s="9" t="s">
        <v>1923</v>
      </c>
      <c r="C222" s="9" t="s">
        <v>169</v>
      </c>
      <c r="D222" s="9" t="s">
        <v>168</v>
      </c>
      <c r="E222" s="9" t="s">
        <v>120</v>
      </c>
      <c r="F222" s="9" t="s">
        <v>170</v>
      </c>
      <c r="G222" s="9"/>
      <c r="H222" s="9" t="n">
        <v>17</v>
      </c>
      <c r="I222" s="9" t="s">
        <v>117</v>
      </c>
    </row>
    <row r="223" customFormat="false" ht="15" hidden="false" customHeight="false" outlineLevel="0" collapsed="false">
      <c r="A223" s="9" t="s">
        <v>1924</v>
      </c>
      <c r="B223" s="9" t="s">
        <v>1925</v>
      </c>
      <c r="C223" s="9" t="s">
        <v>169</v>
      </c>
      <c r="D223" s="9" t="s">
        <v>168</v>
      </c>
      <c r="E223" s="9" t="s">
        <v>120</v>
      </c>
      <c r="F223" s="9" t="s">
        <v>170</v>
      </c>
      <c r="G223" s="9" t="s">
        <v>1510</v>
      </c>
      <c r="H223" s="9" t="n">
        <v>18</v>
      </c>
      <c r="I223" s="9" t="s">
        <v>117</v>
      </c>
    </row>
    <row r="224" customFormat="false" ht="15" hidden="false" customHeight="false" outlineLevel="0" collapsed="false">
      <c r="A224" s="9" t="s">
        <v>1926</v>
      </c>
      <c r="B224" s="9" t="s">
        <v>1927</v>
      </c>
      <c r="C224" s="9" t="s">
        <v>172</v>
      </c>
      <c r="D224" s="9" t="s">
        <v>171</v>
      </c>
      <c r="E224" s="9" t="s">
        <v>106</v>
      </c>
      <c r="F224" s="9" t="s">
        <v>173</v>
      </c>
      <c r="G224" s="9"/>
      <c r="H224" s="9" t="n">
        <v>1</v>
      </c>
      <c r="I224" s="9" t="s">
        <v>117</v>
      </c>
    </row>
    <row r="225" customFormat="false" ht="15" hidden="false" customHeight="false" outlineLevel="0" collapsed="false">
      <c r="A225" s="9" t="s">
        <v>1928</v>
      </c>
      <c r="B225" s="9" t="s">
        <v>1929</v>
      </c>
      <c r="C225" s="9" t="s">
        <v>199</v>
      </c>
      <c r="D225" s="9" t="s">
        <v>198</v>
      </c>
      <c r="E225" s="9" t="s">
        <v>200</v>
      </c>
      <c r="F225" s="9" t="s">
        <v>173</v>
      </c>
      <c r="G225" s="9"/>
      <c r="H225" s="9" t="n">
        <v>1</v>
      </c>
      <c r="I225" s="9" t="s">
        <v>117</v>
      </c>
    </row>
    <row r="226" customFormat="false" ht="15" hidden="false" customHeight="false" outlineLevel="0" collapsed="false">
      <c r="A226" s="9" t="s">
        <v>1930</v>
      </c>
      <c r="B226" s="9" t="s">
        <v>1931</v>
      </c>
      <c r="C226" s="9" t="s">
        <v>199</v>
      </c>
      <c r="D226" s="9" t="s">
        <v>198</v>
      </c>
      <c r="E226" s="9" t="s">
        <v>200</v>
      </c>
      <c r="F226" s="9" t="s">
        <v>173</v>
      </c>
      <c r="G226" s="9"/>
      <c r="H226" s="9" t="n">
        <v>2</v>
      </c>
      <c r="I226" s="9" t="s">
        <v>117</v>
      </c>
    </row>
    <row r="227" customFormat="false" ht="15" hidden="false" customHeight="false" outlineLevel="0" collapsed="false">
      <c r="A227" s="9" t="s">
        <v>1932</v>
      </c>
      <c r="B227" s="9" t="s">
        <v>1933</v>
      </c>
      <c r="C227" s="9" t="s">
        <v>199</v>
      </c>
      <c r="D227" s="9" t="s">
        <v>198</v>
      </c>
      <c r="E227" s="9" t="s">
        <v>200</v>
      </c>
      <c r="F227" s="9" t="s">
        <v>173</v>
      </c>
      <c r="G227" s="9" t="s">
        <v>1543</v>
      </c>
      <c r="H227" s="9" t="n">
        <v>5</v>
      </c>
      <c r="I227" s="9" t="s">
        <v>117</v>
      </c>
    </row>
    <row r="228" customFormat="false" ht="15" hidden="false" customHeight="false" outlineLevel="0" collapsed="false">
      <c r="A228" s="9" t="s">
        <v>1934</v>
      </c>
      <c r="B228" s="9" t="s">
        <v>1935</v>
      </c>
      <c r="C228" s="9" t="s">
        <v>199</v>
      </c>
      <c r="D228" s="9" t="s">
        <v>198</v>
      </c>
      <c r="E228" s="9" t="s">
        <v>200</v>
      </c>
      <c r="F228" s="9" t="s">
        <v>173</v>
      </c>
      <c r="G228" s="9"/>
      <c r="H228" s="9" t="n">
        <v>7</v>
      </c>
      <c r="I228" s="9" t="s">
        <v>117</v>
      </c>
    </row>
    <row r="229" customFormat="false" ht="15" hidden="false" customHeight="false" outlineLevel="0" collapsed="false">
      <c r="A229" s="9" t="s">
        <v>1936</v>
      </c>
      <c r="B229" s="9" t="s">
        <v>1937</v>
      </c>
      <c r="C229" s="9" t="s">
        <v>199</v>
      </c>
      <c r="D229" s="9" t="s">
        <v>198</v>
      </c>
      <c r="E229" s="9" t="s">
        <v>200</v>
      </c>
      <c r="F229" s="9" t="s">
        <v>173</v>
      </c>
      <c r="G229" s="9" t="s">
        <v>1510</v>
      </c>
      <c r="H229" s="9" t="n">
        <v>11</v>
      </c>
      <c r="I229" s="9" t="s">
        <v>117</v>
      </c>
    </row>
    <row r="230" customFormat="false" ht="15" hidden="false" customHeight="false" outlineLevel="0" collapsed="false">
      <c r="A230" s="9" t="s">
        <v>1938</v>
      </c>
      <c r="B230" s="9" t="s">
        <v>1939</v>
      </c>
      <c r="C230" s="9" t="s">
        <v>199</v>
      </c>
      <c r="D230" s="9" t="s">
        <v>198</v>
      </c>
      <c r="E230" s="9" t="s">
        <v>200</v>
      </c>
      <c r="F230" s="9" t="s">
        <v>173</v>
      </c>
      <c r="G230" s="9" t="s">
        <v>1510</v>
      </c>
      <c r="H230" s="9" t="n">
        <v>13</v>
      </c>
      <c r="I230" s="9" t="s">
        <v>117</v>
      </c>
    </row>
    <row r="231" customFormat="false" ht="15" hidden="false" customHeight="false" outlineLevel="0" collapsed="false">
      <c r="A231" s="9" t="s">
        <v>1940</v>
      </c>
      <c r="B231" s="9" t="s">
        <v>1941</v>
      </c>
      <c r="C231" s="9" t="s">
        <v>199</v>
      </c>
      <c r="D231" s="9" t="s">
        <v>198</v>
      </c>
      <c r="E231" s="9" t="s">
        <v>200</v>
      </c>
      <c r="F231" s="9" t="s">
        <v>173</v>
      </c>
      <c r="G231" s="9" t="s">
        <v>1510</v>
      </c>
      <c r="H231" s="9" t="n">
        <v>18</v>
      </c>
      <c r="I231" s="9" t="s">
        <v>117</v>
      </c>
    </row>
    <row r="232" customFormat="false" ht="15" hidden="false" customHeight="false" outlineLevel="0" collapsed="false">
      <c r="A232" s="9" t="s">
        <v>1942</v>
      </c>
      <c r="B232" s="9" t="s">
        <v>1943</v>
      </c>
      <c r="C232" s="9" t="s">
        <v>199</v>
      </c>
      <c r="D232" s="9" t="s">
        <v>198</v>
      </c>
      <c r="E232" s="9" t="s">
        <v>200</v>
      </c>
      <c r="F232" s="9" t="s">
        <v>173</v>
      </c>
      <c r="G232" s="9" t="s">
        <v>1510</v>
      </c>
      <c r="H232" s="9" t="n">
        <v>24</v>
      </c>
      <c r="I232" s="9" t="s">
        <v>117</v>
      </c>
    </row>
    <row r="233" customFormat="false" ht="15" hidden="false" customHeight="false" outlineLevel="0" collapsed="false">
      <c r="A233" s="9" t="s">
        <v>1944</v>
      </c>
      <c r="B233" s="9" t="s">
        <v>1945</v>
      </c>
      <c r="C233" s="9" t="s">
        <v>199</v>
      </c>
      <c r="D233" s="9" t="s">
        <v>198</v>
      </c>
      <c r="E233" s="9" t="s">
        <v>200</v>
      </c>
      <c r="F233" s="9" t="s">
        <v>173</v>
      </c>
      <c r="G233" s="9"/>
      <c r="H233" s="9" t="n">
        <v>35</v>
      </c>
      <c r="I233" s="9" t="s">
        <v>117</v>
      </c>
    </row>
    <row r="234" customFormat="false" ht="15" hidden="false" customHeight="false" outlineLevel="0" collapsed="false">
      <c r="A234" s="9" t="s">
        <v>1946</v>
      </c>
      <c r="B234" s="9" t="s">
        <v>1947</v>
      </c>
      <c r="C234" s="9" t="s">
        <v>199</v>
      </c>
      <c r="D234" s="9" t="s">
        <v>198</v>
      </c>
      <c r="E234" s="9" t="s">
        <v>200</v>
      </c>
      <c r="F234" s="9" t="s">
        <v>173</v>
      </c>
      <c r="G234" s="9" t="s">
        <v>1631</v>
      </c>
      <c r="H234" s="9" t="n">
        <v>36</v>
      </c>
      <c r="I234" s="9" t="s">
        <v>117</v>
      </c>
    </row>
    <row r="235" customFormat="false" ht="15" hidden="false" customHeight="false" outlineLevel="0" collapsed="false">
      <c r="A235" s="9" t="s">
        <v>1948</v>
      </c>
      <c r="B235" s="9" t="s">
        <v>1949</v>
      </c>
      <c r="C235" s="9" t="s">
        <v>199</v>
      </c>
      <c r="D235" s="9" t="s">
        <v>198</v>
      </c>
      <c r="E235" s="9" t="s">
        <v>200</v>
      </c>
      <c r="F235" s="9" t="s">
        <v>173</v>
      </c>
      <c r="G235" s="9" t="s">
        <v>1631</v>
      </c>
      <c r="H235" s="9" t="n">
        <v>37</v>
      </c>
      <c r="I235" s="9" t="s">
        <v>117</v>
      </c>
    </row>
    <row r="236" customFormat="false" ht="15" hidden="false" customHeight="false" outlineLevel="0" collapsed="false">
      <c r="A236" s="9" t="s">
        <v>1950</v>
      </c>
      <c r="B236" s="9" t="s">
        <v>1951</v>
      </c>
      <c r="C236" s="9" t="s">
        <v>199</v>
      </c>
      <c r="D236" s="9" t="s">
        <v>198</v>
      </c>
      <c r="E236" s="9" t="s">
        <v>200</v>
      </c>
      <c r="F236" s="9" t="s">
        <v>173</v>
      </c>
      <c r="G236" s="9"/>
      <c r="H236" s="9" t="n">
        <v>45</v>
      </c>
      <c r="I236" s="9" t="s">
        <v>117</v>
      </c>
    </row>
    <row r="237" customFormat="false" ht="15" hidden="false" customHeight="false" outlineLevel="0" collapsed="false">
      <c r="A237" s="9" t="s">
        <v>1620</v>
      </c>
      <c r="B237" s="9" t="s">
        <v>1952</v>
      </c>
      <c r="C237" s="9" t="s">
        <v>199</v>
      </c>
      <c r="D237" s="9" t="s">
        <v>198</v>
      </c>
      <c r="E237" s="9" t="s">
        <v>200</v>
      </c>
      <c r="F237" s="9" t="s">
        <v>173</v>
      </c>
      <c r="G237" s="9"/>
      <c r="H237" s="9" t="n">
        <v>50</v>
      </c>
      <c r="I237" s="9" t="s">
        <v>117</v>
      </c>
    </row>
    <row r="238" customFormat="false" ht="15" hidden="false" customHeight="false" outlineLevel="0" collapsed="false">
      <c r="A238" s="9" t="s">
        <v>1726</v>
      </c>
      <c r="B238" s="9" t="s">
        <v>1953</v>
      </c>
      <c r="C238" s="9" t="s">
        <v>199</v>
      </c>
      <c r="D238" s="9" t="s">
        <v>198</v>
      </c>
      <c r="E238" s="9" t="s">
        <v>200</v>
      </c>
      <c r="F238" s="9" t="s">
        <v>173</v>
      </c>
      <c r="G238" s="9"/>
      <c r="H238" s="9" t="n">
        <v>55</v>
      </c>
      <c r="I238" s="9" t="s">
        <v>117</v>
      </c>
    </row>
    <row r="239" customFormat="false" ht="15" hidden="false" customHeight="false" outlineLevel="0" collapsed="false">
      <c r="A239" s="9" t="s">
        <v>1954</v>
      </c>
      <c r="B239" s="9" t="s">
        <v>1955</v>
      </c>
      <c r="C239" s="9" t="s">
        <v>199</v>
      </c>
      <c r="D239" s="9" t="s">
        <v>198</v>
      </c>
      <c r="E239" s="9" t="s">
        <v>200</v>
      </c>
      <c r="F239" s="9" t="s">
        <v>173</v>
      </c>
      <c r="G239" s="9" t="s">
        <v>1956</v>
      </c>
      <c r="H239" s="9" t="n">
        <v>56</v>
      </c>
      <c r="I239" s="9" t="s">
        <v>117</v>
      </c>
    </row>
    <row r="240" customFormat="false" ht="15" hidden="false" customHeight="false" outlineLevel="0" collapsed="false">
      <c r="A240" s="9" t="s">
        <v>1957</v>
      </c>
      <c r="B240" s="9" t="s">
        <v>1958</v>
      </c>
      <c r="C240" s="9" t="s">
        <v>199</v>
      </c>
      <c r="D240" s="9" t="s">
        <v>198</v>
      </c>
      <c r="E240" s="9" t="s">
        <v>200</v>
      </c>
      <c r="F240" s="9" t="s">
        <v>173</v>
      </c>
      <c r="G240" s="9"/>
      <c r="H240" s="9" t="n">
        <v>58</v>
      </c>
      <c r="I240" s="9" t="s">
        <v>117</v>
      </c>
    </row>
    <row r="241" customFormat="false" ht="15" hidden="false" customHeight="false" outlineLevel="0" collapsed="false">
      <c r="A241" s="9" t="s">
        <v>1959</v>
      </c>
      <c r="B241" s="9" t="s">
        <v>1960</v>
      </c>
      <c r="C241" s="9" t="s">
        <v>199</v>
      </c>
      <c r="D241" s="9" t="s">
        <v>198</v>
      </c>
      <c r="E241" s="9" t="s">
        <v>200</v>
      </c>
      <c r="F241" s="9" t="s">
        <v>173</v>
      </c>
      <c r="G241" s="9" t="s">
        <v>1510</v>
      </c>
      <c r="H241" s="9" t="n">
        <v>63</v>
      </c>
      <c r="I241" s="9" t="s">
        <v>117</v>
      </c>
    </row>
    <row r="242" customFormat="false" ht="15" hidden="false" customHeight="false" outlineLevel="0" collapsed="false">
      <c r="A242" s="9" t="s">
        <v>1961</v>
      </c>
      <c r="B242" s="9" t="s">
        <v>1852</v>
      </c>
      <c r="C242" s="9" t="s">
        <v>235</v>
      </c>
      <c r="D242" s="9" t="s">
        <v>234</v>
      </c>
      <c r="E242" s="9" t="s">
        <v>106</v>
      </c>
      <c r="F242" s="9" t="s">
        <v>173</v>
      </c>
      <c r="G242" s="9"/>
      <c r="H242" s="9" t="n">
        <v>3</v>
      </c>
      <c r="I242" s="9" t="s">
        <v>117</v>
      </c>
    </row>
    <row r="243" customFormat="false" ht="15" hidden="false" customHeight="false" outlineLevel="0" collapsed="false">
      <c r="A243" s="9" t="s">
        <v>1962</v>
      </c>
      <c r="B243" s="9" t="s">
        <v>1963</v>
      </c>
      <c r="C243" s="9" t="s">
        <v>235</v>
      </c>
      <c r="D243" s="9" t="s">
        <v>234</v>
      </c>
      <c r="E243" s="9" t="s">
        <v>106</v>
      </c>
      <c r="F243" s="9" t="s">
        <v>173</v>
      </c>
      <c r="G243" s="9" t="s">
        <v>1510</v>
      </c>
      <c r="H243" s="9" t="n">
        <v>6</v>
      </c>
      <c r="I243" s="9" t="s">
        <v>117</v>
      </c>
    </row>
    <row r="244" customFormat="false" ht="15" hidden="false" customHeight="false" outlineLevel="0" collapsed="false">
      <c r="A244" s="9" t="s">
        <v>1964</v>
      </c>
      <c r="B244" s="9" t="s">
        <v>1965</v>
      </c>
      <c r="C244" s="9" t="s">
        <v>130</v>
      </c>
      <c r="D244" s="9" t="s">
        <v>129</v>
      </c>
      <c r="E244" s="9" t="s">
        <v>106</v>
      </c>
      <c r="F244" s="9" t="s">
        <v>108</v>
      </c>
      <c r="G244" s="9"/>
      <c r="H244" s="9" t="n">
        <v>4</v>
      </c>
      <c r="I244" s="9" t="s">
        <v>103</v>
      </c>
    </row>
    <row r="245" customFormat="false" ht="15" hidden="false" customHeight="false" outlineLevel="0" collapsed="false">
      <c r="A245" s="9" t="s">
        <v>1800</v>
      </c>
      <c r="B245" s="9" t="s">
        <v>1966</v>
      </c>
      <c r="C245" s="9" t="s">
        <v>184</v>
      </c>
      <c r="D245" s="9" t="s">
        <v>183</v>
      </c>
      <c r="E245" s="9" t="s">
        <v>106</v>
      </c>
      <c r="F245" s="9" t="s">
        <v>108</v>
      </c>
      <c r="G245" s="9"/>
      <c r="H245" s="9" t="n">
        <v>1</v>
      </c>
      <c r="I245" s="9" t="s">
        <v>143</v>
      </c>
    </row>
    <row r="246" customFormat="false" ht="15" hidden="false" customHeight="false" outlineLevel="0" collapsed="false">
      <c r="A246" s="9" t="s">
        <v>1967</v>
      </c>
      <c r="B246" s="9" t="s">
        <v>1968</v>
      </c>
      <c r="C246" s="9" t="s">
        <v>184</v>
      </c>
      <c r="D246" s="9" t="s">
        <v>183</v>
      </c>
      <c r="E246" s="9" t="s">
        <v>106</v>
      </c>
      <c r="F246" s="9" t="s">
        <v>108</v>
      </c>
      <c r="G246" s="9"/>
      <c r="H246" s="9" t="n">
        <v>5</v>
      </c>
      <c r="I246" s="9" t="s">
        <v>143</v>
      </c>
    </row>
    <row r="247" customFormat="false" ht="15" hidden="false" customHeight="false" outlineLevel="0" collapsed="false">
      <c r="A247" s="9" t="s">
        <v>1629</v>
      </c>
      <c r="B247" s="9" t="s">
        <v>1969</v>
      </c>
      <c r="C247" s="9" t="s">
        <v>291</v>
      </c>
      <c r="D247" s="9" t="s">
        <v>290</v>
      </c>
      <c r="E247" s="9" t="s">
        <v>106</v>
      </c>
      <c r="F247" s="9" t="s">
        <v>108</v>
      </c>
      <c r="G247" s="9"/>
      <c r="H247" s="9" t="n">
        <v>1</v>
      </c>
      <c r="I247" s="9" t="s">
        <v>103</v>
      </c>
    </row>
    <row r="248" customFormat="false" ht="15" hidden="false" customHeight="false" outlineLevel="0" collapsed="false">
      <c r="A248" s="9" t="s">
        <v>1970</v>
      </c>
      <c r="B248" s="9" t="s">
        <v>1971</v>
      </c>
      <c r="C248" s="9" t="s">
        <v>211</v>
      </c>
      <c r="D248" s="9" t="s">
        <v>210</v>
      </c>
      <c r="E248" s="9" t="s">
        <v>106</v>
      </c>
      <c r="F248" s="9" t="s">
        <v>108</v>
      </c>
      <c r="G248" s="9"/>
      <c r="H248" s="9" t="n">
        <v>1</v>
      </c>
      <c r="I248" s="9" t="s">
        <v>103</v>
      </c>
    </row>
    <row r="249" customFormat="false" ht="15" hidden="false" customHeight="false" outlineLevel="0" collapsed="false">
      <c r="A249" s="9" t="s">
        <v>1972</v>
      </c>
      <c r="B249" s="9" t="s">
        <v>1973</v>
      </c>
      <c r="C249" s="9" t="s">
        <v>211</v>
      </c>
      <c r="D249" s="9" t="s">
        <v>210</v>
      </c>
      <c r="E249" s="9" t="s">
        <v>106</v>
      </c>
      <c r="F249" s="9" t="s">
        <v>108</v>
      </c>
      <c r="G249" s="9"/>
      <c r="H249" s="9" t="n">
        <v>2</v>
      </c>
      <c r="I249" s="9" t="s">
        <v>103</v>
      </c>
    </row>
    <row r="250" customFormat="false" ht="15" hidden="false" customHeight="false" outlineLevel="0" collapsed="false">
      <c r="A250" s="9" t="s">
        <v>1974</v>
      </c>
      <c r="B250" s="9" t="s">
        <v>1975</v>
      </c>
      <c r="C250" s="9" t="s">
        <v>211</v>
      </c>
      <c r="D250" s="9" t="s">
        <v>210</v>
      </c>
      <c r="E250" s="9" t="s">
        <v>106</v>
      </c>
      <c r="F250" s="9" t="s">
        <v>108</v>
      </c>
      <c r="G250" s="9"/>
      <c r="H250" s="9" t="n">
        <v>4</v>
      </c>
      <c r="I250" s="9" t="s">
        <v>103</v>
      </c>
    </row>
    <row r="251" customFormat="false" ht="15" hidden="false" customHeight="false" outlineLevel="0" collapsed="false">
      <c r="A251" s="9" t="s">
        <v>1976</v>
      </c>
      <c r="B251" s="9" t="s">
        <v>1977</v>
      </c>
      <c r="C251" s="9" t="s">
        <v>220</v>
      </c>
      <c r="D251" s="9" t="s">
        <v>219</v>
      </c>
      <c r="E251" s="9" t="s">
        <v>106</v>
      </c>
      <c r="F251" s="9" t="s">
        <v>108</v>
      </c>
      <c r="G251" s="9"/>
      <c r="H251" s="9" t="n">
        <v>2</v>
      </c>
      <c r="I251" s="9" t="s">
        <v>103</v>
      </c>
    </row>
    <row r="252" customFormat="false" ht="15" hidden="false" customHeight="false" outlineLevel="0" collapsed="false">
      <c r="A252" s="9" t="s">
        <v>1978</v>
      </c>
      <c r="B252" s="9" t="s">
        <v>1979</v>
      </c>
      <c r="C252" s="9" t="s">
        <v>114</v>
      </c>
      <c r="D252" s="9" t="s">
        <v>113</v>
      </c>
      <c r="E252" s="9" t="s">
        <v>115</v>
      </c>
      <c r="F252" s="9" t="s">
        <v>116</v>
      </c>
      <c r="G252" s="9"/>
      <c r="H252" s="9" t="n">
        <v>1</v>
      </c>
      <c r="I252" s="9" t="s">
        <v>117</v>
      </c>
    </row>
    <row r="253" customFormat="false" ht="15" hidden="false" customHeight="false" outlineLevel="0" collapsed="false">
      <c r="A253" s="9" t="s">
        <v>1980</v>
      </c>
      <c r="B253" s="9" t="s">
        <v>1981</v>
      </c>
      <c r="C253" s="9" t="s">
        <v>114</v>
      </c>
      <c r="D253" s="9" t="s">
        <v>113</v>
      </c>
      <c r="E253" s="9" t="s">
        <v>115</v>
      </c>
      <c r="F253" s="9" t="s">
        <v>116</v>
      </c>
      <c r="G253" s="9"/>
      <c r="H253" s="9" t="n">
        <v>2</v>
      </c>
      <c r="I253" s="9" t="s">
        <v>117</v>
      </c>
    </row>
    <row r="254" customFormat="false" ht="15" hidden="false" customHeight="false" outlineLevel="0" collapsed="false">
      <c r="A254" s="9" t="s">
        <v>1982</v>
      </c>
      <c r="B254" s="9" t="s">
        <v>1983</v>
      </c>
      <c r="C254" s="9" t="s">
        <v>114</v>
      </c>
      <c r="D254" s="9" t="s">
        <v>113</v>
      </c>
      <c r="E254" s="9" t="s">
        <v>115</v>
      </c>
      <c r="F254" s="9" t="s">
        <v>116</v>
      </c>
      <c r="G254" s="9"/>
      <c r="H254" s="9" t="n">
        <v>3</v>
      </c>
      <c r="I254" s="9" t="s">
        <v>117</v>
      </c>
    </row>
    <row r="255" customFormat="false" ht="15" hidden="false" customHeight="false" outlineLevel="0" collapsed="false">
      <c r="A255" s="9" t="s">
        <v>1816</v>
      </c>
      <c r="B255" s="9" t="s">
        <v>1984</v>
      </c>
      <c r="C255" s="9" t="s">
        <v>114</v>
      </c>
      <c r="D255" s="9" t="s">
        <v>113</v>
      </c>
      <c r="E255" s="9" t="s">
        <v>115</v>
      </c>
      <c r="F255" s="9" t="s">
        <v>116</v>
      </c>
      <c r="G255" s="9"/>
      <c r="H255" s="9" t="n">
        <v>5</v>
      </c>
      <c r="I255" s="9" t="s">
        <v>117</v>
      </c>
    </row>
    <row r="256" customFormat="false" ht="15" hidden="false" customHeight="false" outlineLevel="0" collapsed="false">
      <c r="A256" s="9" t="s">
        <v>1985</v>
      </c>
      <c r="B256" s="9" t="s">
        <v>1986</v>
      </c>
      <c r="C256" s="9" t="s">
        <v>114</v>
      </c>
      <c r="D256" s="9" t="s">
        <v>113</v>
      </c>
      <c r="E256" s="9" t="s">
        <v>115</v>
      </c>
      <c r="F256" s="9" t="s">
        <v>116</v>
      </c>
      <c r="G256" s="9" t="s">
        <v>1510</v>
      </c>
      <c r="H256" s="9" t="n">
        <v>6</v>
      </c>
      <c r="I256" s="9" t="s">
        <v>117</v>
      </c>
    </row>
    <row r="257" customFormat="false" ht="15" hidden="false" customHeight="false" outlineLevel="0" collapsed="false">
      <c r="A257" s="9" t="s">
        <v>1987</v>
      </c>
      <c r="B257" s="9" t="s">
        <v>1988</v>
      </c>
      <c r="C257" s="9" t="s">
        <v>137</v>
      </c>
      <c r="D257" s="9" t="s">
        <v>136</v>
      </c>
      <c r="E257" s="9" t="s">
        <v>133</v>
      </c>
      <c r="F257" s="9" t="s">
        <v>116</v>
      </c>
      <c r="G257" s="9"/>
      <c r="H257" s="9" t="n">
        <v>4</v>
      </c>
      <c r="I257" s="9" t="s">
        <v>135</v>
      </c>
    </row>
    <row r="258" customFormat="false" ht="15" hidden="false" customHeight="false" outlineLevel="0" collapsed="false">
      <c r="A258" s="9" t="s">
        <v>1989</v>
      </c>
      <c r="B258" s="9" t="s">
        <v>1990</v>
      </c>
      <c r="C258" s="9" t="s">
        <v>179</v>
      </c>
      <c r="D258" s="9" t="s">
        <v>178</v>
      </c>
      <c r="E258" s="9" t="s">
        <v>146</v>
      </c>
      <c r="F258" s="9" t="s">
        <v>116</v>
      </c>
      <c r="G258" s="9"/>
      <c r="H258" s="9" t="n">
        <v>1</v>
      </c>
      <c r="I258" s="9" t="s">
        <v>117</v>
      </c>
    </row>
    <row r="259" customFormat="false" ht="15" hidden="false" customHeight="false" outlineLevel="0" collapsed="false">
      <c r="A259" s="9" t="s">
        <v>1991</v>
      </c>
      <c r="B259" s="9" t="s">
        <v>1992</v>
      </c>
      <c r="C259" s="9" t="s">
        <v>179</v>
      </c>
      <c r="D259" s="9" t="s">
        <v>178</v>
      </c>
      <c r="E259" s="9" t="s">
        <v>146</v>
      </c>
      <c r="F259" s="9" t="s">
        <v>116</v>
      </c>
      <c r="G259" s="9"/>
      <c r="H259" s="9" t="n">
        <v>2</v>
      </c>
      <c r="I259" s="9" t="s">
        <v>117</v>
      </c>
    </row>
    <row r="260" customFormat="false" ht="15" hidden="false" customHeight="false" outlineLevel="0" collapsed="false">
      <c r="A260" s="9" t="s">
        <v>1993</v>
      </c>
      <c r="B260" s="9" t="s">
        <v>1994</v>
      </c>
      <c r="C260" s="9" t="s">
        <v>179</v>
      </c>
      <c r="D260" s="9" t="s">
        <v>178</v>
      </c>
      <c r="E260" s="9" t="s">
        <v>146</v>
      </c>
      <c r="F260" s="9" t="s">
        <v>116</v>
      </c>
      <c r="G260" s="9"/>
      <c r="H260" s="9" t="n">
        <v>8</v>
      </c>
      <c r="I260" s="9" t="s">
        <v>117</v>
      </c>
    </row>
    <row r="261" customFormat="false" ht="15" hidden="false" customHeight="false" outlineLevel="0" collapsed="false">
      <c r="A261" s="9" t="s">
        <v>1995</v>
      </c>
      <c r="B261" s="9" t="s">
        <v>1996</v>
      </c>
      <c r="C261" s="9" t="s">
        <v>179</v>
      </c>
      <c r="D261" s="9" t="s">
        <v>178</v>
      </c>
      <c r="E261" s="9" t="s">
        <v>146</v>
      </c>
      <c r="F261" s="9" t="s">
        <v>116</v>
      </c>
      <c r="G261" s="9"/>
      <c r="H261" s="9" t="n">
        <v>9</v>
      </c>
      <c r="I261" s="9" t="s">
        <v>117</v>
      </c>
    </row>
    <row r="262" customFormat="false" ht="15" hidden="false" customHeight="false" outlineLevel="0" collapsed="false">
      <c r="A262" s="9" t="s">
        <v>1997</v>
      </c>
      <c r="B262" s="9" t="s">
        <v>1998</v>
      </c>
      <c r="C262" s="9" t="s">
        <v>237</v>
      </c>
      <c r="D262" s="9" t="s">
        <v>236</v>
      </c>
      <c r="E262" s="9" t="s">
        <v>237</v>
      </c>
      <c r="F262" s="9" t="s">
        <v>116</v>
      </c>
      <c r="G262" s="9"/>
      <c r="H262" s="9" t="n">
        <v>5</v>
      </c>
      <c r="I262" s="9" t="s">
        <v>117</v>
      </c>
    </row>
    <row r="263" customFormat="false" ht="15" hidden="false" customHeight="false" outlineLevel="0" collapsed="false">
      <c r="A263" s="9" t="s">
        <v>1999</v>
      </c>
      <c r="B263" s="9" t="s">
        <v>2000</v>
      </c>
      <c r="C263" s="9" t="s">
        <v>237</v>
      </c>
      <c r="D263" s="9" t="s">
        <v>236</v>
      </c>
      <c r="E263" s="9" t="s">
        <v>237</v>
      </c>
      <c r="F263" s="9" t="s">
        <v>116</v>
      </c>
      <c r="G263" s="9"/>
      <c r="H263" s="9" t="n">
        <v>6</v>
      </c>
      <c r="I263" s="9" t="s">
        <v>117</v>
      </c>
    </row>
    <row r="264" customFormat="false" ht="15" hidden="false" customHeight="false" outlineLevel="0" collapsed="false">
      <c r="A264" s="9" t="s">
        <v>2001</v>
      </c>
      <c r="B264" s="9" t="s">
        <v>2002</v>
      </c>
      <c r="C264" s="9" t="s">
        <v>237</v>
      </c>
      <c r="D264" s="9" t="s">
        <v>236</v>
      </c>
      <c r="E264" s="9" t="s">
        <v>237</v>
      </c>
      <c r="F264" s="9" t="s">
        <v>116</v>
      </c>
      <c r="G264" s="9"/>
      <c r="H264" s="9" t="n">
        <v>9</v>
      </c>
      <c r="I264" s="9" t="s">
        <v>117</v>
      </c>
    </row>
    <row r="265" customFormat="false" ht="15" hidden="false" customHeight="false" outlineLevel="0" collapsed="false">
      <c r="A265" s="9" t="s">
        <v>668</v>
      </c>
      <c r="B265" s="9" t="s">
        <v>2003</v>
      </c>
      <c r="C265" s="9" t="s">
        <v>237</v>
      </c>
      <c r="D265" s="9" t="s">
        <v>236</v>
      </c>
      <c r="E265" s="9" t="s">
        <v>237</v>
      </c>
      <c r="F265" s="9" t="s">
        <v>116</v>
      </c>
      <c r="G265" s="9"/>
      <c r="H265" s="9" t="n">
        <v>10</v>
      </c>
      <c r="I265" s="9" t="s">
        <v>117</v>
      </c>
    </row>
    <row r="266" customFormat="false" ht="15" hidden="false" customHeight="false" outlineLevel="0" collapsed="false">
      <c r="A266" s="9" t="s">
        <v>2004</v>
      </c>
      <c r="B266" s="9" t="s">
        <v>2005</v>
      </c>
      <c r="C266" s="9" t="s">
        <v>237</v>
      </c>
      <c r="D266" s="9" t="s">
        <v>236</v>
      </c>
      <c r="E266" s="9" t="s">
        <v>237</v>
      </c>
      <c r="F266" s="9" t="s">
        <v>116</v>
      </c>
      <c r="G266" s="9" t="s">
        <v>1510</v>
      </c>
      <c r="H266" s="9" t="n">
        <v>17</v>
      </c>
      <c r="I266" s="9" t="s">
        <v>117</v>
      </c>
    </row>
    <row r="267" customFormat="false" ht="15" hidden="false" customHeight="false" outlineLevel="0" collapsed="false">
      <c r="A267" s="9" t="s">
        <v>2006</v>
      </c>
      <c r="B267" s="9" t="s">
        <v>2007</v>
      </c>
      <c r="C267" s="9" t="s">
        <v>237</v>
      </c>
      <c r="D267" s="9" t="s">
        <v>236</v>
      </c>
      <c r="E267" s="9" t="s">
        <v>237</v>
      </c>
      <c r="F267" s="9" t="s">
        <v>116</v>
      </c>
      <c r="G267" s="9" t="s">
        <v>1510</v>
      </c>
      <c r="H267" s="9" t="n">
        <v>20</v>
      </c>
      <c r="I267" s="9" t="s">
        <v>117</v>
      </c>
    </row>
    <row r="268" customFormat="false" ht="15" hidden="false" customHeight="false" outlineLevel="0" collapsed="false">
      <c r="A268" s="9" t="s">
        <v>2008</v>
      </c>
      <c r="B268" s="9" t="s">
        <v>2009</v>
      </c>
      <c r="C268" s="9" t="s">
        <v>146</v>
      </c>
      <c r="D268" s="9" t="s">
        <v>238</v>
      </c>
      <c r="E268" s="9" t="s">
        <v>146</v>
      </c>
      <c r="F268" s="9" t="s">
        <v>116</v>
      </c>
      <c r="G268" s="9" t="s">
        <v>1510</v>
      </c>
      <c r="H268" s="9" t="n">
        <v>1</v>
      </c>
      <c r="I268" s="9" t="s">
        <v>117</v>
      </c>
    </row>
    <row r="269" customFormat="false" ht="15" hidden="false" customHeight="false" outlineLevel="0" collapsed="false">
      <c r="A269" s="9" t="s">
        <v>2010</v>
      </c>
      <c r="B269" s="9" t="s">
        <v>1689</v>
      </c>
      <c r="C269" s="9" t="s">
        <v>146</v>
      </c>
      <c r="D269" s="9" t="s">
        <v>238</v>
      </c>
      <c r="E269" s="9" t="s">
        <v>146</v>
      </c>
      <c r="F269" s="9" t="s">
        <v>116</v>
      </c>
      <c r="G269" s="9"/>
      <c r="H269" s="9" t="n">
        <v>3</v>
      </c>
      <c r="I269" s="9" t="s">
        <v>117</v>
      </c>
    </row>
    <row r="270" customFormat="false" ht="15" hidden="false" customHeight="false" outlineLevel="0" collapsed="false">
      <c r="A270" s="9" t="s">
        <v>2011</v>
      </c>
      <c r="B270" s="9" t="s">
        <v>2012</v>
      </c>
      <c r="C270" s="9" t="s">
        <v>146</v>
      </c>
      <c r="D270" s="9" t="s">
        <v>238</v>
      </c>
      <c r="E270" s="9" t="s">
        <v>146</v>
      </c>
      <c r="F270" s="9" t="s">
        <v>116</v>
      </c>
      <c r="G270" s="9"/>
      <c r="H270" s="9" t="n">
        <v>10</v>
      </c>
      <c r="I270" s="9" t="s">
        <v>117</v>
      </c>
    </row>
    <row r="271" customFormat="false" ht="15" hidden="false" customHeight="false" outlineLevel="0" collapsed="false">
      <c r="A271" s="9" t="s">
        <v>2013</v>
      </c>
      <c r="B271" s="9" t="s">
        <v>2014</v>
      </c>
      <c r="C271" s="9" t="s">
        <v>146</v>
      </c>
      <c r="D271" s="9" t="s">
        <v>238</v>
      </c>
      <c r="E271" s="9" t="s">
        <v>146</v>
      </c>
      <c r="F271" s="9" t="s">
        <v>116</v>
      </c>
      <c r="G271" s="9" t="s">
        <v>1510</v>
      </c>
      <c r="H271" s="9" t="n">
        <v>12</v>
      </c>
      <c r="I271" s="9" t="s">
        <v>117</v>
      </c>
    </row>
    <row r="272" customFormat="false" ht="15" hidden="false" customHeight="false" outlineLevel="0" collapsed="false">
      <c r="A272" s="9" t="s">
        <v>2015</v>
      </c>
      <c r="B272" s="9" t="s">
        <v>2016</v>
      </c>
      <c r="C272" s="9" t="s">
        <v>243</v>
      </c>
      <c r="D272" s="9" t="s">
        <v>242</v>
      </c>
      <c r="E272" s="9" t="s">
        <v>115</v>
      </c>
      <c r="F272" s="9" t="s">
        <v>116</v>
      </c>
      <c r="G272" s="9"/>
      <c r="H272" s="9" t="n">
        <v>2</v>
      </c>
      <c r="I272" s="9" t="s">
        <v>117</v>
      </c>
    </row>
    <row r="273" customFormat="false" ht="15" hidden="false" customHeight="false" outlineLevel="0" collapsed="false">
      <c r="A273" s="9" t="s">
        <v>2017</v>
      </c>
      <c r="B273" s="9" t="s">
        <v>2018</v>
      </c>
      <c r="C273" s="9" t="s">
        <v>243</v>
      </c>
      <c r="D273" s="9" t="s">
        <v>242</v>
      </c>
      <c r="E273" s="9" t="s">
        <v>115</v>
      </c>
      <c r="F273" s="9" t="s">
        <v>116</v>
      </c>
      <c r="G273" s="9"/>
      <c r="H273" s="9" t="n">
        <v>6</v>
      </c>
      <c r="I273" s="9" t="s">
        <v>117</v>
      </c>
    </row>
    <row r="274" customFormat="false" ht="15" hidden="false" customHeight="false" outlineLevel="0" collapsed="false">
      <c r="A274" s="9" t="s">
        <v>2019</v>
      </c>
      <c r="B274" s="9" t="s">
        <v>2020</v>
      </c>
      <c r="C274" s="9" t="s">
        <v>243</v>
      </c>
      <c r="D274" s="9" t="s">
        <v>242</v>
      </c>
      <c r="E274" s="9" t="s">
        <v>115</v>
      </c>
      <c r="F274" s="9" t="s">
        <v>116</v>
      </c>
      <c r="G274" s="9"/>
      <c r="H274" s="9" t="n">
        <v>10</v>
      </c>
      <c r="I274" s="9" t="s">
        <v>117</v>
      </c>
    </row>
    <row r="275" customFormat="false" ht="15" hidden="false" customHeight="false" outlineLevel="0" collapsed="false">
      <c r="A275" s="9" t="s">
        <v>2021</v>
      </c>
      <c r="B275" s="9" t="s">
        <v>2022</v>
      </c>
      <c r="C275" s="9" t="s">
        <v>243</v>
      </c>
      <c r="D275" s="9" t="s">
        <v>242</v>
      </c>
      <c r="E275" s="9" t="s">
        <v>115</v>
      </c>
      <c r="F275" s="9" t="s">
        <v>116</v>
      </c>
      <c r="G275" s="9"/>
      <c r="H275" s="9" t="n">
        <v>11</v>
      </c>
      <c r="I275" s="9" t="s">
        <v>117</v>
      </c>
    </row>
    <row r="276" customFormat="false" ht="15" hidden="false" customHeight="false" outlineLevel="0" collapsed="false">
      <c r="A276" s="9" t="s">
        <v>1506</v>
      </c>
      <c r="B276" s="9" t="s">
        <v>2023</v>
      </c>
      <c r="C276" s="9" t="s">
        <v>243</v>
      </c>
      <c r="D276" s="9" t="s">
        <v>242</v>
      </c>
      <c r="E276" s="9" t="s">
        <v>115</v>
      </c>
      <c r="F276" s="9" t="s">
        <v>116</v>
      </c>
      <c r="G276" s="9"/>
      <c r="H276" s="9" t="n">
        <v>15</v>
      </c>
      <c r="I276" s="9" t="s">
        <v>117</v>
      </c>
    </row>
    <row r="277" customFormat="false" ht="15" hidden="false" customHeight="false" outlineLevel="0" collapsed="false">
      <c r="A277" s="9" t="s">
        <v>2024</v>
      </c>
      <c r="B277" s="9" t="s">
        <v>2025</v>
      </c>
      <c r="C277" s="9" t="s">
        <v>243</v>
      </c>
      <c r="D277" s="9" t="s">
        <v>242</v>
      </c>
      <c r="E277" s="9" t="s">
        <v>115</v>
      </c>
      <c r="F277" s="9" t="s">
        <v>116</v>
      </c>
      <c r="G277" s="9" t="s">
        <v>1510</v>
      </c>
      <c r="H277" s="9" t="n">
        <v>19</v>
      </c>
      <c r="I277" s="9" t="s">
        <v>117</v>
      </c>
    </row>
    <row r="278" customFormat="false" ht="15" hidden="false" customHeight="false" outlineLevel="0" collapsed="false">
      <c r="A278" s="9" t="s">
        <v>2026</v>
      </c>
      <c r="B278" s="9" t="s">
        <v>2027</v>
      </c>
      <c r="C278" s="9" t="s">
        <v>139</v>
      </c>
      <c r="D278" s="9" t="s">
        <v>138</v>
      </c>
      <c r="E278" s="9" t="s">
        <v>140</v>
      </c>
      <c r="F278" s="9" t="s">
        <v>128</v>
      </c>
      <c r="G278" s="9"/>
      <c r="H278" s="9" t="n">
        <v>1</v>
      </c>
      <c r="I278" s="9" t="s">
        <v>117</v>
      </c>
    </row>
    <row r="279" customFormat="false" ht="15" hidden="false" customHeight="false" outlineLevel="0" collapsed="false">
      <c r="A279" s="9" t="s">
        <v>2028</v>
      </c>
      <c r="B279" s="9" t="s">
        <v>2029</v>
      </c>
      <c r="C279" s="9" t="s">
        <v>139</v>
      </c>
      <c r="D279" s="9" t="s">
        <v>138</v>
      </c>
      <c r="E279" s="9" t="s">
        <v>140</v>
      </c>
      <c r="F279" s="9" t="s">
        <v>128</v>
      </c>
      <c r="G279" s="9" t="s">
        <v>1510</v>
      </c>
      <c r="H279" s="9" t="n">
        <v>10</v>
      </c>
      <c r="I279" s="9" t="s">
        <v>117</v>
      </c>
    </row>
    <row r="280" customFormat="false" ht="15" hidden="false" customHeight="false" outlineLevel="0" collapsed="false">
      <c r="A280" s="9" t="s">
        <v>2030</v>
      </c>
      <c r="B280" s="9" t="s">
        <v>2029</v>
      </c>
      <c r="C280" s="9" t="s">
        <v>139</v>
      </c>
      <c r="D280" s="9" t="s">
        <v>138</v>
      </c>
      <c r="E280" s="9" t="s">
        <v>140</v>
      </c>
      <c r="F280" s="9" t="s">
        <v>128</v>
      </c>
      <c r="G280" s="9"/>
      <c r="H280" s="9" t="n">
        <v>11</v>
      </c>
      <c r="I280" s="9" t="s">
        <v>117</v>
      </c>
    </row>
    <row r="281" customFormat="false" ht="15" hidden="false" customHeight="false" outlineLevel="0" collapsed="false">
      <c r="A281" s="9" t="s">
        <v>2031</v>
      </c>
      <c r="B281" s="9" t="s">
        <v>2032</v>
      </c>
      <c r="C281" s="9" t="s">
        <v>194</v>
      </c>
      <c r="D281" s="9" t="s">
        <v>193</v>
      </c>
      <c r="E281" s="9" t="s">
        <v>140</v>
      </c>
      <c r="F281" s="9" t="s">
        <v>128</v>
      </c>
      <c r="G281" s="9"/>
      <c r="H281" s="9" t="n">
        <v>4</v>
      </c>
      <c r="I281" s="9" t="s">
        <v>135</v>
      </c>
    </row>
    <row r="282" customFormat="false" ht="15" hidden="false" customHeight="false" outlineLevel="0" collapsed="false">
      <c r="A282" s="9" t="s">
        <v>2033</v>
      </c>
      <c r="B282" s="9" t="s">
        <v>2034</v>
      </c>
      <c r="C282" s="9" t="s">
        <v>194</v>
      </c>
      <c r="D282" s="9" t="s">
        <v>193</v>
      </c>
      <c r="E282" s="9" t="s">
        <v>140</v>
      </c>
      <c r="F282" s="9" t="s">
        <v>128</v>
      </c>
      <c r="G282" s="9" t="s">
        <v>1510</v>
      </c>
      <c r="H282" s="9" t="n">
        <v>7</v>
      </c>
      <c r="I282" s="9" t="s">
        <v>135</v>
      </c>
    </row>
    <row r="283" customFormat="false" ht="15" hidden="false" customHeight="false" outlineLevel="0" collapsed="false">
      <c r="A283" s="9" t="s">
        <v>1625</v>
      </c>
      <c r="B283" s="9" t="s">
        <v>2035</v>
      </c>
      <c r="C283" s="9" t="s">
        <v>245</v>
      </c>
      <c r="D283" s="9" t="s">
        <v>244</v>
      </c>
      <c r="E283" s="9" t="s">
        <v>100</v>
      </c>
      <c r="F283" s="9" t="s">
        <v>128</v>
      </c>
      <c r="G283" s="9"/>
      <c r="H283" s="9" t="n">
        <v>1</v>
      </c>
      <c r="I283" s="9" t="s">
        <v>117</v>
      </c>
    </row>
    <row r="284" customFormat="false" ht="15" hidden="false" customHeight="false" outlineLevel="0" collapsed="false">
      <c r="A284" s="9" t="s">
        <v>1679</v>
      </c>
      <c r="B284" s="9" t="s">
        <v>2036</v>
      </c>
      <c r="C284" s="9" t="s">
        <v>145</v>
      </c>
      <c r="D284" s="9" t="s">
        <v>144</v>
      </c>
      <c r="E284" s="9" t="s">
        <v>146</v>
      </c>
      <c r="F284" s="9" t="s">
        <v>134</v>
      </c>
      <c r="G284" s="9"/>
      <c r="H284" s="9" t="n">
        <v>2</v>
      </c>
      <c r="I284" s="9" t="s">
        <v>135</v>
      </c>
    </row>
    <row r="285" customFormat="false" ht="15" hidden="false" customHeight="false" outlineLevel="0" collapsed="false">
      <c r="A285" s="9" t="s">
        <v>2037</v>
      </c>
      <c r="B285" s="9" t="s">
        <v>2038</v>
      </c>
      <c r="C285" s="9" t="s">
        <v>145</v>
      </c>
      <c r="D285" s="9" t="s">
        <v>144</v>
      </c>
      <c r="E285" s="9" t="s">
        <v>146</v>
      </c>
      <c r="F285" s="9" t="s">
        <v>134</v>
      </c>
      <c r="G285" s="9"/>
      <c r="H285" s="9" t="n">
        <v>5</v>
      </c>
      <c r="I285" s="9" t="s">
        <v>135</v>
      </c>
    </row>
    <row r="286" customFormat="false" ht="15" hidden="false" customHeight="false" outlineLevel="0" collapsed="false">
      <c r="A286" s="9" t="s">
        <v>1800</v>
      </c>
      <c r="B286" s="9" t="s">
        <v>2039</v>
      </c>
      <c r="C286" s="9" t="s">
        <v>159</v>
      </c>
      <c r="D286" s="9" t="s">
        <v>158</v>
      </c>
      <c r="E286" s="9" t="s">
        <v>133</v>
      </c>
      <c r="F286" s="9" t="s">
        <v>134</v>
      </c>
      <c r="G286" s="9"/>
      <c r="H286" s="9" t="n">
        <v>4</v>
      </c>
      <c r="I286" s="9" t="s">
        <v>143</v>
      </c>
    </row>
    <row r="287" customFormat="false" ht="15" hidden="false" customHeight="false" outlineLevel="0" collapsed="false">
      <c r="A287" s="9" t="s">
        <v>1625</v>
      </c>
      <c r="B287" s="9" t="s">
        <v>2040</v>
      </c>
      <c r="C287" s="9" t="s">
        <v>161</v>
      </c>
      <c r="D287" s="9" t="s">
        <v>160</v>
      </c>
      <c r="E287" s="9" t="s">
        <v>133</v>
      </c>
      <c r="F287" s="9" t="s">
        <v>134</v>
      </c>
      <c r="G287" s="9"/>
      <c r="H287" s="9" t="n">
        <v>2</v>
      </c>
      <c r="I287" s="9" t="s">
        <v>143</v>
      </c>
    </row>
    <row r="288" customFormat="false" ht="15" hidden="false" customHeight="false" outlineLevel="0" collapsed="false">
      <c r="A288" s="9" t="s">
        <v>2041</v>
      </c>
      <c r="B288" s="9" t="s">
        <v>2042</v>
      </c>
      <c r="C288" s="9" t="s">
        <v>208</v>
      </c>
      <c r="D288" s="9" t="s">
        <v>207</v>
      </c>
      <c r="E288" s="9" t="s">
        <v>133</v>
      </c>
      <c r="F288" s="9" t="s">
        <v>134</v>
      </c>
      <c r="G288" s="9"/>
      <c r="H288" s="9" t="n">
        <v>3</v>
      </c>
      <c r="I288" s="9" t="s">
        <v>209</v>
      </c>
    </row>
    <row r="289" customFormat="false" ht="15" hidden="false" customHeight="false" outlineLevel="0" collapsed="false">
      <c r="A289" s="9" t="s">
        <v>2043</v>
      </c>
      <c r="B289" s="9" t="s">
        <v>2042</v>
      </c>
      <c r="C289" s="9" t="s">
        <v>208</v>
      </c>
      <c r="D289" s="9" t="s">
        <v>207</v>
      </c>
      <c r="E289" s="9" t="s">
        <v>133</v>
      </c>
      <c r="F289" s="9" t="s">
        <v>134</v>
      </c>
      <c r="G289" s="9"/>
      <c r="H289" s="9" t="n">
        <v>4</v>
      </c>
      <c r="I289" s="9" t="s">
        <v>209</v>
      </c>
    </row>
    <row r="290" customFormat="false" ht="15" hidden="false" customHeight="false" outlineLevel="0" collapsed="false">
      <c r="A290" s="9" t="s">
        <v>1570</v>
      </c>
      <c r="B290" s="9" t="s">
        <v>2044</v>
      </c>
      <c r="C290" s="9" t="s">
        <v>150</v>
      </c>
      <c r="D290" s="9" t="s">
        <v>149</v>
      </c>
      <c r="E290" s="9" t="s">
        <v>151</v>
      </c>
      <c r="F290" s="9" t="s">
        <v>152</v>
      </c>
      <c r="G290" s="9"/>
      <c r="H290" s="9" t="n">
        <v>2</v>
      </c>
      <c r="I290" s="9" t="s">
        <v>117</v>
      </c>
    </row>
    <row r="291" customFormat="false" ht="15" hidden="false" customHeight="false" outlineLevel="0" collapsed="false">
      <c r="A291" s="9" t="s">
        <v>2045</v>
      </c>
      <c r="B291" s="9" t="s">
        <v>2046</v>
      </c>
      <c r="C291" s="9" t="s">
        <v>150</v>
      </c>
      <c r="D291" s="9" t="s">
        <v>149</v>
      </c>
      <c r="E291" s="9" t="s">
        <v>151</v>
      </c>
      <c r="F291" s="9" t="s">
        <v>152</v>
      </c>
      <c r="G291" s="9"/>
      <c r="H291" s="9" t="n">
        <v>5</v>
      </c>
      <c r="I291" s="9" t="s">
        <v>117</v>
      </c>
    </row>
    <row r="292" customFormat="false" ht="15" hidden="false" customHeight="false" outlineLevel="0" collapsed="false">
      <c r="A292" s="9" t="s">
        <v>2047</v>
      </c>
      <c r="B292" s="9" t="s">
        <v>2048</v>
      </c>
      <c r="C292" s="9" t="s">
        <v>150</v>
      </c>
      <c r="D292" s="9" t="s">
        <v>149</v>
      </c>
      <c r="E292" s="9" t="s">
        <v>151</v>
      </c>
      <c r="F292" s="9" t="s">
        <v>152</v>
      </c>
      <c r="G292" s="9" t="s">
        <v>1510</v>
      </c>
      <c r="H292" s="9" t="n">
        <v>8</v>
      </c>
      <c r="I292" s="9" t="s">
        <v>117</v>
      </c>
    </row>
    <row r="293" customFormat="false" ht="15" hidden="false" customHeight="false" outlineLevel="0" collapsed="false">
      <c r="A293" s="9" t="s">
        <v>2049</v>
      </c>
      <c r="B293" s="9" t="s">
        <v>2050</v>
      </c>
      <c r="C293" s="9" t="s">
        <v>167</v>
      </c>
      <c r="D293" s="9" t="s">
        <v>166</v>
      </c>
      <c r="E293" s="9" t="s">
        <v>151</v>
      </c>
      <c r="F293" s="9" t="s">
        <v>152</v>
      </c>
      <c r="G293" s="9"/>
      <c r="H293" s="9" t="n">
        <v>2</v>
      </c>
      <c r="I293" s="9" t="s">
        <v>117</v>
      </c>
    </row>
    <row r="294" customFormat="false" ht="15" hidden="false" customHeight="false" outlineLevel="0" collapsed="false">
      <c r="A294" s="9" t="s">
        <v>2051</v>
      </c>
      <c r="B294" s="9" t="s">
        <v>2052</v>
      </c>
      <c r="C294" s="9" t="s">
        <v>228</v>
      </c>
      <c r="D294" s="9" t="s">
        <v>227</v>
      </c>
      <c r="E294" s="9" t="s">
        <v>229</v>
      </c>
      <c r="F294" s="9" t="s">
        <v>152</v>
      </c>
      <c r="G294" s="9"/>
      <c r="H294" s="9" t="n">
        <v>2</v>
      </c>
      <c r="I294" s="9" t="s">
        <v>117</v>
      </c>
    </row>
    <row r="295" customFormat="false" ht="15" hidden="false" customHeight="false" outlineLevel="0" collapsed="false">
      <c r="A295" s="9" t="s">
        <v>2053</v>
      </c>
      <c r="B295" s="9" t="s">
        <v>2054</v>
      </c>
      <c r="C295" s="9" t="s">
        <v>228</v>
      </c>
      <c r="D295" s="9" t="s">
        <v>227</v>
      </c>
      <c r="E295" s="9" t="s">
        <v>229</v>
      </c>
      <c r="F295" s="9" t="s">
        <v>152</v>
      </c>
      <c r="G295" s="9"/>
      <c r="H295" s="9" t="n">
        <v>12</v>
      </c>
      <c r="I295" s="9" t="s">
        <v>117</v>
      </c>
    </row>
    <row r="296" customFormat="false" ht="15" hidden="false" customHeight="false" outlineLevel="0" collapsed="false">
      <c r="A296" s="9" t="s">
        <v>2055</v>
      </c>
      <c r="B296" s="9" t="s">
        <v>2056</v>
      </c>
      <c r="C296" s="9" t="s">
        <v>228</v>
      </c>
      <c r="D296" s="9" t="s">
        <v>227</v>
      </c>
      <c r="E296" s="9" t="s">
        <v>229</v>
      </c>
      <c r="F296" s="9" t="s">
        <v>152</v>
      </c>
      <c r="G296" s="9"/>
      <c r="H296" s="9" t="n">
        <v>14</v>
      </c>
      <c r="I296" s="9" t="s">
        <v>117</v>
      </c>
    </row>
    <row r="297" customFormat="false" ht="15" hidden="false" customHeight="false" outlineLevel="0" collapsed="false">
      <c r="A297" s="9" t="s">
        <v>2057</v>
      </c>
      <c r="B297" s="9" t="s">
        <v>2058</v>
      </c>
      <c r="C297" s="9" t="s">
        <v>228</v>
      </c>
      <c r="D297" s="9" t="s">
        <v>227</v>
      </c>
      <c r="E297" s="9" t="s">
        <v>229</v>
      </c>
      <c r="F297" s="9" t="s">
        <v>152</v>
      </c>
      <c r="G297" s="9" t="s">
        <v>1543</v>
      </c>
      <c r="H297" s="9" t="n">
        <v>17</v>
      </c>
      <c r="I297" s="9" t="s">
        <v>117</v>
      </c>
    </row>
    <row r="298" customFormat="false" ht="15" hidden="false" customHeight="false" outlineLevel="0" collapsed="false">
      <c r="A298" s="9" t="s">
        <v>2059</v>
      </c>
      <c r="B298" s="9" t="s">
        <v>2060</v>
      </c>
      <c r="C298" s="9" t="s">
        <v>228</v>
      </c>
      <c r="D298" s="9" t="s">
        <v>227</v>
      </c>
      <c r="E298" s="9" t="s">
        <v>229</v>
      </c>
      <c r="F298" s="9" t="s">
        <v>152</v>
      </c>
      <c r="G298" s="9" t="s">
        <v>1510</v>
      </c>
      <c r="H298" s="9" t="n">
        <v>19</v>
      </c>
      <c r="I298" s="9" t="s">
        <v>117</v>
      </c>
    </row>
    <row r="299" customFormat="false" ht="15" hidden="false" customHeight="false" outlineLevel="0" collapsed="false">
      <c r="A299" s="9" t="s">
        <v>2061</v>
      </c>
      <c r="B299" s="9" t="s">
        <v>2062</v>
      </c>
      <c r="C299" s="9" t="s">
        <v>228</v>
      </c>
      <c r="D299" s="9" t="s">
        <v>227</v>
      </c>
      <c r="E299" s="9" t="s">
        <v>229</v>
      </c>
      <c r="F299" s="9" t="s">
        <v>152</v>
      </c>
      <c r="G299" s="9"/>
      <c r="H299" s="9" t="n">
        <v>21</v>
      </c>
      <c r="I299" s="9" t="s">
        <v>117</v>
      </c>
    </row>
    <row r="300" customFormat="false" ht="15" hidden="false" customHeight="false" outlineLevel="0" collapsed="false">
      <c r="A300" s="9" t="s">
        <v>2063</v>
      </c>
      <c r="B300" s="9" t="s">
        <v>2064</v>
      </c>
      <c r="C300" s="9" t="s">
        <v>228</v>
      </c>
      <c r="D300" s="9" t="s">
        <v>227</v>
      </c>
      <c r="E300" s="9" t="s">
        <v>229</v>
      </c>
      <c r="F300" s="9" t="s">
        <v>152</v>
      </c>
      <c r="G300" s="9" t="s">
        <v>1631</v>
      </c>
      <c r="H300" s="9" t="n">
        <v>22</v>
      </c>
      <c r="I300" s="9" t="s">
        <v>117</v>
      </c>
    </row>
    <row r="301" customFormat="false" ht="15" hidden="false" customHeight="false" outlineLevel="0" collapsed="false">
      <c r="A301" s="9" t="s">
        <v>2065</v>
      </c>
      <c r="B301" s="9" t="s">
        <v>2066</v>
      </c>
      <c r="C301" s="9" t="s">
        <v>228</v>
      </c>
      <c r="D301" s="9" t="s">
        <v>227</v>
      </c>
      <c r="E301" s="9" t="s">
        <v>229</v>
      </c>
      <c r="F301" s="9" t="s">
        <v>152</v>
      </c>
      <c r="G301" s="9" t="s">
        <v>1510</v>
      </c>
      <c r="H301" s="9" t="n">
        <v>28</v>
      </c>
      <c r="I301" s="9" t="s">
        <v>117</v>
      </c>
    </row>
    <row r="302" customFormat="false" ht="15" hidden="false" customHeight="false" outlineLevel="0" collapsed="false">
      <c r="A302" s="9" t="s">
        <v>2067</v>
      </c>
      <c r="B302" s="9" t="s">
        <v>2068</v>
      </c>
      <c r="C302" s="9" t="s">
        <v>228</v>
      </c>
      <c r="D302" s="9" t="s">
        <v>227</v>
      </c>
      <c r="E302" s="9" t="s">
        <v>229</v>
      </c>
      <c r="F302" s="9" t="s">
        <v>152</v>
      </c>
      <c r="G302" s="9" t="s">
        <v>1510</v>
      </c>
      <c r="H302" s="9" t="n">
        <v>29</v>
      </c>
      <c r="I302" s="9" t="s">
        <v>117</v>
      </c>
    </row>
    <row r="303" customFormat="false" ht="15" hidden="false" customHeight="false" outlineLevel="0" collapsed="false">
      <c r="A303" s="9" t="s">
        <v>2069</v>
      </c>
      <c r="B303" s="9" t="s">
        <v>2070</v>
      </c>
      <c r="C303" s="9" t="s">
        <v>240</v>
      </c>
      <c r="D303" s="9" t="s">
        <v>239</v>
      </c>
      <c r="E303" s="9" t="s">
        <v>241</v>
      </c>
      <c r="F303" s="9" t="s">
        <v>152</v>
      </c>
      <c r="G303" s="9" t="s">
        <v>1543</v>
      </c>
      <c r="H303" s="9" t="n">
        <v>2</v>
      </c>
      <c r="I303" s="9" t="s">
        <v>117</v>
      </c>
    </row>
    <row r="304" customFormat="false" ht="15" hidden="false" customHeight="false" outlineLevel="0" collapsed="false">
      <c r="A304" s="9" t="s">
        <v>2071</v>
      </c>
      <c r="B304" s="9" t="s">
        <v>2072</v>
      </c>
      <c r="C304" s="9" t="s">
        <v>240</v>
      </c>
      <c r="D304" s="9" t="s">
        <v>239</v>
      </c>
      <c r="E304" s="9" t="s">
        <v>241</v>
      </c>
      <c r="F304" s="9" t="s">
        <v>152</v>
      </c>
      <c r="G304" s="9"/>
      <c r="H304" s="9" t="n">
        <v>3</v>
      </c>
      <c r="I304" s="9" t="s">
        <v>117</v>
      </c>
    </row>
    <row r="305" customFormat="false" ht="15" hidden="false" customHeight="false" outlineLevel="0" collapsed="false">
      <c r="A305" s="9" t="s">
        <v>2073</v>
      </c>
      <c r="B305" s="9" t="s">
        <v>2074</v>
      </c>
      <c r="C305" s="9" t="s">
        <v>240</v>
      </c>
      <c r="D305" s="9" t="s">
        <v>239</v>
      </c>
      <c r="E305" s="9" t="s">
        <v>241</v>
      </c>
      <c r="F305" s="9" t="s">
        <v>152</v>
      </c>
      <c r="G305" s="9"/>
      <c r="H305" s="9" t="n">
        <v>5</v>
      </c>
      <c r="I305" s="9" t="s">
        <v>117</v>
      </c>
    </row>
    <row r="306" customFormat="false" ht="15" hidden="false" customHeight="false" outlineLevel="0" collapsed="false">
      <c r="A306" s="9" t="s">
        <v>2075</v>
      </c>
      <c r="B306" s="9" t="s">
        <v>2076</v>
      </c>
      <c r="C306" s="9" t="s">
        <v>240</v>
      </c>
      <c r="D306" s="9" t="s">
        <v>239</v>
      </c>
      <c r="E306" s="9" t="s">
        <v>241</v>
      </c>
      <c r="F306" s="9" t="s">
        <v>152</v>
      </c>
      <c r="G306" s="9"/>
      <c r="H306" s="9" t="n">
        <v>6</v>
      </c>
      <c r="I306" s="9" t="s">
        <v>117</v>
      </c>
    </row>
    <row r="307" customFormat="false" ht="15" hidden="false" customHeight="false" outlineLevel="0" collapsed="false">
      <c r="A307" s="9" t="s">
        <v>2077</v>
      </c>
      <c r="B307" s="9" t="s">
        <v>2078</v>
      </c>
      <c r="C307" s="9" t="s">
        <v>240</v>
      </c>
      <c r="D307" s="9" t="s">
        <v>239</v>
      </c>
      <c r="E307" s="9" t="s">
        <v>241</v>
      </c>
      <c r="F307" s="9" t="s">
        <v>152</v>
      </c>
      <c r="G307" s="9"/>
      <c r="H307" s="9" t="n">
        <v>9</v>
      </c>
      <c r="I307" s="9" t="s">
        <v>117</v>
      </c>
    </row>
    <row r="308" customFormat="false" ht="15" hidden="false" customHeight="false" outlineLevel="0" collapsed="false">
      <c r="A308" s="9" t="s">
        <v>2079</v>
      </c>
      <c r="B308" s="9" t="s">
        <v>2080</v>
      </c>
      <c r="C308" s="9" t="s">
        <v>240</v>
      </c>
      <c r="D308" s="9" t="s">
        <v>239</v>
      </c>
      <c r="E308" s="9" t="s">
        <v>241</v>
      </c>
      <c r="F308" s="9" t="s">
        <v>152</v>
      </c>
      <c r="G308" s="9"/>
      <c r="H308" s="9" t="n">
        <v>12</v>
      </c>
      <c r="I308" s="9" t="s">
        <v>117</v>
      </c>
    </row>
    <row r="309" customFormat="false" ht="15" hidden="false" customHeight="false" outlineLevel="0" collapsed="false">
      <c r="A309" s="9" t="s">
        <v>2081</v>
      </c>
      <c r="B309" s="9" t="s">
        <v>2082</v>
      </c>
      <c r="C309" s="9" t="s">
        <v>240</v>
      </c>
      <c r="D309" s="9" t="s">
        <v>239</v>
      </c>
      <c r="E309" s="9" t="s">
        <v>241</v>
      </c>
      <c r="F309" s="9" t="s">
        <v>152</v>
      </c>
      <c r="G309" s="9"/>
      <c r="H309" s="9" t="n">
        <v>13</v>
      </c>
      <c r="I309" s="9" t="s">
        <v>117</v>
      </c>
    </row>
    <row r="310" customFormat="false" ht="15" hidden="false" customHeight="false" outlineLevel="0" collapsed="false">
      <c r="A310" s="9" t="s">
        <v>2083</v>
      </c>
      <c r="B310" s="9" t="s">
        <v>2084</v>
      </c>
      <c r="C310" s="9" t="s">
        <v>240</v>
      </c>
      <c r="D310" s="9" t="s">
        <v>239</v>
      </c>
      <c r="E310" s="9" t="s">
        <v>241</v>
      </c>
      <c r="F310" s="9" t="s">
        <v>152</v>
      </c>
      <c r="G310" s="9"/>
      <c r="H310" s="9" t="n">
        <v>20</v>
      </c>
      <c r="I310" s="9" t="s">
        <v>117</v>
      </c>
    </row>
    <row r="311" customFormat="false" ht="15" hidden="false" customHeight="false" outlineLevel="0" collapsed="false">
      <c r="A311" s="9" t="s">
        <v>1677</v>
      </c>
      <c r="B311" s="9" t="s">
        <v>2085</v>
      </c>
      <c r="C311" s="9" t="s">
        <v>154</v>
      </c>
      <c r="D311" s="9" t="s">
        <v>153</v>
      </c>
      <c r="E311" s="9" t="s">
        <v>155</v>
      </c>
      <c r="F311" s="9" t="s">
        <v>156</v>
      </c>
      <c r="G311" s="9"/>
      <c r="H311" s="9" t="n">
        <v>2</v>
      </c>
      <c r="I311" s="9" t="s">
        <v>157</v>
      </c>
    </row>
    <row r="312" customFormat="false" ht="15" hidden="false" customHeight="false" outlineLevel="0" collapsed="false">
      <c r="A312" s="9" t="s">
        <v>2086</v>
      </c>
      <c r="B312" s="9" t="s">
        <v>2087</v>
      </c>
      <c r="C312" s="9" t="s">
        <v>154</v>
      </c>
      <c r="D312" s="9" t="s">
        <v>153</v>
      </c>
      <c r="E312" s="9" t="s">
        <v>155</v>
      </c>
      <c r="F312" s="9" t="s">
        <v>156</v>
      </c>
      <c r="G312" s="9" t="s">
        <v>1510</v>
      </c>
      <c r="H312" s="9" t="n">
        <v>3</v>
      </c>
      <c r="I312" s="9" t="s">
        <v>157</v>
      </c>
    </row>
    <row r="313" customFormat="false" ht="15" hidden="false" customHeight="false" outlineLevel="0" collapsed="false">
      <c r="A313" s="9" t="s">
        <v>2088</v>
      </c>
      <c r="B313" s="9" t="s">
        <v>2089</v>
      </c>
      <c r="C313" s="9" t="s">
        <v>154</v>
      </c>
      <c r="D313" s="9" t="s">
        <v>153</v>
      </c>
      <c r="E313" s="9" t="s">
        <v>155</v>
      </c>
      <c r="F313" s="9" t="s">
        <v>156</v>
      </c>
      <c r="G313" s="9" t="s">
        <v>1510</v>
      </c>
      <c r="H313" s="9" t="n">
        <v>4</v>
      </c>
      <c r="I313" s="9" t="s">
        <v>157</v>
      </c>
    </row>
    <row r="314" customFormat="false" ht="15" hidden="false" customHeight="false" outlineLevel="0" collapsed="false">
      <c r="A314" s="9" t="s">
        <v>2090</v>
      </c>
      <c r="B314" s="9" t="s">
        <v>2091</v>
      </c>
      <c r="C314" s="9" t="s">
        <v>154</v>
      </c>
      <c r="D314" s="9" t="s">
        <v>153</v>
      </c>
      <c r="E314" s="9" t="s">
        <v>155</v>
      </c>
      <c r="F314" s="9" t="s">
        <v>156</v>
      </c>
      <c r="G314" s="9" t="s">
        <v>1510</v>
      </c>
      <c r="H314" s="9" t="n">
        <v>5</v>
      </c>
      <c r="I314" s="9" t="s">
        <v>157</v>
      </c>
    </row>
    <row r="315" customFormat="false" ht="15" hidden="false" customHeight="false" outlineLevel="0" collapsed="false">
      <c r="A315" s="9" t="s">
        <v>2092</v>
      </c>
      <c r="B315" s="9" t="s">
        <v>2093</v>
      </c>
      <c r="C315" s="9" t="s">
        <v>154</v>
      </c>
      <c r="D315" s="9" t="s">
        <v>153</v>
      </c>
      <c r="E315" s="9" t="s">
        <v>155</v>
      </c>
      <c r="F315" s="9" t="s">
        <v>156</v>
      </c>
      <c r="G315" s="9"/>
      <c r="H315" s="9" t="n">
        <v>11</v>
      </c>
      <c r="I315" s="9" t="s">
        <v>157</v>
      </c>
    </row>
    <row r="316" customFormat="false" ht="15" hidden="false" customHeight="false" outlineLevel="0" collapsed="false">
      <c r="A316" s="9" t="s">
        <v>2094</v>
      </c>
      <c r="B316" s="9" t="s">
        <v>2095</v>
      </c>
      <c r="C316" s="9" t="s">
        <v>154</v>
      </c>
      <c r="D316" s="9" t="s">
        <v>153</v>
      </c>
      <c r="E316" s="9" t="s">
        <v>155</v>
      </c>
      <c r="F316" s="9" t="s">
        <v>156</v>
      </c>
      <c r="G316" s="9"/>
      <c r="H316" s="9" t="n">
        <v>13</v>
      </c>
      <c r="I316" s="9" t="s">
        <v>157</v>
      </c>
    </row>
    <row r="317" customFormat="false" ht="15" hidden="false" customHeight="false" outlineLevel="0" collapsed="false">
      <c r="A317" s="9" t="s">
        <v>2096</v>
      </c>
      <c r="B317" s="9" t="s">
        <v>2097</v>
      </c>
      <c r="C317" s="9" t="s">
        <v>154</v>
      </c>
      <c r="D317" s="9" t="s">
        <v>153</v>
      </c>
      <c r="E317" s="9" t="s">
        <v>155</v>
      </c>
      <c r="F317" s="9" t="s">
        <v>156</v>
      </c>
      <c r="G317" s="9"/>
      <c r="H317" s="9" t="n">
        <v>17</v>
      </c>
      <c r="I317" s="9" t="s">
        <v>157</v>
      </c>
    </row>
    <row r="318" customFormat="false" ht="15" hidden="false" customHeight="false" outlineLevel="0" collapsed="false">
      <c r="A318" s="9" t="s">
        <v>2098</v>
      </c>
      <c r="B318" s="9" t="s">
        <v>2099</v>
      </c>
      <c r="C318" s="9" t="s">
        <v>154</v>
      </c>
      <c r="D318" s="9" t="s">
        <v>153</v>
      </c>
      <c r="E318" s="9" t="s">
        <v>155</v>
      </c>
      <c r="F318" s="9" t="s">
        <v>156</v>
      </c>
      <c r="G318" s="9"/>
      <c r="H318" s="9" t="n">
        <v>22</v>
      </c>
      <c r="I318" s="9" t="s">
        <v>157</v>
      </c>
    </row>
    <row r="319" customFormat="false" ht="15" hidden="false" customHeight="false" outlineLevel="0" collapsed="false">
      <c r="A319" s="9" t="s">
        <v>2100</v>
      </c>
      <c r="B319" s="9" t="s">
        <v>2101</v>
      </c>
      <c r="C319" s="9" t="s">
        <v>154</v>
      </c>
      <c r="D319" s="9" t="s">
        <v>153</v>
      </c>
      <c r="E319" s="9" t="s">
        <v>155</v>
      </c>
      <c r="F319" s="9" t="s">
        <v>156</v>
      </c>
      <c r="G319" s="9" t="s">
        <v>1510</v>
      </c>
      <c r="H319" s="9" t="n">
        <v>24</v>
      </c>
      <c r="I319" s="9" t="s">
        <v>157</v>
      </c>
    </row>
    <row r="320" customFormat="false" ht="15" hidden="false" customHeight="false" outlineLevel="0" collapsed="false">
      <c r="A320" s="9" t="s">
        <v>2102</v>
      </c>
      <c r="B320" s="9" t="s">
        <v>2103</v>
      </c>
      <c r="C320" s="9" t="s">
        <v>154</v>
      </c>
      <c r="D320" s="9" t="s">
        <v>153</v>
      </c>
      <c r="E320" s="9" t="s">
        <v>155</v>
      </c>
      <c r="F320" s="9" t="s">
        <v>156</v>
      </c>
      <c r="G320" s="9" t="s">
        <v>1510</v>
      </c>
      <c r="H320" s="9" t="n">
        <v>27</v>
      </c>
      <c r="I320" s="9" t="s">
        <v>157</v>
      </c>
    </row>
    <row r="321" customFormat="false" ht="15" hidden="false" customHeight="false" outlineLevel="0" collapsed="false">
      <c r="A321" s="9" t="s">
        <v>1742</v>
      </c>
      <c r="B321" s="9" t="s">
        <v>2104</v>
      </c>
      <c r="C321" s="9" t="s">
        <v>163</v>
      </c>
      <c r="D321" s="9" t="s">
        <v>162</v>
      </c>
      <c r="E321" s="9" t="s">
        <v>155</v>
      </c>
      <c r="F321" s="9" t="s">
        <v>156</v>
      </c>
      <c r="G321" s="9"/>
      <c r="H321" s="9" t="n">
        <v>1</v>
      </c>
      <c r="I321" s="9" t="s">
        <v>157</v>
      </c>
    </row>
    <row r="322" customFormat="false" ht="15" hidden="false" customHeight="false" outlineLevel="0" collapsed="false">
      <c r="A322" s="9" t="s">
        <v>2105</v>
      </c>
      <c r="B322" s="9" t="s">
        <v>2105</v>
      </c>
      <c r="C322" s="9" t="s">
        <v>163</v>
      </c>
      <c r="D322" s="9" t="s">
        <v>162</v>
      </c>
      <c r="E322" s="9" t="s">
        <v>155</v>
      </c>
      <c r="F322" s="9" t="s">
        <v>156</v>
      </c>
      <c r="G322" s="9" t="s">
        <v>2106</v>
      </c>
      <c r="H322" s="9" t="n">
        <v>4</v>
      </c>
      <c r="I322" s="9" t="s">
        <v>157</v>
      </c>
    </row>
    <row r="323" customFormat="false" ht="15" hidden="false" customHeight="false" outlineLevel="0" collapsed="false">
      <c r="A323" s="9" t="s">
        <v>2107</v>
      </c>
      <c r="B323" s="9" t="s">
        <v>2108</v>
      </c>
      <c r="C323" s="9" t="s">
        <v>163</v>
      </c>
      <c r="D323" s="9" t="s">
        <v>162</v>
      </c>
      <c r="E323" s="9" t="s">
        <v>155</v>
      </c>
      <c r="F323" s="9" t="s">
        <v>156</v>
      </c>
      <c r="G323" s="9" t="s">
        <v>1510</v>
      </c>
      <c r="H323" s="9" t="n">
        <v>6</v>
      </c>
      <c r="I323" s="9" t="s">
        <v>157</v>
      </c>
    </row>
    <row r="324" customFormat="false" ht="15" hidden="false" customHeight="false" outlineLevel="0" collapsed="false">
      <c r="A324" s="9" t="s">
        <v>2109</v>
      </c>
      <c r="B324" s="9" t="s">
        <v>2110</v>
      </c>
      <c r="C324" s="9" t="s">
        <v>188</v>
      </c>
      <c r="D324" s="9" t="s">
        <v>187</v>
      </c>
      <c r="E324" s="9" t="s">
        <v>155</v>
      </c>
      <c r="F324" s="9" t="s">
        <v>156</v>
      </c>
      <c r="G324" s="9"/>
      <c r="H324" s="9" t="n">
        <v>4</v>
      </c>
      <c r="I324" s="9" t="s">
        <v>135</v>
      </c>
    </row>
    <row r="325" customFormat="false" ht="15" hidden="false" customHeight="false" outlineLevel="0" collapsed="false">
      <c r="A325" s="9" t="s">
        <v>2111</v>
      </c>
      <c r="B325" s="9" t="s">
        <v>2112</v>
      </c>
      <c r="C325" s="9" t="s">
        <v>188</v>
      </c>
      <c r="D325" s="9" t="s">
        <v>187</v>
      </c>
      <c r="E325" s="9" t="s">
        <v>155</v>
      </c>
      <c r="F325" s="9" t="s">
        <v>156</v>
      </c>
      <c r="G325" s="9"/>
      <c r="H325" s="9" t="n">
        <v>5</v>
      </c>
      <c r="I325" s="9" t="s">
        <v>135</v>
      </c>
    </row>
    <row r="326" customFormat="false" ht="15" hidden="false" customHeight="false" outlineLevel="0" collapsed="false">
      <c r="A326" s="9" t="s">
        <v>2113</v>
      </c>
      <c r="B326" s="9" t="s">
        <v>2114</v>
      </c>
      <c r="C326" s="9" t="s">
        <v>202</v>
      </c>
      <c r="D326" s="9" t="s">
        <v>201</v>
      </c>
      <c r="E326" s="9" t="s">
        <v>155</v>
      </c>
      <c r="F326" s="9" t="s">
        <v>156</v>
      </c>
      <c r="G326" s="9"/>
      <c r="H326" s="9" t="n">
        <v>2</v>
      </c>
      <c r="I326" s="9" t="s">
        <v>135</v>
      </c>
    </row>
    <row r="327" customFormat="false" ht="15" hidden="false" customHeight="false" outlineLevel="0" collapsed="false">
      <c r="A327" s="9" t="s">
        <v>2115</v>
      </c>
      <c r="B327" s="9" t="s">
        <v>2116</v>
      </c>
      <c r="C327" s="9" t="s">
        <v>202</v>
      </c>
      <c r="D327" s="9" t="s">
        <v>201</v>
      </c>
      <c r="E327" s="9" t="s">
        <v>155</v>
      </c>
      <c r="F327" s="9" t="s">
        <v>156</v>
      </c>
      <c r="G327" s="9"/>
      <c r="H327" s="9" t="n">
        <v>3</v>
      </c>
      <c r="I327" s="9" t="s">
        <v>135</v>
      </c>
    </row>
    <row r="328" customFormat="false" ht="15" hidden="false" customHeight="false" outlineLevel="0" collapsed="false">
      <c r="A328" s="9" t="s">
        <v>1677</v>
      </c>
      <c r="B328" s="9" t="s">
        <v>2117</v>
      </c>
      <c r="C328" s="9" t="s">
        <v>202</v>
      </c>
      <c r="D328" s="9" t="s">
        <v>201</v>
      </c>
      <c r="E328" s="9" t="s">
        <v>155</v>
      </c>
      <c r="F328" s="9" t="s">
        <v>156</v>
      </c>
      <c r="G328" s="9"/>
      <c r="H328" s="9" t="n">
        <v>5</v>
      </c>
      <c r="I328" s="9" t="s">
        <v>135</v>
      </c>
    </row>
    <row r="329" customFormat="false" ht="15" hidden="false" customHeight="false" outlineLevel="0" collapsed="false">
      <c r="A329" s="9" t="s">
        <v>2118</v>
      </c>
      <c r="B329" s="9" t="s">
        <v>2119</v>
      </c>
      <c r="C329" s="9" t="s">
        <v>202</v>
      </c>
      <c r="D329" s="9" t="s">
        <v>201</v>
      </c>
      <c r="E329" s="9" t="s">
        <v>155</v>
      </c>
      <c r="F329" s="9" t="s">
        <v>156</v>
      </c>
      <c r="G329" s="9" t="s">
        <v>1510</v>
      </c>
      <c r="H329" s="9" t="n">
        <v>8</v>
      </c>
      <c r="I329" s="9" t="s">
        <v>135</v>
      </c>
    </row>
    <row r="330" customFormat="false" ht="15" hidden="false" customHeight="false" outlineLevel="0" collapsed="false">
      <c r="A330" s="9" t="s">
        <v>1818</v>
      </c>
      <c r="B330" s="9" t="s">
        <v>2120</v>
      </c>
      <c r="C330" s="9" t="s">
        <v>196</v>
      </c>
      <c r="D330" s="9" t="s">
        <v>195</v>
      </c>
      <c r="E330" s="9" t="s">
        <v>155</v>
      </c>
      <c r="F330" s="9" t="s">
        <v>197</v>
      </c>
      <c r="G330" s="9"/>
      <c r="H330" s="9" t="n">
        <v>3</v>
      </c>
      <c r="I330" s="9" t="s">
        <v>135</v>
      </c>
    </row>
    <row r="331" customFormat="false" ht="15" hidden="false" customHeight="false" outlineLevel="0" collapsed="false">
      <c r="A331" s="9" t="s">
        <v>2121</v>
      </c>
      <c r="B331" s="9" t="s">
        <v>2122</v>
      </c>
      <c r="C331" s="9" t="s">
        <v>282</v>
      </c>
      <c r="D331" s="9" t="s">
        <v>281</v>
      </c>
      <c r="E331" s="9" t="s">
        <v>140</v>
      </c>
      <c r="F331" s="9" t="s">
        <v>128</v>
      </c>
      <c r="G331" s="9"/>
      <c r="H331" s="9" t="n">
        <v>1</v>
      </c>
      <c r="I331" s="9" t="s">
        <v>103</v>
      </c>
    </row>
    <row r="332" customFormat="false" ht="15" hidden="false" customHeight="false" outlineLevel="0" collapsed="false">
      <c r="A332" s="9" t="s">
        <v>1629</v>
      </c>
      <c r="B332" s="9" t="s">
        <v>2123</v>
      </c>
      <c r="C332" s="9" t="s">
        <v>282</v>
      </c>
      <c r="D332" s="9" t="s">
        <v>281</v>
      </c>
      <c r="E332" s="9" t="s">
        <v>140</v>
      </c>
      <c r="F332" s="9" t="s">
        <v>128</v>
      </c>
      <c r="G332" s="9"/>
      <c r="H332" s="9" t="n">
        <v>2</v>
      </c>
      <c r="I332" s="9" t="s">
        <v>103</v>
      </c>
    </row>
    <row r="333" customFormat="false" ht="15" hidden="false" customHeight="false" outlineLevel="0" collapsed="false">
      <c r="A333" s="9" t="s">
        <v>1570</v>
      </c>
      <c r="B333" s="9" t="s">
        <v>2124</v>
      </c>
      <c r="C333" s="9" t="s">
        <v>284</v>
      </c>
      <c r="D333" s="9" t="s">
        <v>283</v>
      </c>
      <c r="E333" s="9" t="s">
        <v>140</v>
      </c>
      <c r="F333" s="9" t="s">
        <v>128</v>
      </c>
      <c r="G333" s="9"/>
      <c r="H333" s="9" t="n">
        <v>2</v>
      </c>
      <c r="I333" s="9" t="s">
        <v>143</v>
      </c>
    </row>
    <row r="334" customFormat="false" ht="15" hidden="false" customHeight="false" outlineLevel="0" collapsed="false">
      <c r="A334" s="9" t="s">
        <v>2125</v>
      </c>
      <c r="B334" s="9" t="s">
        <v>2126</v>
      </c>
      <c r="C334" s="9" t="s">
        <v>317</v>
      </c>
      <c r="D334" s="9" t="s">
        <v>316</v>
      </c>
      <c r="E334" s="9" t="s">
        <v>100</v>
      </c>
      <c r="F334" s="9" t="s">
        <v>128</v>
      </c>
      <c r="G334" s="9"/>
      <c r="H334" s="9" t="n">
        <v>2</v>
      </c>
      <c r="I334" s="9" t="s">
        <v>103</v>
      </c>
    </row>
    <row r="335" customFormat="false" ht="15" hidden="false" customHeight="false" outlineLevel="0" collapsed="false">
      <c r="A335" s="9" t="s">
        <v>2127</v>
      </c>
      <c r="B335" s="9" t="s">
        <v>2128</v>
      </c>
      <c r="C335" s="9" t="s">
        <v>339</v>
      </c>
      <c r="D335" s="9" t="s">
        <v>338</v>
      </c>
      <c r="E335" s="9" t="s">
        <v>100</v>
      </c>
      <c r="F335" s="9" t="s">
        <v>128</v>
      </c>
      <c r="G335" s="9"/>
      <c r="H335" s="9" t="n">
        <v>1</v>
      </c>
      <c r="I335" s="9" t="s">
        <v>103</v>
      </c>
    </row>
    <row r="336" customFormat="false" ht="15" hidden="false" customHeight="false" outlineLevel="0" collapsed="false">
      <c r="A336" s="9" t="s">
        <v>1746</v>
      </c>
      <c r="B336" s="9" t="s">
        <v>2129</v>
      </c>
      <c r="C336" s="9" t="s">
        <v>479</v>
      </c>
      <c r="D336" s="9" t="s">
        <v>478</v>
      </c>
      <c r="E336" s="9" t="s">
        <v>216</v>
      </c>
      <c r="F336" s="9" t="s">
        <v>125</v>
      </c>
      <c r="G336" s="9"/>
      <c r="H336" s="9" t="n">
        <v>1</v>
      </c>
      <c r="I336" s="9" t="s">
        <v>103</v>
      </c>
    </row>
    <row r="337" customFormat="false" ht="15" hidden="false" customHeight="false" outlineLevel="0" collapsed="false">
      <c r="A337" s="9" t="s">
        <v>2130</v>
      </c>
      <c r="B337" s="9" t="s">
        <v>2131</v>
      </c>
      <c r="C337" s="9" t="s">
        <v>248</v>
      </c>
      <c r="D337" s="9" t="s">
        <v>247</v>
      </c>
      <c r="E337" s="9" t="s">
        <v>133</v>
      </c>
      <c r="F337" s="9" t="s">
        <v>125</v>
      </c>
      <c r="G337" s="9"/>
      <c r="H337" s="9" t="n">
        <v>4</v>
      </c>
      <c r="I337" s="9" t="s">
        <v>135</v>
      </c>
    </row>
    <row r="338" customFormat="false" ht="15" hidden="false" customHeight="false" outlineLevel="0" collapsed="false">
      <c r="A338" s="9" t="s">
        <v>2132</v>
      </c>
      <c r="B338" s="9" t="s">
        <v>2133</v>
      </c>
      <c r="C338" s="9" t="s">
        <v>248</v>
      </c>
      <c r="D338" s="9" t="s">
        <v>247</v>
      </c>
      <c r="E338" s="9" t="s">
        <v>133</v>
      </c>
      <c r="F338" s="9" t="s">
        <v>125</v>
      </c>
      <c r="G338" s="9"/>
      <c r="H338" s="9" t="n">
        <v>6</v>
      </c>
      <c r="I338" s="9" t="s">
        <v>135</v>
      </c>
    </row>
    <row r="339" customFormat="false" ht="15" hidden="false" customHeight="false" outlineLevel="0" collapsed="false">
      <c r="A339" s="9" t="s">
        <v>2134</v>
      </c>
      <c r="B339" s="9" t="s">
        <v>2135</v>
      </c>
      <c r="C339" s="9" t="s">
        <v>133</v>
      </c>
      <c r="D339" s="9" t="s">
        <v>249</v>
      </c>
      <c r="E339" s="9" t="s">
        <v>133</v>
      </c>
      <c r="F339" s="9" t="s">
        <v>125</v>
      </c>
      <c r="G339" s="9"/>
      <c r="H339" s="9" t="n">
        <v>1</v>
      </c>
      <c r="I339" s="9" t="s">
        <v>157</v>
      </c>
    </row>
    <row r="340" customFormat="false" ht="15" hidden="false" customHeight="false" outlineLevel="0" collapsed="false">
      <c r="A340" s="9" t="s">
        <v>2051</v>
      </c>
      <c r="B340" s="9" t="s">
        <v>2136</v>
      </c>
      <c r="C340" s="9" t="s">
        <v>133</v>
      </c>
      <c r="D340" s="9" t="s">
        <v>249</v>
      </c>
      <c r="E340" s="9" t="s">
        <v>133</v>
      </c>
      <c r="F340" s="9" t="s">
        <v>125</v>
      </c>
      <c r="G340" s="9"/>
      <c r="H340" s="9" t="n">
        <v>6</v>
      </c>
      <c r="I340" s="9" t="s">
        <v>157</v>
      </c>
    </row>
    <row r="341" customFormat="false" ht="15" hidden="false" customHeight="false" outlineLevel="0" collapsed="false">
      <c r="A341" s="9" t="s">
        <v>2137</v>
      </c>
      <c r="B341" s="9" t="s">
        <v>2138</v>
      </c>
      <c r="C341" s="9" t="s">
        <v>133</v>
      </c>
      <c r="D341" s="9" t="s">
        <v>249</v>
      </c>
      <c r="E341" s="9" t="s">
        <v>133</v>
      </c>
      <c r="F341" s="9" t="s">
        <v>125</v>
      </c>
      <c r="G341" s="9"/>
      <c r="H341" s="9" t="n">
        <v>7</v>
      </c>
      <c r="I341" s="9" t="s">
        <v>157</v>
      </c>
    </row>
    <row r="342" customFormat="false" ht="15" hidden="false" customHeight="false" outlineLevel="0" collapsed="false">
      <c r="A342" s="9" t="s">
        <v>2139</v>
      </c>
      <c r="B342" s="9" t="s">
        <v>2140</v>
      </c>
      <c r="C342" s="9" t="s">
        <v>133</v>
      </c>
      <c r="D342" s="9" t="s">
        <v>249</v>
      </c>
      <c r="E342" s="9" t="s">
        <v>133</v>
      </c>
      <c r="F342" s="9" t="s">
        <v>125</v>
      </c>
      <c r="G342" s="9" t="s">
        <v>1510</v>
      </c>
      <c r="H342" s="9" t="n">
        <v>8</v>
      </c>
      <c r="I342" s="9" t="s">
        <v>157</v>
      </c>
    </row>
    <row r="343" customFormat="false" ht="15" hidden="false" customHeight="false" outlineLevel="0" collapsed="false">
      <c r="A343" s="9" t="s">
        <v>2141</v>
      </c>
      <c r="B343" s="9" t="s">
        <v>2142</v>
      </c>
      <c r="C343" s="9" t="s">
        <v>124</v>
      </c>
      <c r="D343" s="9" t="s">
        <v>259</v>
      </c>
      <c r="E343" s="9" t="s">
        <v>124</v>
      </c>
      <c r="F343" s="9" t="s">
        <v>125</v>
      </c>
      <c r="G343" s="9"/>
      <c r="H343" s="9" t="n">
        <v>2</v>
      </c>
      <c r="I343" s="9" t="s">
        <v>117</v>
      </c>
    </row>
    <row r="344" customFormat="false" ht="15" hidden="false" customHeight="false" outlineLevel="0" collapsed="false">
      <c r="A344" s="9" t="s">
        <v>2143</v>
      </c>
      <c r="B344" s="9" t="s">
        <v>2144</v>
      </c>
      <c r="C344" s="9" t="s">
        <v>124</v>
      </c>
      <c r="D344" s="9" t="s">
        <v>259</v>
      </c>
      <c r="E344" s="9" t="s">
        <v>124</v>
      </c>
      <c r="F344" s="9" t="s">
        <v>125</v>
      </c>
      <c r="G344" s="9" t="s">
        <v>1510</v>
      </c>
      <c r="H344" s="9" t="n">
        <v>4</v>
      </c>
      <c r="I344" s="9" t="s">
        <v>117</v>
      </c>
    </row>
    <row r="345" customFormat="false" ht="15" hidden="false" customHeight="false" outlineLevel="0" collapsed="false">
      <c r="A345" s="9" t="s">
        <v>2145</v>
      </c>
      <c r="B345" s="9" t="s">
        <v>2146</v>
      </c>
      <c r="C345" s="9" t="s">
        <v>124</v>
      </c>
      <c r="D345" s="9" t="s">
        <v>259</v>
      </c>
      <c r="E345" s="9" t="s">
        <v>124</v>
      </c>
      <c r="F345" s="9" t="s">
        <v>125</v>
      </c>
      <c r="G345" s="9"/>
      <c r="H345" s="9" t="n">
        <v>7</v>
      </c>
      <c r="I345" s="9" t="s">
        <v>117</v>
      </c>
    </row>
    <row r="346" customFormat="false" ht="15" hidden="false" customHeight="false" outlineLevel="0" collapsed="false">
      <c r="A346" s="9" t="s">
        <v>2147</v>
      </c>
      <c r="B346" s="9" t="s">
        <v>2148</v>
      </c>
      <c r="C346" s="9" t="s">
        <v>124</v>
      </c>
      <c r="D346" s="9" t="s">
        <v>259</v>
      </c>
      <c r="E346" s="9" t="s">
        <v>124</v>
      </c>
      <c r="F346" s="9" t="s">
        <v>125</v>
      </c>
      <c r="G346" s="9" t="s">
        <v>1631</v>
      </c>
      <c r="H346" s="9" t="n">
        <v>9</v>
      </c>
      <c r="I346" s="9" t="s">
        <v>117</v>
      </c>
    </row>
    <row r="347" customFormat="false" ht="15" hidden="false" customHeight="false" outlineLevel="0" collapsed="false">
      <c r="A347" s="9" t="s">
        <v>2149</v>
      </c>
      <c r="B347" s="9" t="s">
        <v>2150</v>
      </c>
      <c r="C347" s="9" t="s">
        <v>124</v>
      </c>
      <c r="D347" s="9" t="s">
        <v>259</v>
      </c>
      <c r="E347" s="9" t="s">
        <v>124</v>
      </c>
      <c r="F347" s="9" t="s">
        <v>125</v>
      </c>
      <c r="G347" s="9"/>
      <c r="H347" s="9" t="n">
        <v>12</v>
      </c>
      <c r="I347" s="9" t="s">
        <v>117</v>
      </c>
    </row>
    <row r="348" customFormat="false" ht="15" hidden="false" customHeight="false" outlineLevel="0" collapsed="false">
      <c r="A348" s="9" t="s">
        <v>2151</v>
      </c>
      <c r="B348" s="9" t="s">
        <v>2152</v>
      </c>
      <c r="C348" s="9" t="s">
        <v>124</v>
      </c>
      <c r="D348" s="9" t="s">
        <v>259</v>
      </c>
      <c r="E348" s="9" t="s">
        <v>124</v>
      </c>
      <c r="F348" s="9" t="s">
        <v>125</v>
      </c>
      <c r="G348" s="9"/>
      <c r="H348" s="9" t="n">
        <v>18</v>
      </c>
      <c r="I348" s="9" t="s">
        <v>117</v>
      </c>
    </row>
    <row r="349" customFormat="false" ht="15" hidden="false" customHeight="false" outlineLevel="0" collapsed="false">
      <c r="A349" s="9" t="s">
        <v>2153</v>
      </c>
      <c r="B349" s="9" t="s">
        <v>2154</v>
      </c>
      <c r="C349" s="9" t="s">
        <v>124</v>
      </c>
      <c r="D349" s="9" t="s">
        <v>259</v>
      </c>
      <c r="E349" s="9" t="s">
        <v>124</v>
      </c>
      <c r="F349" s="9" t="s">
        <v>125</v>
      </c>
      <c r="G349" s="9"/>
      <c r="H349" s="9" t="n">
        <v>22</v>
      </c>
      <c r="I349" s="9" t="s">
        <v>117</v>
      </c>
    </row>
    <row r="350" customFormat="false" ht="15" hidden="false" customHeight="false" outlineLevel="0" collapsed="false">
      <c r="A350" s="9" t="s">
        <v>2155</v>
      </c>
      <c r="B350" s="9" t="s">
        <v>2156</v>
      </c>
      <c r="C350" s="9" t="s">
        <v>124</v>
      </c>
      <c r="D350" s="9" t="s">
        <v>259</v>
      </c>
      <c r="E350" s="9" t="s">
        <v>124</v>
      </c>
      <c r="F350" s="9" t="s">
        <v>125</v>
      </c>
      <c r="G350" s="9" t="s">
        <v>1510</v>
      </c>
      <c r="H350" s="9" t="n">
        <v>27</v>
      </c>
      <c r="I350" s="9" t="s">
        <v>117</v>
      </c>
    </row>
    <row r="351" customFormat="false" ht="15" hidden="false" customHeight="false" outlineLevel="0" collapsed="false">
      <c r="A351" s="9" t="s">
        <v>2157</v>
      </c>
      <c r="B351" s="9" t="s">
        <v>2158</v>
      </c>
      <c r="C351" s="9" t="s">
        <v>124</v>
      </c>
      <c r="D351" s="9" t="s">
        <v>259</v>
      </c>
      <c r="E351" s="9" t="s">
        <v>124</v>
      </c>
      <c r="F351" s="9" t="s">
        <v>125</v>
      </c>
      <c r="G351" s="9" t="s">
        <v>1510</v>
      </c>
      <c r="H351" s="9" t="n">
        <v>28</v>
      </c>
      <c r="I351" s="9" t="s">
        <v>117</v>
      </c>
    </row>
    <row r="352" customFormat="false" ht="15" hidden="false" customHeight="false" outlineLevel="0" collapsed="false">
      <c r="A352" s="9" t="s">
        <v>2159</v>
      </c>
      <c r="B352" s="9" t="s">
        <v>2160</v>
      </c>
      <c r="C352" s="9" t="s">
        <v>124</v>
      </c>
      <c r="D352" s="9" t="s">
        <v>259</v>
      </c>
      <c r="E352" s="9" t="s">
        <v>124</v>
      </c>
      <c r="F352" s="9" t="s">
        <v>125</v>
      </c>
      <c r="G352" s="9" t="s">
        <v>1510</v>
      </c>
      <c r="H352" s="9" t="n">
        <v>29</v>
      </c>
      <c r="I352" s="9" t="s">
        <v>117</v>
      </c>
    </row>
    <row r="353" customFormat="false" ht="15" hidden="false" customHeight="false" outlineLevel="0" collapsed="false">
      <c r="A353" s="9" t="s">
        <v>2161</v>
      </c>
      <c r="B353" s="9" t="s">
        <v>2162</v>
      </c>
      <c r="C353" s="9" t="s">
        <v>124</v>
      </c>
      <c r="D353" s="9" t="s">
        <v>259</v>
      </c>
      <c r="E353" s="9" t="s">
        <v>124</v>
      </c>
      <c r="F353" s="9" t="s">
        <v>125</v>
      </c>
      <c r="G353" s="9" t="s">
        <v>1510</v>
      </c>
      <c r="H353" s="9" t="n">
        <v>31</v>
      </c>
      <c r="I353" s="9" t="s">
        <v>117</v>
      </c>
    </row>
    <row r="354" customFormat="false" ht="15" hidden="false" customHeight="false" outlineLevel="0" collapsed="false">
      <c r="A354" s="9" t="s">
        <v>2163</v>
      </c>
      <c r="B354" s="9" t="s">
        <v>2164</v>
      </c>
      <c r="C354" s="9" t="s">
        <v>124</v>
      </c>
      <c r="D354" s="9" t="s">
        <v>259</v>
      </c>
      <c r="E354" s="9" t="s">
        <v>124</v>
      </c>
      <c r="F354" s="9" t="s">
        <v>125</v>
      </c>
      <c r="G354" s="9" t="s">
        <v>1510</v>
      </c>
      <c r="H354" s="9" t="n">
        <v>32</v>
      </c>
      <c r="I354" s="9" t="s">
        <v>117</v>
      </c>
    </row>
    <row r="355" customFormat="false" ht="15" hidden="false" customHeight="false" outlineLevel="0" collapsed="false">
      <c r="A355" s="9" t="s">
        <v>2165</v>
      </c>
      <c r="B355" s="9" t="s">
        <v>2166</v>
      </c>
      <c r="C355" s="9" t="s">
        <v>263</v>
      </c>
      <c r="D355" s="9" t="s">
        <v>262</v>
      </c>
      <c r="E355" s="9" t="s">
        <v>182</v>
      </c>
      <c r="F355" s="9" t="s">
        <v>125</v>
      </c>
      <c r="G355" s="9" t="s">
        <v>1543</v>
      </c>
      <c r="H355" s="9" t="n">
        <v>1</v>
      </c>
      <c r="I355" s="9" t="s">
        <v>117</v>
      </c>
    </row>
    <row r="356" customFormat="false" ht="15" hidden="false" customHeight="false" outlineLevel="0" collapsed="false">
      <c r="A356" s="9" t="s">
        <v>2167</v>
      </c>
      <c r="B356" s="9" t="s">
        <v>1689</v>
      </c>
      <c r="C356" s="9" t="s">
        <v>263</v>
      </c>
      <c r="D356" s="9" t="s">
        <v>262</v>
      </c>
      <c r="E356" s="9" t="s">
        <v>182</v>
      </c>
      <c r="F356" s="9" t="s">
        <v>125</v>
      </c>
      <c r="G356" s="9"/>
      <c r="H356" s="9" t="n">
        <v>2</v>
      </c>
      <c r="I356" s="9" t="s">
        <v>117</v>
      </c>
    </row>
    <row r="357" customFormat="false" ht="15" hidden="false" customHeight="false" outlineLevel="0" collapsed="false">
      <c r="A357" s="9" t="s">
        <v>2168</v>
      </c>
      <c r="B357" s="9"/>
      <c r="C357" s="9" t="s">
        <v>263</v>
      </c>
      <c r="D357" s="9" t="s">
        <v>262</v>
      </c>
      <c r="E357" s="9" t="s">
        <v>182</v>
      </c>
      <c r="F357" s="9" t="s">
        <v>125</v>
      </c>
      <c r="G357" s="9"/>
      <c r="H357" s="9" t="n">
        <v>3</v>
      </c>
      <c r="I357" s="9" t="s">
        <v>117</v>
      </c>
    </row>
    <row r="358" customFormat="false" ht="15" hidden="false" customHeight="false" outlineLevel="0" collapsed="false">
      <c r="A358" s="9" t="s">
        <v>2169</v>
      </c>
      <c r="B358" s="9" t="s">
        <v>2170</v>
      </c>
      <c r="C358" s="9" t="s">
        <v>263</v>
      </c>
      <c r="D358" s="9" t="s">
        <v>262</v>
      </c>
      <c r="E358" s="9" t="s">
        <v>182</v>
      </c>
      <c r="F358" s="9" t="s">
        <v>125</v>
      </c>
      <c r="G358" s="9" t="s">
        <v>1631</v>
      </c>
      <c r="H358" s="9" t="n">
        <v>4</v>
      </c>
      <c r="I358" s="9" t="s">
        <v>117</v>
      </c>
    </row>
    <row r="359" customFormat="false" ht="15" hidden="false" customHeight="false" outlineLevel="0" collapsed="false">
      <c r="A359" s="9" t="s">
        <v>2171</v>
      </c>
      <c r="B359" s="9" t="s">
        <v>2172</v>
      </c>
      <c r="C359" s="9" t="s">
        <v>263</v>
      </c>
      <c r="D359" s="9" t="s">
        <v>262</v>
      </c>
      <c r="E359" s="9" t="s">
        <v>182</v>
      </c>
      <c r="F359" s="9" t="s">
        <v>125</v>
      </c>
      <c r="G359" s="9"/>
      <c r="H359" s="9" t="n">
        <v>13</v>
      </c>
      <c r="I359" s="9" t="s">
        <v>117</v>
      </c>
    </row>
    <row r="360" customFormat="false" ht="15" hidden="false" customHeight="false" outlineLevel="0" collapsed="false">
      <c r="A360" s="9" t="s">
        <v>2173</v>
      </c>
      <c r="B360" s="9" t="s">
        <v>2174</v>
      </c>
      <c r="C360" s="9" t="s">
        <v>263</v>
      </c>
      <c r="D360" s="9" t="s">
        <v>262</v>
      </c>
      <c r="E360" s="9" t="s">
        <v>182</v>
      </c>
      <c r="F360" s="9" t="s">
        <v>125</v>
      </c>
      <c r="G360" s="9"/>
      <c r="H360" s="9" t="n">
        <v>14</v>
      </c>
      <c r="I360" s="9" t="s">
        <v>117</v>
      </c>
    </row>
    <row r="361" customFormat="false" ht="15" hidden="false" customHeight="false" outlineLevel="0" collapsed="false">
      <c r="A361" s="9" t="s">
        <v>2175</v>
      </c>
      <c r="B361" s="9" t="s">
        <v>2176</v>
      </c>
      <c r="C361" s="9" t="s">
        <v>263</v>
      </c>
      <c r="D361" s="9" t="s">
        <v>262</v>
      </c>
      <c r="E361" s="9" t="s">
        <v>182</v>
      </c>
      <c r="F361" s="9" t="s">
        <v>125</v>
      </c>
      <c r="G361" s="9"/>
      <c r="H361" s="9" t="n">
        <v>17</v>
      </c>
      <c r="I361" s="9" t="s">
        <v>117</v>
      </c>
    </row>
    <row r="362" customFormat="false" ht="15" hidden="false" customHeight="false" outlineLevel="0" collapsed="false">
      <c r="A362" s="9" t="s">
        <v>2177</v>
      </c>
      <c r="B362" s="9" t="s">
        <v>2178</v>
      </c>
      <c r="C362" s="9" t="s">
        <v>263</v>
      </c>
      <c r="D362" s="9" t="s">
        <v>262</v>
      </c>
      <c r="E362" s="9" t="s">
        <v>182</v>
      </c>
      <c r="F362" s="9" t="s">
        <v>125</v>
      </c>
      <c r="G362" s="9" t="s">
        <v>1510</v>
      </c>
      <c r="H362" s="9" t="n">
        <v>19</v>
      </c>
      <c r="I362" s="9" t="s">
        <v>117</v>
      </c>
    </row>
    <row r="363" customFormat="false" ht="15" hidden="false" customHeight="false" outlineLevel="0" collapsed="false">
      <c r="A363" s="9" t="s">
        <v>2179</v>
      </c>
      <c r="B363" s="9" t="s">
        <v>2180</v>
      </c>
      <c r="C363" s="9" t="s">
        <v>263</v>
      </c>
      <c r="D363" s="9" t="s">
        <v>262</v>
      </c>
      <c r="E363" s="9" t="s">
        <v>182</v>
      </c>
      <c r="F363" s="9" t="s">
        <v>125</v>
      </c>
      <c r="G363" s="9" t="s">
        <v>1510</v>
      </c>
      <c r="H363" s="9" t="n">
        <v>20</v>
      </c>
      <c r="I363" s="9" t="s">
        <v>117</v>
      </c>
    </row>
    <row r="364" customFormat="false" ht="15" hidden="false" customHeight="false" outlineLevel="0" collapsed="false">
      <c r="A364" s="9" t="s">
        <v>2181</v>
      </c>
      <c r="B364" s="9" t="s">
        <v>2182</v>
      </c>
      <c r="C364" s="9" t="s">
        <v>263</v>
      </c>
      <c r="D364" s="9" t="s">
        <v>262</v>
      </c>
      <c r="E364" s="9" t="s">
        <v>182</v>
      </c>
      <c r="F364" s="9" t="s">
        <v>125</v>
      </c>
      <c r="G364" s="9" t="s">
        <v>1510</v>
      </c>
      <c r="H364" s="9" t="n">
        <v>21</v>
      </c>
      <c r="I364" s="9" t="s">
        <v>117</v>
      </c>
    </row>
    <row r="365" customFormat="false" ht="15" hidden="false" customHeight="false" outlineLevel="0" collapsed="false">
      <c r="A365" s="9" t="s">
        <v>1834</v>
      </c>
      <c r="B365" s="9" t="s">
        <v>2183</v>
      </c>
      <c r="C365" s="9" t="s">
        <v>263</v>
      </c>
      <c r="D365" s="9" t="s">
        <v>262</v>
      </c>
      <c r="E365" s="9" t="s">
        <v>182</v>
      </c>
      <c r="F365" s="9" t="s">
        <v>125</v>
      </c>
      <c r="G365" s="9" t="s">
        <v>1510</v>
      </c>
      <c r="H365" s="9" t="n">
        <v>23</v>
      </c>
      <c r="I365" s="9" t="s">
        <v>117</v>
      </c>
    </row>
    <row r="366" customFormat="false" ht="15" hidden="false" customHeight="false" outlineLevel="0" collapsed="false">
      <c r="A366" s="9" t="s">
        <v>2184</v>
      </c>
      <c r="B366" s="9" t="s">
        <v>2166</v>
      </c>
      <c r="C366" s="9" t="s">
        <v>263</v>
      </c>
      <c r="D366" s="9" t="s">
        <v>262</v>
      </c>
      <c r="E366" s="9" t="s">
        <v>182</v>
      </c>
      <c r="F366" s="9" t="s">
        <v>125</v>
      </c>
      <c r="G366" s="9" t="s">
        <v>1510</v>
      </c>
      <c r="H366" s="9" t="n">
        <v>25</v>
      </c>
      <c r="I366" s="9" t="s">
        <v>117</v>
      </c>
    </row>
    <row r="367" customFormat="false" ht="15" hidden="false" customHeight="false" outlineLevel="0" collapsed="false">
      <c r="A367" s="9" t="s">
        <v>2185</v>
      </c>
      <c r="B367" s="9" t="s">
        <v>2186</v>
      </c>
      <c r="C367" s="9" t="s">
        <v>263</v>
      </c>
      <c r="D367" s="9" t="s">
        <v>262</v>
      </c>
      <c r="E367" s="9" t="s">
        <v>182</v>
      </c>
      <c r="F367" s="9" t="s">
        <v>125</v>
      </c>
      <c r="G367" s="9" t="s">
        <v>1510</v>
      </c>
      <c r="H367" s="9" t="n">
        <v>29</v>
      </c>
      <c r="I367" s="9" t="s">
        <v>117</v>
      </c>
    </row>
    <row r="368" customFormat="false" ht="15" hidden="false" customHeight="false" outlineLevel="0" collapsed="false">
      <c r="A368" s="9" t="s">
        <v>2137</v>
      </c>
      <c r="B368" s="9" t="s">
        <v>2187</v>
      </c>
      <c r="C368" s="9" t="s">
        <v>216</v>
      </c>
      <c r="D368" s="9" t="s">
        <v>264</v>
      </c>
      <c r="E368" s="9" t="s">
        <v>216</v>
      </c>
      <c r="F368" s="9" t="s">
        <v>125</v>
      </c>
      <c r="G368" s="9"/>
      <c r="H368" s="9" t="n">
        <v>2</v>
      </c>
      <c r="I368" s="9" t="s">
        <v>157</v>
      </c>
    </row>
    <row r="369" customFormat="false" ht="15" hidden="false" customHeight="false" outlineLevel="0" collapsed="false">
      <c r="A369" s="9" t="s">
        <v>2188</v>
      </c>
      <c r="B369" s="9" t="s">
        <v>2189</v>
      </c>
      <c r="C369" s="9" t="s">
        <v>216</v>
      </c>
      <c r="D369" s="9" t="s">
        <v>264</v>
      </c>
      <c r="E369" s="9" t="s">
        <v>216</v>
      </c>
      <c r="F369" s="9" t="s">
        <v>125</v>
      </c>
      <c r="G369" s="9"/>
      <c r="H369" s="9" t="n">
        <v>4</v>
      </c>
      <c r="I369" s="9" t="s">
        <v>157</v>
      </c>
    </row>
    <row r="370" customFormat="false" ht="15" hidden="false" customHeight="false" outlineLevel="0" collapsed="false">
      <c r="A370" s="9" t="s">
        <v>2190</v>
      </c>
      <c r="B370" s="9" t="s">
        <v>2187</v>
      </c>
      <c r="C370" s="9" t="s">
        <v>216</v>
      </c>
      <c r="D370" s="9" t="s">
        <v>264</v>
      </c>
      <c r="E370" s="9" t="s">
        <v>216</v>
      </c>
      <c r="F370" s="9" t="s">
        <v>125</v>
      </c>
      <c r="G370" s="9" t="s">
        <v>1543</v>
      </c>
      <c r="H370" s="9" t="n">
        <v>5</v>
      </c>
      <c r="I370" s="9" t="s">
        <v>157</v>
      </c>
    </row>
    <row r="371" customFormat="false" ht="15" hidden="false" customHeight="false" outlineLevel="0" collapsed="false">
      <c r="A371" s="9" t="s">
        <v>2191</v>
      </c>
      <c r="B371" s="9" t="s">
        <v>2192</v>
      </c>
      <c r="C371" s="9" t="s">
        <v>216</v>
      </c>
      <c r="D371" s="9" t="s">
        <v>264</v>
      </c>
      <c r="E371" s="9" t="s">
        <v>216</v>
      </c>
      <c r="F371" s="9" t="s">
        <v>125</v>
      </c>
      <c r="G371" s="9"/>
      <c r="H371" s="9" t="n">
        <v>11</v>
      </c>
      <c r="I371" s="9" t="s">
        <v>157</v>
      </c>
    </row>
    <row r="372" customFormat="false" ht="15" hidden="false" customHeight="false" outlineLevel="0" collapsed="false">
      <c r="A372" s="9" t="s">
        <v>1576</v>
      </c>
      <c r="B372" s="9" t="s">
        <v>2193</v>
      </c>
      <c r="C372" s="9" t="s">
        <v>216</v>
      </c>
      <c r="D372" s="9" t="s">
        <v>264</v>
      </c>
      <c r="E372" s="9" t="s">
        <v>216</v>
      </c>
      <c r="F372" s="9" t="s">
        <v>125</v>
      </c>
      <c r="G372" s="9"/>
      <c r="H372" s="9" t="n">
        <v>14</v>
      </c>
      <c r="I372" s="9" t="s">
        <v>157</v>
      </c>
    </row>
    <row r="373" customFormat="false" ht="15" hidden="false" customHeight="false" outlineLevel="0" collapsed="false">
      <c r="A373" s="9" t="s">
        <v>2194</v>
      </c>
      <c r="B373" s="9" t="s">
        <v>2195</v>
      </c>
      <c r="C373" s="9" t="s">
        <v>216</v>
      </c>
      <c r="D373" s="9" t="s">
        <v>264</v>
      </c>
      <c r="E373" s="9" t="s">
        <v>216</v>
      </c>
      <c r="F373" s="9" t="s">
        <v>125</v>
      </c>
      <c r="G373" s="9"/>
      <c r="H373" s="9" t="n">
        <v>24</v>
      </c>
      <c r="I373" s="9" t="s">
        <v>157</v>
      </c>
    </row>
    <row r="374" customFormat="false" ht="15" hidden="false" customHeight="false" outlineLevel="0" collapsed="false">
      <c r="A374" s="9" t="s">
        <v>2196</v>
      </c>
      <c r="B374" s="9" t="s">
        <v>1565</v>
      </c>
      <c r="C374" s="9" t="s">
        <v>216</v>
      </c>
      <c r="D374" s="9" t="s">
        <v>264</v>
      </c>
      <c r="E374" s="9" t="s">
        <v>216</v>
      </c>
      <c r="F374" s="9" t="s">
        <v>125</v>
      </c>
      <c r="G374" s="9" t="s">
        <v>1510</v>
      </c>
      <c r="H374" s="9" t="n">
        <v>25</v>
      </c>
      <c r="I374" s="9" t="s">
        <v>157</v>
      </c>
    </row>
    <row r="375" customFormat="false" ht="15" hidden="false" customHeight="false" outlineLevel="0" collapsed="false">
      <c r="A375" s="9" t="s">
        <v>2197</v>
      </c>
      <c r="B375" s="9" t="s">
        <v>2198</v>
      </c>
      <c r="C375" s="9" t="s">
        <v>216</v>
      </c>
      <c r="D375" s="9" t="s">
        <v>264</v>
      </c>
      <c r="E375" s="9" t="s">
        <v>216</v>
      </c>
      <c r="F375" s="9" t="s">
        <v>125</v>
      </c>
      <c r="G375" s="9" t="s">
        <v>1510</v>
      </c>
      <c r="H375" s="9" t="n">
        <v>32</v>
      </c>
      <c r="I375" s="9" t="s">
        <v>157</v>
      </c>
    </row>
    <row r="376" customFormat="false" ht="15" hidden="false" customHeight="false" outlineLevel="0" collapsed="false">
      <c r="A376" s="9" t="s">
        <v>2199</v>
      </c>
      <c r="B376" s="9" t="s">
        <v>2200</v>
      </c>
      <c r="C376" s="9" t="s">
        <v>216</v>
      </c>
      <c r="D376" s="9" t="s">
        <v>264</v>
      </c>
      <c r="E376" s="9" t="s">
        <v>216</v>
      </c>
      <c r="F376" s="9" t="s">
        <v>125</v>
      </c>
      <c r="G376" s="9" t="s">
        <v>1510</v>
      </c>
      <c r="H376" s="9" t="n">
        <v>33</v>
      </c>
      <c r="I376" s="9" t="s">
        <v>157</v>
      </c>
    </row>
    <row r="377" customFormat="false" ht="15" hidden="false" customHeight="false" outlineLevel="0" collapsed="false">
      <c r="A377" s="9" t="s">
        <v>2163</v>
      </c>
      <c r="B377" s="9" t="s">
        <v>2201</v>
      </c>
      <c r="C377" s="9" t="s">
        <v>216</v>
      </c>
      <c r="D377" s="9" t="s">
        <v>264</v>
      </c>
      <c r="E377" s="9" t="s">
        <v>216</v>
      </c>
      <c r="F377" s="9" t="s">
        <v>125</v>
      </c>
      <c r="G377" s="9" t="s">
        <v>1510</v>
      </c>
      <c r="H377" s="9" t="n">
        <v>34</v>
      </c>
      <c r="I377" s="9" t="s">
        <v>157</v>
      </c>
    </row>
    <row r="378" customFormat="false" ht="15" hidden="false" customHeight="false" outlineLevel="0" collapsed="false">
      <c r="A378" s="9" t="s">
        <v>2202</v>
      </c>
      <c r="B378" s="9" t="s">
        <v>2203</v>
      </c>
      <c r="C378" s="9" t="s">
        <v>216</v>
      </c>
      <c r="D378" s="9" t="s">
        <v>264</v>
      </c>
      <c r="E378" s="9" t="s">
        <v>216</v>
      </c>
      <c r="F378" s="9" t="s">
        <v>125</v>
      </c>
      <c r="G378" s="9" t="s">
        <v>1510</v>
      </c>
      <c r="H378" s="9" t="n">
        <v>35</v>
      </c>
      <c r="I378" s="9" t="s">
        <v>157</v>
      </c>
    </row>
    <row r="379" customFormat="false" ht="15" hidden="false" customHeight="false" outlineLevel="0" collapsed="false">
      <c r="A379" s="9" t="s">
        <v>2204</v>
      </c>
      <c r="B379" s="9" t="s">
        <v>2205</v>
      </c>
      <c r="C379" s="9" t="s">
        <v>216</v>
      </c>
      <c r="D379" s="9" t="s">
        <v>264</v>
      </c>
      <c r="E379" s="9" t="s">
        <v>216</v>
      </c>
      <c r="F379" s="9" t="s">
        <v>125</v>
      </c>
      <c r="G379" s="9" t="s">
        <v>1510</v>
      </c>
      <c r="H379" s="9" t="n">
        <v>37</v>
      </c>
      <c r="I379" s="9" t="s">
        <v>157</v>
      </c>
    </row>
    <row r="380" customFormat="false" ht="15" hidden="false" customHeight="false" outlineLevel="0" collapsed="false">
      <c r="A380" s="9" t="s">
        <v>1576</v>
      </c>
      <c r="B380" s="9" t="s">
        <v>2206</v>
      </c>
      <c r="C380" s="9" t="s">
        <v>321</v>
      </c>
      <c r="D380" s="9" t="s">
        <v>320</v>
      </c>
      <c r="E380" s="9" t="s">
        <v>216</v>
      </c>
      <c r="F380" s="9" t="s">
        <v>125</v>
      </c>
      <c r="G380" s="9"/>
      <c r="H380" s="9" t="n">
        <v>6</v>
      </c>
      <c r="I380" s="9" t="s">
        <v>157</v>
      </c>
    </row>
    <row r="381" customFormat="false" ht="15" hidden="false" customHeight="false" outlineLevel="0" collapsed="false">
      <c r="A381" s="9" t="s">
        <v>2207</v>
      </c>
      <c r="B381" s="9" t="s">
        <v>2208</v>
      </c>
      <c r="C381" s="9" t="s">
        <v>321</v>
      </c>
      <c r="D381" s="9" t="s">
        <v>320</v>
      </c>
      <c r="E381" s="9" t="s">
        <v>216</v>
      </c>
      <c r="F381" s="9" t="s">
        <v>125</v>
      </c>
      <c r="G381" s="9" t="s">
        <v>1543</v>
      </c>
      <c r="H381" s="9" t="n">
        <v>7</v>
      </c>
      <c r="I381" s="9" t="s">
        <v>157</v>
      </c>
    </row>
    <row r="382" customFormat="false" ht="15" hidden="false" customHeight="false" outlineLevel="0" collapsed="false">
      <c r="A382" s="9" t="s">
        <v>2209</v>
      </c>
      <c r="B382" s="9" t="s">
        <v>2206</v>
      </c>
      <c r="C382" s="9" t="s">
        <v>321</v>
      </c>
      <c r="D382" s="9" t="s">
        <v>320</v>
      </c>
      <c r="E382" s="9" t="s">
        <v>216</v>
      </c>
      <c r="F382" s="9" t="s">
        <v>125</v>
      </c>
      <c r="G382" s="9"/>
      <c r="H382" s="9" t="n">
        <v>8</v>
      </c>
      <c r="I382" s="9" t="s">
        <v>157</v>
      </c>
    </row>
    <row r="383" customFormat="false" ht="15" hidden="false" customHeight="false" outlineLevel="0" collapsed="false">
      <c r="A383" s="9" t="s">
        <v>2210</v>
      </c>
      <c r="B383" s="9" t="s">
        <v>2211</v>
      </c>
      <c r="C383" s="9" t="s">
        <v>321</v>
      </c>
      <c r="D383" s="9" t="s">
        <v>320</v>
      </c>
      <c r="E383" s="9" t="s">
        <v>216</v>
      </c>
      <c r="F383" s="9" t="s">
        <v>125</v>
      </c>
      <c r="G383" s="9"/>
      <c r="H383" s="9" t="n">
        <v>9</v>
      </c>
      <c r="I383" s="9" t="s">
        <v>157</v>
      </c>
    </row>
    <row r="384" customFormat="false" ht="15" hidden="false" customHeight="false" outlineLevel="0" collapsed="false">
      <c r="A384" s="9" t="s">
        <v>2212</v>
      </c>
      <c r="B384" s="9" t="s">
        <v>2213</v>
      </c>
      <c r="C384" s="9" t="s">
        <v>140</v>
      </c>
      <c r="D384" s="9" t="s">
        <v>418</v>
      </c>
      <c r="E384" s="9" t="s">
        <v>140</v>
      </c>
      <c r="F384" s="9" t="s">
        <v>173</v>
      </c>
      <c r="G384" s="9"/>
      <c r="H384" s="9" t="n">
        <v>3</v>
      </c>
      <c r="I384" s="9" t="s">
        <v>117</v>
      </c>
    </row>
    <row r="385" customFormat="false" ht="15" hidden="false" customHeight="false" outlineLevel="0" collapsed="false">
      <c r="A385" s="9" t="s">
        <v>2214</v>
      </c>
      <c r="B385" s="9" t="s">
        <v>2215</v>
      </c>
      <c r="C385" s="9" t="s">
        <v>335</v>
      </c>
      <c r="D385" s="9" t="s">
        <v>334</v>
      </c>
      <c r="E385" s="9" t="s">
        <v>216</v>
      </c>
      <c r="F385" s="9" t="s">
        <v>125</v>
      </c>
      <c r="G385" s="9"/>
      <c r="H385" s="9" t="n">
        <v>2</v>
      </c>
      <c r="I385" s="9" t="s">
        <v>157</v>
      </c>
    </row>
    <row r="386" customFormat="false" ht="15" hidden="false" customHeight="false" outlineLevel="0" collapsed="false">
      <c r="A386" s="9" t="s">
        <v>2216</v>
      </c>
      <c r="B386" s="9" t="s">
        <v>2217</v>
      </c>
      <c r="C386" s="9" t="s">
        <v>335</v>
      </c>
      <c r="D386" s="9" t="s">
        <v>334</v>
      </c>
      <c r="E386" s="9" t="s">
        <v>216</v>
      </c>
      <c r="F386" s="9" t="s">
        <v>125</v>
      </c>
      <c r="G386" s="9"/>
      <c r="H386" s="9" t="n">
        <v>5</v>
      </c>
      <c r="I386" s="9" t="s">
        <v>157</v>
      </c>
    </row>
    <row r="387" customFormat="false" ht="15" hidden="false" customHeight="false" outlineLevel="0" collapsed="false">
      <c r="A387" s="9" t="s">
        <v>2218</v>
      </c>
      <c r="B387" s="9" t="s">
        <v>2219</v>
      </c>
      <c r="C387" s="9" t="s">
        <v>335</v>
      </c>
      <c r="D387" s="9" t="s">
        <v>334</v>
      </c>
      <c r="E387" s="9" t="s">
        <v>216</v>
      </c>
      <c r="F387" s="9" t="s">
        <v>125</v>
      </c>
      <c r="G387" s="9" t="s">
        <v>1510</v>
      </c>
      <c r="H387" s="9" t="n">
        <v>12</v>
      </c>
      <c r="I387" s="9" t="s">
        <v>157</v>
      </c>
    </row>
    <row r="388" customFormat="false" ht="15" hidden="false" customHeight="false" outlineLevel="0" collapsed="false">
      <c r="A388" s="9" t="s">
        <v>1766</v>
      </c>
      <c r="B388" s="9" t="s">
        <v>2052</v>
      </c>
      <c r="C388" s="9" t="s">
        <v>305</v>
      </c>
      <c r="D388" s="9" t="s">
        <v>304</v>
      </c>
      <c r="E388" s="9" t="s">
        <v>133</v>
      </c>
      <c r="F388" s="9" t="s">
        <v>125</v>
      </c>
      <c r="G388" s="9"/>
      <c r="H388" s="9" t="n">
        <v>2</v>
      </c>
      <c r="I388" s="9" t="s">
        <v>143</v>
      </c>
    </row>
    <row r="389" customFormat="false" ht="15" hidden="false" customHeight="false" outlineLevel="0" collapsed="false">
      <c r="A389" s="9" t="s">
        <v>2220</v>
      </c>
      <c r="B389" s="9" t="s">
        <v>1689</v>
      </c>
      <c r="C389" s="9" t="s">
        <v>305</v>
      </c>
      <c r="D389" s="9" t="s">
        <v>304</v>
      </c>
      <c r="E389" s="9" t="s">
        <v>133</v>
      </c>
      <c r="F389" s="9" t="s">
        <v>125</v>
      </c>
      <c r="G389" s="9"/>
      <c r="H389" s="9" t="n">
        <v>3</v>
      </c>
      <c r="I389" s="9" t="s">
        <v>143</v>
      </c>
    </row>
    <row r="390" customFormat="false" ht="15" hidden="false" customHeight="false" outlineLevel="0" collapsed="false">
      <c r="A390" s="9" t="s">
        <v>2221</v>
      </c>
      <c r="B390" s="9" t="s">
        <v>2222</v>
      </c>
      <c r="C390" s="9" t="s">
        <v>305</v>
      </c>
      <c r="D390" s="9" t="s">
        <v>304</v>
      </c>
      <c r="E390" s="9" t="s">
        <v>133</v>
      </c>
      <c r="F390" s="9" t="s">
        <v>125</v>
      </c>
      <c r="G390" s="9" t="s">
        <v>1510</v>
      </c>
      <c r="H390" s="9" t="n">
        <v>4</v>
      </c>
      <c r="I390" s="9" t="s">
        <v>143</v>
      </c>
    </row>
    <row r="391" customFormat="false" ht="15" hidden="false" customHeight="false" outlineLevel="0" collapsed="false">
      <c r="A391" s="9" t="s">
        <v>2223</v>
      </c>
      <c r="B391" s="9" t="s">
        <v>1781</v>
      </c>
      <c r="C391" s="9" t="s">
        <v>323</v>
      </c>
      <c r="D391" s="9" t="s">
        <v>322</v>
      </c>
      <c r="E391" s="9" t="s">
        <v>133</v>
      </c>
      <c r="F391" s="9" t="s">
        <v>134</v>
      </c>
      <c r="G391" s="9"/>
      <c r="H391" s="9" t="n">
        <v>2</v>
      </c>
      <c r="I391" s="9" t="s">
        <v>209</v>
      </c>
    </row>
    <row r="392" customFormat="false" ht="15" hidden="false" customHeight="false" outlineLevel="0" collapsed="false">
      <c r="A392" s="9" t="s">
        <v>2224</v>
      </c>
      <c r="B392" s="9" t="s">
        <v>2225</v>
      </c>
      <c r="C392" s="9" t="s">
        <v>323</v>
      </c>
      <c r="D392" s="9" t="s">
        <v>322</v>
      </c>
      <c r="E392" s="9" t="s">
        <v>133</v>
      </c>
      <c r="F392" s="9" t="s">
        <v>134</v>
      </c>
      <c r="G392" s="9"/>
      <c r="H392" s="9" t="n">
        <v>4</v>
      </c>
      <c r="I392" s="9" t="s">
        <v>209</v>
      </c>
    </row>
    <row r="393" customFormat="false" ht="15" hidden="false" customHeight="false" outlineLevel="0" collapsed="false">
      <c r="A393" s="9" t="s">
        <v>2226</v>
      </c>
      <c r="B393" s="9" t="s">
        <v>2227</v>
      </c>
      <c r="C393" s="9" t="s">
        <v>323</v>
      </c>
      <c r="D393" s="9" t="s">
        <v>322</v>
      </c>
      <c r="E393" s="9" t="s">
        <v>133</v>
      </c>
      <c r="F393" s="9" t="s">
        <v>134</v>
      </c>
      <c r="G393" s="9"/>
      <c r="H393" s="9" t="n">
        <v>5</v>
      </c>
      <c r="I393" s="9" t="s">
        <v>209</v>
      </c>
    </row>
    <row r="394" customFormat="false" ht="15" hidden="false" customHeight="false" outlineLevel="0" collapsed="false">
      <c r="A394" s="9" t="s">
        <v>2228</v>
      </c>
      <c r="B394" s="9" t="s">
        <v>2229</v>
      </c>
      <c r="C394" s="9" t="s">
        <v>323</v>
      </c>
      <c r="D394" s="9" t="s">
        <v>322</v>
      </c>
      <c r="E394" s="9" t="s">
        <v>133</v>
      </c>
      <c r="F394" s="9" t="s">
        <v>134</v>
      </c>
      <c r="G394" s="9"/>
      <c r="H394" s="9" t="n">
        <v>10</v>
      </c>
      <c r="I394" s="9" t="s">
        <v>209</v>
      </c>
    </row>
    <row r="395" customFormat="false" ht="15" hidden="false" customHeight="false" outlineLevel="0" collapsed="false">
      <c r="A395" s="9" t="s">
        <v>1570</v>
      </c>
      <c r="B395" s="9" t="s">
        <v>2230</v>
      </c>
      <c r="C395" s="9" t="s">
        <v>323</v>
      </c>
      <c r="D395" s="9" t="s">
        <v>322</v>
      </c>
      <c r="E395" s="9" t="s">
        <v>133</v>
      </c>
      <c r="F395" s="9" t="s">
        <v>134</v>
      </c>
      <c r="G395" s="9"/>
      <c r="H395" s="9" t="n">
        <v>11</v>
      </c>
      <c r="I395" s="9" t="s">
        <v>209</v>
      </c>
    </row>
    <row r="396" customFormat="false" ht="15" hidden="false" customHeight="false" outlineLevel="0" collapsed="false">
      <c r="A396" s="9" t="s">
        <v>2231</v>
      </c>
      <c r="B396" s="9" t="s">
        <v>2232</v>
      </c>
      <c r="C396" s="9" t="s">
        <v>323</v>
      </c>
      <c r="D396" s="9" t="s">
        <v>322</v>
      </c>
      <c r="E396" s="9" t="s">
        <v>133</v>
      </c>
      <c r="F396" s="9" t="s">
        <v>134</v>
      </c>
      <c r="G396" s="9"/>
      <c r="H396" s="9" t="n">
        <v>13</v>
      </c>
      <c r="I396" s="9" t="s">
        <v>209</v>
      </c>
    </row>
    <row r="397" customFormat="false" ht="15" hidden="false" customHeight="false" outlineLevel="0" collapsed="false">
      <c r="A397" s="9" t="s">
        <v>2233</v>
      </c>
      <c r="B397" s="9" t="s">
        <v>1689</v>
      </c>
      <c r="C397" s="9" t="s">
        <v>325</v>
      </c>
      <c r="D397" s="9" t="s">
        <v>324</v>
      </c>
      <c r="E397" s="9" t="s">
        <v>133</v>
      </c>
      <c r="F397" s="9" t="s">
        <v>134</v>
      </c>
      <c r="G397" s="9"/>
      <c r="H397" s="9" t="n">
        <v>2</v>
      </c>
      <c r="I397" s="9" t="s">
        <v>135</v>
      </c>
    </row>
    <row r="398" customFormat="false" ht="15" hidden="false" customHeight="false" outlineLevel="0" collapsed="false">
      <c r="A398" s="9" t="s">
        <v>2051</v>
      </c>
      <c r="B398" s="9" t="s">
        <v>2234</v>
      </c>
      <c r="C398" s="9" t="s">
        <v>356</v>
      </c>
      <c r="D398" s="9" t="s">
        <v>355</v>
      </c>
      <c r="E398" s="9" t="s">
        <v>146</v>
      </c>
      <c r="F398" s="9" t="s">
        <v>134</v>
      </c>
      <c r="G398" s="9"/>
      <c r="H398" s="9" t="n">
        <v>2</v>
      </c>
      <c r="I398" s="9" t="s">
        <v>135</v>
      </c>
    </row>
    <row r="399" customFormat="false" ht="15" hidden="false" customHeight="false" outlineLevel="0" collapsed="false">
      <c r="A399" s="9" t="s">
        <v>2235</v>
      </c>
      <c r="B399" s="9" t="s">
        <v>2236</v>
      </c>
      <c r="C399" s="9" t="s">
        <v>356</v>
      </c>
      <c r="D399" s="9" t="s">
        <v>355</v>
      </c>
      <c r="E399" s="9" t="s">
        <v>146</v>
      </c>
      <c r="F399" s="9" t="s">
        <v>134</v>
      </c>
      <c r="G399" s="9" t="s">
        <v>1510</v>
      </c>
      <c r="H399" s="9" t="n">
        <v>5</v>
      </c>
      <c r="I399" s="9" t="s">
        <v>135</v>
      </c>
    </row>
    <row r="400" customFormat="false" ht="15" hidden="false" customHeight="false" outlineLevel="0" collapsed="false">
      <c r="A400" s="9" t="s">
        <v>2237</v>
      </c>
      <c r="B400" s="9" t="s">
        <v>2238</v>
      </c>
      <c r="C400" s="9" t="s">
        <v>2239</v>
      </c>
      <c r="D400" s="9" t="s">
        <v>483</v>
      </c>
      <c r="E400" s="9" t="s">
        <v>200</v>
      </c>
      <c r="F400" s="9" t="s">
        <v>173</v>
      </c>
      <c r="G400" s="9" t="s">
        <v>1543</v>
      </c>
      <c r="H400" s="9" t="n">
        <v>1</v>
      </c>
      <c r="I400" s="9" t="s">
        <v>117</v>
      </c>
    </row>
    <row r="401" customFormat="false" ht="15" hidden="false" customHeight="false" outlineLevel="0" collapsed="false">
      <c r="A401" s="9" t="s">
        <v>2240</v>
      </c>
      <c r="B401" s="9" t="s">
        <v>2241</v>
      </c>
      <c r="C401" s="9" t="s">
        <v>2239</v>
      </c>
      <c r="D401" s="9" t="s">
        <v>483</v>
      </c>
      <c r="E401" s="9" t="s">
        <v>200</v>
      </c>
      <c r="F401" s="9" t="s">
        <v>173</v>
      </c>
      <c r="G401" s="9"/>
      <c r="H401" s="9" t="n">
        <v>4</v>
      </c>
      <c r="I401" s="9" t="s">
        <v>117</v>
      </c>
    </row>
    <row r="402" customFormat="false" ht="15" hidden="false" customHeight="false" outlineLevel="0" collapsed="false">
      <c r="A402" s="9" t="s">
        <v>2242</v>
      </c>
      <c r="B402" s="9" t="s">
        <v>2243</v>
      </c>
      <c r="C402" s="9" t="s">
        <v>2239</v>
      </c>
      <c r="D402" s="9" t="s">
        <v>483</v>
      </c>
      <c r="E402" s="9" t="s">
        <v>200</v>
      </c>
      <c r="F402" s="9" t="s">
        <v>173</v>
      </c>
      <c r="G402" s="9" t="s">
        <v>1510</v>
      </c>
      <c r="H402" s="9" t="n">
        <v>9</v>
      </c>
      <c r="I402" s="9" t="s">
        <v>117</v>
      </c>
    </row>
    <row r="403" customFormat="false" ht="15" hidden="false" customHeight="false" outlineLevel="0" collapsed="false">
      <c r="A403" s="9" t="s">
        <v>2244</v>
      </c>
      <c r="B403" s="9" t="s">
        <v>2245</v>
      </c>
      <c r="C403" s="9" t="s">
        <v>2239</v>
      </c>
      <c r="D403" s="9" t="s">
        <v>483</v>
      </c>
      <c r="E403" s="9" t="s">
        <v>200</v>
      </c>
      <c r="F403" s="9" t="s">
        <v>173</v>
      </c>
      <c r="G403" s="9" t="s">
        <v>1510</v>
      </c>
      <c r="H403" s="9" t="n">
        <v>11</v>
      </c>
      <c r="I403" s="9" t="s">
        <v>117</v>
      </c>
    </row>
    <row r="404" customFormat="false" ht="15" hidden="false" customHeight="false" outlineLevel="0" collapsed="false">
      <c r="A404" s="9" t="s">
        <v>2246</v>
      </c>
      <c r="B404" s="9" t="s">
        <v>2247</v>
      </c>
      <c r="C404" s="9" t="s">
        <v>2239</v>
      </c>
      <c r="D404" s="9" t="s">
        <v>483</v>
      </c>
      <c r="E404" s="9" t="s">
        <v>200</v>
      </c>
      <c r="F404" s="9" t="s">
        <v>173</v>
      </c>
      <c r="G404" s="9" t="s">
        <v>1510</v>
      </c>
      <c r="H404" s="9" t="n">
        <v>12</v>
      </c>
      <c r="I404" s="9" t="s">
        <v>117</v>
      </c>
    </row>
    <row r="405" customFormat="false" ht="15" hidden="false" customHeight="false" outlineLevel="0" collapsed="false">
      <c r="A405" s="9" t="s">
        <v>2248</v>
      </c>
      <c r="B405" s="9" t="s">
        <v>2249</v>
      </c>
      <c r="C405" s="9" t="s">
        <v>2239</v>
      </c>
      <c r="D405" s="9" t="s">
        <v>483</v>
      </c>
      <c r="E405" s="9" t="s">
        <v>200</v>
      </c>
      <c r="F405" s="9" t="s">
        <v>173</v>
      </c>
      <c r="G405" s="9" t="s">
        <v>1510</v>
      </c>
      <c r="H405" s="9" t="n">
        <v>14</v>
      </c>
      <c r="I405" s="9" t="s">
        <v>117</v>
      </c>
    </row>
    <row r="406" customFormat="false" ht="15" hidden="false" customHeight="false" outlineLevel="0" collapsed="false">
      <c r="A406" s="9" t="s">
        <v>2250</v>
      </c>
      <c r="B406" s="9" t="s">
        <v>2251</v>
      </c>
      <c r="C406" s="9" t="s">
        <v>2239</v>
      </c>
      <c r="D406" s="9" t="s">
        <v>483</v>
      </c>
      <c r="E406" s="9" t="s">
        <v>200</v>
      </c>
      <c r="F406" s="9" t="s">
        <v>173</v>
      </c>
      <c r="G406" s="9"/>
      <c r="H406" s="9" t="n">
        <v>15</v>
      </c>
      <c r="I406" s="9" t="s">
        <v>117</v>
      </c>
    </row>
    <row r="407" customFormat="false" ht="15" hidden="false" customHeight="false" outlineLevel="0" collapsed="false">
      <c r="A407" s="9" t="s">
        <v>2252</v>
      </c>
      <c r="B407" s="9" t="s">
        <v>2251</v>
      </c>
      <c r="C407" s="9" t="s">
        <v>2239</v>
      </c>
      <c r="D407" s="9" t="s">
        <v>483</v>
      </c>
      <c r="E407" s="9" t="s">
        <v>200</v>
      </c>
      <c r="F407" s="9" t="s">
        <v>173</v>
      </c>
      <c r="G407" s="9"/>
      <c r="H407" s="9" t="n">
        <v>16</v>
      </c>
      <c r="I407" s="9" t="s">
        <v>117</v>
      </c>
    </row>
    <row r="408" customFormat="false" ht="15" hidden="false" customHeight="false" outlineLevel="0" collapsed="false">
      <c r="A408" s="9" t="s">
        <v>1582</v>
      </c>
      <c r="B408" s="9" t="s">
        <v>2253</v>
      </c>
      <c r="C408" s="9" t="s">
        <v>2239</v>
      </c>
      <c r="D408" s="9" t="s">
        <v>483</v>
      </c>
      <c r="E408" s="9" t="s">
        <v>200</v>
      </c>
      <c r="F408" s="9" t="s">
        <v>173</v>
      </c>
      <c r="G408" s="9"/>
      <c r="H408" s="9" t="n">
        <v>17</v>
      </c>
      <c r="I408" s="9" t="s">
        <v>117</v>
      </c>
    </row>
    <row r="409" customFormat="false" ht="15" hidden="false" customHeight="false" outlineLevel="0" collapsed="false">
      <c r="A409" s="9" t="s">
        <v>2254</v>
      </c>
      <c r="B409" s="9" t="s">
        <v>2255</v>
      </c>
      <c r="C409" s="9" t="s">
        <v>288</v>
      </c>
      <c r="D409" s="9" t="s">
        <v>287</v>
      </c>
      <c r="E409" s="9" t="s">
        <v>200</v>
      </c>
      <c r="F409" s="9" t="s">
        <v>173</v>
      </c>
      <c r="G409" s="9"/>
      <c r="H409" s="9" t="n">
        <v>2</v>
      </c>
      <c r="I409" s="9" t="s">
        <v>117</v>
      </c>
    </row>
    <row r="410" customFormat="false" ht="15" hidden="false" customHeight="false" outlineLevel="0" collapsed="false">
      <c r="A410" s="9" t="s">
        <v>2256</v>
      </c>
      <c r="B410" s="9" t="s">
        <v>2257</v>
      </c>
      <c r="C410" s="9" t="s">
        <v>288</v>
      </c>
      <c r="D410" s="9" t="s">
        <v>287</v>
      </c>
      <c r="E410" s="9" t="s">
        <v>200</v>
      </c>
      <c r="F410" s="9" t="s">
        <v>173</v>
      </c>
      <c r="G410" s="9"/>
      <c r="H410" s="9" t="n">
        <v>5</v>
      </c>
      <c r="I410" s="9" t="s">
        <v>117</v>
      </c>
    </row>
    <row r="411" customFormat="false" ht="15" hidden="false" customHeight="false" outlineLevel="0" collapsed="false">
      <c r="A411" s="9" t="s">
        <v>2258</v>
      </c>
      <c r="B411" s="9" t="s">
        <v>2259</v>
      </c>
      <c r="C411" s="9" t="s">
        <v>288</v>
      </c>
      <c r="D411" s="9" t="s">
        <v>287</v>
      </c>
      <c r="E411" s="9" t="s">
        <v>200</v>
      </c>
      <c r="F411" s="9" t="s">
        <v>173</v>
      </c>
      <c r="G411" s="9"/>
      <c r="H411" s="9" t="n">
        <v>11</v>
      </c>
      <c r="I411" s="9" t="s">
        <v>117</v>
      </c>
    </row>
    <row r="412" customFormat="false" ht="15" hidden="false" customHeight="false" outlineLevel="0" collapsed="false">
      <c r="A412" s="9" t="s">
        <v>2260</v>
      </c>
      <c r="B412" s="9" t="s">
        <v>2261</v>
      </c>
      <c r="C412" s="9" t="s">
        <v>288</v>
      </c>
      <c r="D412" s="9" t="s">
        <v>287</v>
      </c>
      <c r="E412" s="9" t="s">
        <v>200</v>
      </c>
      <c r="F412" s="9" t="s">
        <v>173</v>
      </c>
      <c r="G412" s="9"/>
      <c r="H412" s="9" t="n">
        <v>14</v>
      </c>
      <c r="I412" s="9" t="s">
        <v>117</v>
      </c>
    </row>
    <row r="413" customFormat="false" ht="15" hidden="false" customHeight="false" outlineLevel="0" collapsed="false">
      <c r="A413" s="9" t="s">
        <v>2262</v>
      </c>
      <c r="B413" s="9" t="s">
        <v>2263</v>
      </c>
      <c r="C413" s="9" t="s">
        <v>288</v>
      </c>
      <c r="D413" s="9" t="s">
        <v>287</v>
      </c>
      <c r="E413" s="9" t="s">
        <v>200</v>
      </c>
      <c r="F413" s="9" t="s">
        <v>173</v>
      </c>
      <c r="G413" s="9" t="s">
        <v>1510</v>
      </c>
      <c r="H413" s="9" t="n">
        <v>23</v>
      </c>
      <c r="I413" s="9" t="s">
        <v>117</v>
      </c>
    </row>
    <row r="414" customFormat="false" ht="15" hidden="false" customHeight="false" outlineLevel="0" collapsed="false">
      <c r="A414" s="9" t="s">
        <v>2264</v>
      </c>
      <c r="B414" s="9" t="s">
        <v>2265</v>
      </c>
      <c r="C414" s="9" t="s">
        <v>288</v>
      </c>
      <c r="D414" s="9" t="s">
        <v>287</v>
      </c>
      <c r="E414" s="9" t="s">
        <v>200</v>
      </c>
      <c r="F414" s="9" t="s">
        <v>173</v>
      </c>
      <c r="G414" s="9"/>
      <c r="H414" s="9" t="n">
        <v>26</v>
      </c>
      <c r="I414" s="9" t="s">
        <v>117</v>
      </c>
    </row>
    <row r="415" customFormat="false" ht="15" hidden="false" customHeight="false" outlineLevel="0" collapsed="false">
      <c r="A415" s="9" t="s">
        <v>2266</v>
      </c>
      <c r="B415" s="9" t="s">
        <v>2267</v>
      </c>
      <c r="C415" s="9" t="s">
        <v>288</v>
      </c>
      <c r="D415" s="9" t="s">
        <v>287</v>
      </c>
      <c r="E415" s="9" t="s">
        <v>200</v>
      </c>
      <c r="F415" s="9" t="s">
        <v>173</v>
      </c>
      <c r="G415" s="9"/>
      <c r="H415" s="9" t="n">
        <v>31</v>
      </c>
      <c r="I415" s="9" t="s">
        <v>117</v>
      </c>
    </row>
    <row r="416" customFormat="false" ht="15" hidden="false" customHeight="false" outlineLevel="0" collapsed="false">
      <c r="A416" s="9" t="s">
        <v>1800</v>
      </c>
      <c r="B416" s="9" t="s">
        <v>2268</v>
      </c>
      <c r="C416" s="9" t="s">
        <v>288</v>
      </c>
      <c r="D416" s="9" t="s">
        <v>287</v>
      </c>
      <c r="E416" s="9" t="s">
        <v>200</v>
      </c>
      <c r="F416" s="9" t="s">
        <v>173</v>
      </c>
      <c r="G416" s="9"/>
      <c r="H416" s="9" t="n">
        <v>32</v>
      </c>
      <c r="I416" s="9" t="s">
        <v>117</v>
      </c>
    </row>
    <row r="417" customFormat="false" ht="15" hidden="false" customHeight="false" outlineLevel="0" collapsed="false">
      <c r="A417" s="9" t="s">
        <v>2269</v>
      </c>
      <c r="B417" s="9" t="s">
        <v>2270</v>
      </c>
      <c r="C417" s="9" t="s">
        <v>341</v>
      </c>
      <c r="D417" s="9" t="s">
        <v>340</v>
      </c>
      <c r="E417" s="9" t="s">
        <v>106</v>
      </c>
      <c r="F417" s="9" t="s">
        <v>173</v>
      </c>
      <c r="G417" s="9"/>
      <c r="H417" s="9" t="n">
        <v>3</v>
      </c>
      <c r="I417" s="9" t="s">
        <v>117</v>
      </c>
    </row>
    <row r="418" customFormat="false" ht="15" hidden="false" customHeight="false" outlineLevel="0" collapsed="false">
      <c r="A418" s="9" t="s">
        <v>2271</v>
      </c>
      <c r="B418" s="9" t="s">
        <v>2272</v>
      </c>
      <c r="C418" s="9" t="s">
        <v>341</v>
      </c>
      <c r="D418" s="9" t="s">
        <v>340</v>
      </c>
      <c r="E418" s="9" t="s">
        <v>106</v>
      </c>
      <c r="F418" s="9" t="s">
        <v>173</v>
      </c>
      <c r="G418" s="9"/>
      <c r="H418" s="9" t="n">
        <v>5</v>
      </c>
      <c r="I418" s="9" t="s">
        <v>117</v>
      </c>
    </row>
    <row r="419" customFormat="false" ht="15" hidden="false" customHeight="false" outlineLevel="0" collapsed="false">
      <c r="A419" s="9" t="s">
        <v>2273</v>
      </c>
      <c r="B419" s="9" t="s">
        <v>2274</v>
      </c>
      <c r="C419" s="9" t="s">
        <v>372</v>
      </c>
      <c r="D419" s="9" t="s">
        <v>371</v>
      </c>
      <c r="E419" s="9" t="s">
        <v>200</v>
      </c>
      <c r="F419" s="9" t="s">
        <v>173</v>
      </c>
      <c r="G419" s="9"/>
      <c r="H419" s="9" t="n">
        <v>2</v>
      </c>
      <c r="I419" s="9" t="s">
        <v>117</v>
      </c>
    </row>
    <row r="420" customFormat="false" ht="15" hidden="false" customHeight="false" outlineLevel="0" collapsed="false">
      <c r="A420" s="9" t="s">
        <v>2275</v>
      </c>
      <c r="B420" s="9" t="s">
        <v>2276</v>
      </c>
      <c r="C420" s="9" t="s">
        <v>241</v>
      </c>
      <c r="D420" s="9" t="s">
        <v>246</v>
      </c>
      <c r="E420" s="9" t="s">
        <v>241</v>
      </c>
      <c r="F420" s="9" t="s">
        <v>152</v>
      </c>
      <c r="G420" s="9" t="s">
        <v>1631</v>
      </c>
      <c r="H420" s="9" t="n">
        <v>5</v>
      </c>
      <c r="I420" s="9" t="s">
        <v>117</v>
      </c>
    </row>
    <row r="421" customFormat="false" ht="15" hidden="false" customHeight="false" outlineLevel="0" collapsed="false">
      <c r="A421" s="9" t="s">
        <v>2277</v>
      </c>
      <c r="B421" s="9" t="s">
        <v>2278</v>
      </c>
      <c r="C421" s="9" t="s">
        <v>241</v>
      </c>
      <c r="D421" s="9" t="s">
        <v>246</v>
      </c>
      <c r="E421" s="9" t="s">
        <v>241</v>
      </c>
      <c r="F421" s="9" t="s">
        <v>152</v>
      </c>
      <c r="G421" s="9"/>
      <c r="H421" s="9" t="n">
        <v>6</v>
      </c>
      <c r="I421" s="9" t="s">
        <v>117</v>
      </c>
    </row>
    <row r="422" customFormat="false" ht="15" hidden="false" customHeight="false" outlineLevel="0" collapsed="false">
      <c r="A422" s="9" t="s">
        <v>2279</v>
      </c>
      <c r="B422" s="9" t="s">
        <v>2280</v>
      </c>
      <c r="C422" s="9" t="s">
        <v>241</v>
      </c>
      <c r="D422" s="9" t="s">
        <v>246</v>
      </c>
      <c r="E422" s="9" t="s">
        <v>241</v>
      </c>
      <c r="F422" s="9" t="s">
        <v>152</v>
      </c>
      <c r="G422" s="9" t="s">
        <v>1510</v>
      </c>
      <c r="H422" s="9" t="n">
        <v>11</v>
      </c>
      <c r="I422" s="9" t="s">
        <v>117</v>
      </c>
    </row>
    <row r="423" customFormat="false" ht="15" hidden="false" customHeight="false" outlineLevel="0" collapsed="false">
      <c r="A423" s="9" t="s">
        <v>2281</v>
      </c>
      <c r="B423" s="9" t="s">
        <v>2282</v>
      </c>
      <c r="C423" s="9" t="s">
        <v>241</v>
      </c>
      <c r="D423" s="9" t="s">
        <v>246</v>
      </c>
      <c r="E423" s="9" t="s">
        <v>241</v>
      </c>
      <c r="F423" s="9" t="s">
        <v>152</v>
      </c>
      <c r="G423" s="9" t="s">
        <v>1631</v>
      </c>
      <c r="H423" s="9" t="n">
        <v>12</v>
      </c>
      <c r="I423" s="9" t="s">
        <v>117</v>
      </c>
    </row>
    <row r="424" customFormat="false" ht="15" hidden="false" customHeight="false" outlineLevel="0" collapsed="false">
      <c r="A424" s="9" t="s">
        <v>1582</v>
      </c>
      <c r="B424" s="9" t="s">
        <v>2283</v>
      </c>
      <c r="C424" s="9" t="s">
        <v>241</v>
      </c>
      <c r="D424" s="9" t="s">
        <v>246</v>
      </c>
      <c r="E424" s="9" t="s">
        <v>241</v>
      </c>
      <c r="F424" s="9" t="s">
        <v>152</v>
      </c>
      <c r="G424" s="9"/>
      <c r="H424" s="9" t="n">
        <v>14</v>
      </c>
      <c r="I424" s="9" t="s">
        <v>117</v>
      </c>
    </row>
    <row r="425" customFormat="false" ht="15" hidden="false" customHeight="false" outlineLevel="0" collapsed="false">
      <c r="A425" s="9" t="s">
        <v>2284</v>
      </c>
      <c r="B425" s="9" t="s">
        <v>2285</v>
      </c>
      <c r="C425" s="9" t="s">
        <v>241</v>
      </c>
      <c r="D425" s="9" t="s">
        <v>246</v>
      </c>
      <c r="E425" s="9" t="s">
        <v>241</v>
      </c>
      <c r="F425" s="9" t="s">
        <v>152</v>
      </c>
      <c r="G425" s="9" t="s">
        <v>1631</v>
      </c>
      <c r="H425" s="9" t="n">
        <v>18</v>
      </c>
      <c r="I425" s="9" t="s">
        <v>117</v>
      </c>
    </row>
    <row r="426" customFormat="false" ht="15" hidden="false" customHeight="false" outlineLevel="0" collapsed="false">
      <c r="A426" s="9" t="s">
        <v>2286</v>
      </c>
      <c r="B426" s="9" t="s">
        <v>2287</v>
      </c>
      <c r="C426" s="9" t="s">
        <v>229</v>
      </c>
      <c r="D426" s="9" t="s">
        <v>250</v>
      </c>
      <c r="E426" s="9" t="s">
        <v>229</v>
      </c>
      <c r="F426" s="9" t="s">
        <v>152</v>
      </c>
      <c r="G426" s="9"/>
      <c r="H426" s="9" t="n">
        <v>1</v>
      </c>
      <c r="I426" s="9" t="s">
        <v>117</v>
      </c>
    </row>
    <row r="427" customFormat="false" ht="15" hidden="false" customHeight="false" outlineLevel="0" collapsed="false">
      <c r="A427" s="9" t="s">
        <v>1576</v>
      </c>
      <c r="B427" s="9" t="s">
        <v>2288</v>
      </c>
      <c r="C427" s="9" t="s">
        <v>229</v>
      </c>
      <c r="D427" s="9" t="s">
        <v>250</v>
      </c>
      <c r="E427" s="9" t="s">
        <v>229</v>
      </c>
      <c r="F427" s="9" t="s">
        <v>152</v>
      </c>
      <c r="G427" s="9"/>
      <c r="H427" s="9" t="n">
        <v>4</v>
      </c>
      <c r="I427" s="9" t="s">
        <v>117</v>
      </c>
    </row>
    <row r="428" customFormat="false" ht="15" hidden="false" customHeight="false" outlineLevel="0" collapsed="false">
      <c r="A428" s="9" t="s">
        <v>2289</v>
      </c>
      <c r="B428" s="9" t="s">
        <v>2290</v>
      </c>
      <c r="C428" s="9" t="s">
        <v>229</v>
      </c>
      <c r="D428" s="9" t="s">
        <v>250</v>
      </c>
      <c r="E428" s="9" t="s">
        <v>229</v>
      </c>
      <c r="F428" s="9" t="s">
        <v>152</v>
      </c>
      <c r="G428" s="9" t="s">
        <v>1510</v>
      </c>
      <c r="H428" s="9" t="n">
        <v>11</v>
      </c>
      <c r="I428" s="9" t="s">
        <v>117</v>
      </c>
    </row>
    <row r="429" customFormat="false" ht="15" hidden="false" customHeight="false" outlineLevel="0" collapsed="false">
      <c r="A429" s="9" t="s">
        <v>2291</v>
      </c>
      <c r="B429" s="9" t="s">
        <v>2292</v>
      </c>
      <c r="C429" s="9" t="s">
        <v>229</v>
      </c>
      <c r="D429" s="9" t="s">
        <v>250</v>
      </c>
      <c r="E429" s="9" t="s">
        <v>229</v>
      </c>
      <c r="F429" s="9" t="s">
        <v>152</v>
      </c>
      <c r="G429" s="9" t="s">
        <v>2293</v>
      </c>
      <c r="H429" s="9" t="n">
        <v>12</v>
      </c>
      <c r="I429" s="9" t="s">
        <v>117</v>
      </c>
    </row>
    <row r="430" customFormat="false" ht="15" hidden="false" customHeight="false" outlineLevel="0" collapsed="false">
      <c r="A430" s="9" t="s">
        <v>2294</v>
      </c>
      <c r="B430" s="9" t="s">
        <v>2295</v>
      </c>
      <c r="C430" s="9" t="s">
        <v>229</v>
      </c>
      <c r="D430" s="9" t="s">
        <v>250</v>
      </c>
      <c r="E430" s="9" t="s">
        <v>229</v>
      </c>
      <c r="F430" s="9" t="s">
        <v>152</v>
      </c>
      <c r="G430" s="9"/>
      <c r="H430" s="9" t="n">
        <v>18</v>
      </c>
      <c r="I430" s="9" t="s">
        <v>117</v>
      </c>
    </row>
    <row r="431" customFormat="false" ht="15" hidden="false" customHeight="false" outlineLevel="0" collapsed="false">
      <c r="A431" s="9" t="s">
        <v>2296</v>
      </c>
      <c r="B431" s="9" t="s">
        <v>2297</v>
      </c>
      <c r="C431" s="9" t="s">
        <v>229</v>
      </c>
      <c r="D431" s="9" t="s">
        <v>250</v>
      </c>
      <c r="E431" s="9" t="s">
        <v>229</v>
      </c>
      <c r="F431" s="9" t="s">
        <v>152</v>
      </c>
      <c r="G431" s="9"/>
      <c r="H431" s="9" t="n">
        <v>23</v>
      </c>
      <c r="I431" s="9" t="s">
        <v>117</v>
      </c>
    </row>
    <row r="432" customFormat="false" ht="15" hidden="false" customHeight="false" outlineLevel="0" collapsed="false">
      <c r="A432" s="9" t="s">
        <v>2298</v>
      </c>
      <c r="B432" s="9" t="s">
        <v>2299</v>
      </c>
      <c r="C432" s="9" t="s">
        <v>258</v>
      </c>
      <c r="D432" s="9" t="s">
        <v>257</v>
      </c>
      <c r="E432" s="9" t="s">
        <v>140</v>
      </c>
      <c r="F432" s="9" t="s">
        <v>152</v>
      </c>
      <c r="G432" s="9"/>
      <c r="H432" s="9" t="n">
        <v>4</v>
      </c>
      <c r="I432" s="9" t="s">
        <v>117</v>
      </c>
    </row>
    <row r="433" customFormat="false" ht="15" hidden="false" customHeight="false" outlineLevel="0" collapsed="false">
      <c r="A433" s="9" t="s">
        <v>2300</v>
      </c>
      <c r="B433" s="9" t="s">
        <v>2301</v>
      </c>
      <c r="C433" s="9" t="s">
        <v>293</v>
      </c>
      <c r="D433" s="9" t="s">
        <v>292</v>
      </c>
      <c r="E433" s="9" t="s">
        <v>278</v>
      </c>
      <c r="F433" s="9" t="s">
        <v>152</v>
      </c>
      <c r="G433" s="9" t="s">
        <v>1510</v>
      </c>
      <c r="H433" s="9" t="n">
        <v>5</v>
      </c>
      <c r="I433" s="9" t="s">
        <v>117</v>
      </c>
    </row>
    <row r="434" customFormat="false" ht="15" hidden="false" customHeight="false" outlineLevel="0" collapsed="false">
      <c r="A434" s="9" t="s">
        <v>2302</v>
      </c>
      <c r="B434" s="9" t="s">
        <v>2303</v>
      </c>
      <c r="C434" s="9" t="s">
        <v>278</v>
      </c>
      <c r="D434" s="9" t="s">
        <v>277</v>
      </c>
      <c r="E434" s="9" t="s">
        <v>278</v>
      </c>
      <c r="F434" s="9" t="s">
        <v>152</v>
      </c>
      <c r="G434" s="9" t="s">
        <v>1631</v>
      </c>
      <c r="H434" s="9" t="n">
        <v>1</v>
      </c>
      <c r="I434" s="9" t="s">
        <v>117</v>
      </c>
    </row>
    <row r="435" customFormat="false" ht="15" hidden="false" customHeight="false" outlineLevel="0" collapsed="false">
      <c r="A435" s="9" t="s">
        <v>2304</v>
      </c>
      <c r="B435" s="9" t="s">
        <v>2305</v>
      </c>
      <c r="C435" s="9" t="s">
        <v>278</v>
      </c>
      <c r="D435" s="9" t="s">
        <v>277</v>
      </c>
      <c r="E435" s="9" t="s">
        <v>278</v>
      </c>
      <c r="F435" s="9" t="s">
        <v>152</v>
      </c>
      <c r="G435" s="9" t="s">
        <v>1543</v>
      </c>
      <c r="H435" s="9" t="n">
        <v>2</v>
      </c>
      <c r="I435" s="9" t="s">
        <v>117</v>
      </c>
    </row>
    <row r="436" customFormat="false" ht="15" hidden="false" customHeight="false" outlineLevel="0" collapsed="false">
      <c r="A436" s="9" t="s">
        <v>1592</v>
      </c>
      <c r="B436" s="9" t="s">
        <v>2306</v>
      </c>
      <c r="C436" s="9" t="s">
        <v>278</v>
      </c>
      <c r="D436" s="9" t="s">
        <v>277</v>
      </c>
      <c r="E436" s="9" t="s">
        <v>278</v>
      </c>
      <c r="F436" s="9" t="s">
        <v>152</v>
      </c>
      <c r="G436" s="9"/>
      <c r="H436" s="9" t="n">
        <v>4</v>
      </c>
      <c r="I436" s="9" t="s">
        <v>117</v>
      </c>
    </row>
    <row r="437" customFormat="false" ht="15" hidden="false" customHeight="false" outlineLevel="0" collapsed="false">
      <c r="A437" s="9" t="s">
        <v>2307</v>
      </c>
      <c r="B437" s="9" t="s">
        <v>2308</v>
      </c>
      <c r="C437" s="9" t="s">
        <v>278</v>
      </c>
      <c r="D437" s="9" t="s">
        <v>277</v>
      </c>
      <c r="E437" s="9" t="s">
        <v>278</v>
      </c>
      <c r="F437" s="9" t="s">
        <v>152</v>
      </c>
      <c r="G437" s="9" t="s">
        <v>1631</v>
      </c>
      <c r="H437" s="9" t="n">
        <v>7</v>
      </c>
      <c r="I437" s="9" t="s">
        <v>117</v>
      </c>
    </row>
    <row r="438" customFormat="false" ht="15" hidden="false" customHeight="false" outlineLevel="0" collapsed="false">
      <c r="A438" s="9" t="s">
        <v>2309</v>
      </c>
      <c r="B438" s="9" t="s">
        <v>2310</v>
      </c>
      <c r="C438" s="9" t="s">
        <v>278</v>
      </c>
      <c r="D438" s="9" t="s">
        <v>277</v>
      </c>
      <c r="E438" s="9" t="s">
        <v>278</v>
      </c>
      <c r="F438" s="9" t="s">
        <v>152</v>
      </c>
      <c r="G438" s="9"/>
      <c r="H438" s="9" t="n">
        <v>8</v>
      </c>
      <c r="I438" s="9" t="s">
        <v>117</v>
      </c>
    </row>
    <row r="439" customFormat="false" ht="15" hidden="false" customHeight="false" outlineLevel="0" collapsed="false">
      <c r="A439" s="9" t="s">
        <v>2311</v>
      </c>
      <c r="B439" s="9" t="s">
        <v>2312</v>
      </c>
      <c r="C439" s="9" t="s">
        <v>278</v>
      </c>
      <c r="D439" s="9" t="s">
        <v>277</v>
      </c>
      <c r="E439" s="9" t="s">
        <v>278</v>
      </c>
      <c r="F439" s="9" t="s">
        <v>152</v>
      </c>
      <c r="G439" s="9"/>
      <c r="H439" s="9" t="n">
        <v>12</v>
      </c>
      <c r="I439" s="9" t="s">
        <v>117</v>
      </c>
    </row>
    <row r="440" customFormat="false" ht="15" hidden="false" customHeight="false" outlineLevel="0" collapsed="false">
      <c r="A440" s="9" t="s">
        <v>2313</v>
      </c>
      <c r="B440" s="9" t="s">
        <v>2314</v>
      </c>
      <c r="C440" s="9" t="s">
        <v>278</v>
      </c>
      <c r="D440" s="9" t="s">
        <v>277</v>
      </c>
      <c r="E440" s="9" t="s">
        <v>278</v>
      </c>
      <c r="F440" s="9" t="s">
        <v>152</v>
      </c>
      <c r="G440" s="9" t="s">
        <v>1510</v>
      </c>
      <c r="H440" s="9" t="n">
        <v>20</v>
      </c>
      <c r="I440" s="9" t="s">
        <v>117</v>
      </c>
    </row>
    <row r="441" customFormat="false" ht="15" hidden="false" customHeight="false" outlineLevel="0" collapsed="false">
      <c r="A441" s="9" t="s">
        <v>2315</v>
      </c>
      <c r="B441" s="9" t="s">
        <v>2316</v>
      </c>
      <c r="C441" s="9" t="s">
        <v>278</v>
      </c>
      <c r="D441" s="9" t="s">
        <v>277</v>
      </c>
      <c r="E441" s="9" t="s">
        <v>278</v>
      </c>
      <c r="F441" s="9" t="s">
        <v>152</v>
      </c>
      <c r="G441" s="9" t="s">
        <v>1510</v>
      </c>
      <c r="H441" s="9" t="n">
        <v>25</v>
      </c>
      <c r="I441" s="9" t="s">
        <v>117</v>
      </c>
    </row>
    <row r="442" customFormat="false" ht="15" hidden="false" customHeight="false" outlineLevel="0" collapsed="false">
      <c r="A442" s="9" t="s">
        <v>2317</v>
      </c>
      <c r="B442" s="9" t="s">
        <v>2318</v>
      </c>
      <c r="C442" s="9" t="s">
        <v>278</v>
      </c>
      <c r="D442" s="9" t="s">
        <v>277</v>
      </c>
      <c r="E442" s="9" t="s">
        <v>278</v>
      </c>
      <c r="F442" s="9" t="s">
        <v>152</v>
      </c>
      <c r="G442" s="9" t="s">
        <v>1510</v>
      </c>
      <c r="H442" s="9" t="n">
        <v>26</v>
      </c>
      <c r="I442" s="9" t="s">
        <v>117</v>
      </c>
    </row>
    <row r="443" customFormat="false" ht="15" hidden="false" customHeight="false" outlineLevel="0" collapsed="false">
      <c r="A443" s="9" t="s">
        <v>2319</v>
      </c>
      <c r="B443" s="9" t="s">
        <v>2320</v>
      </c>
      <c r="C443" s="9" t="s">
        <v>347</v>
      </c>
      <c r="D443" s="9" t="s">
        <v>346</v>
      </c>
      <c r="E443" s="9" t="s">
        <v>278</v>
      </c>
      <c r="F443" s="9" t="s">
        <v>152</v>
      </c>
      <c r="G443" s="9"/>
      <c r="H443" s="9" t="n">
        <v>7</v>
      </c>
      <c r="I443" s="9" t="s">
        <v>117</v>
      </c>
    </row>
    <row r="444" customFormat="false" ht="15" hidden="false" customHeight="false" outlineLevel="0" collapsed="false">
      <c r="A444" s="9" t="s">
        <v>2321</v>
      </c>
      <c r="B444" s="9" t="s">
        <v>2322</v>
      </c>
      <c r="C444" s="9" t="s">
        <v>486</v>
      </c>
      <c r="D444" s="9" t="s">
        <v>485</v>
      </c>
      <c r="E444" s="9" t="s">
        <v>133</v>
      </c>
      <c r="F444" s="9" t="s">
        <v>116</v>
      </c>
      <c r="G444" s="9"/>
      <c r="H444" s="9" t="n">
        <v>2</v>
      </c>
      <c r="I444" s="9" t="s">
        <v>117</v>
      </c>
    </row>
    <row r="445" customFormat="false" ht="15" hidden="false" customHeight="false" outlineLevel="0" collapsed="false">
      <c r="A445" s="9" t="s">
        <v>2323</v>
      </c>
      <c r="B445" s="9" t="s">
        <v>2324</v>
      </c>
      <c r="C445" s="9" t="s">
        <v>268</v>
      </c>
      <c r="D445" s="9" t="s">
        <v>267</v>
      </c>
      <c r="E445" s="9" t="s">
        <v>237</v>
      </c>
      <c r="F445" s="9" t="s">
        <v>116</v>
      </c>
      <c r="G445" s="9"/>
      <c r="H445" s="9" t="n">
        <v>1</v>
      </c>
      <c r="I445" s="9" t="s">
        <v>117</v>
      </c>
    </row>
    <row r="446" customFormat="false" ht="15" hidden="false" customHeight="false" outlineLevel="0" collapsed="false">
      <c r="A446" s="9" t="s">
        <v>2325</v>
      </c>
      <c r="B446" s="9" t="s">
        <v>2326</v>
      </c>
      <c r="C446" s="9" t="s">
        <v>268</v>
      </c>
      <c r="D446" s="9" t="s">
        <v>267</v>
      </c>
      <c r="E446" s="9" t="s">
        <v>237</v>
      </c>
      <c r="F446" s="9" t="s">
        <v>116</v>
      </c>
      <c r="G446" s="9" t="s">
        <v>1510</v>
      </c>
      <c r="H446" s="9" t="n">
        <v>8</v>
      </c>
      <c r="I446" s="9" t="s">
        <v>117</v>
      </c>
    </row>
    <row r="447" customFormat="false" ht="15" hidden="false" customHeight="false" outlineLevel="0" collapsed="false">
      <c r="A447" s="9" t="s">
        <v>2327</v>
      </c>
      <c r="B447" s="9" t="s">
        <v>2328</v>
      </c>
      <c r="C447" s="9" t="s">
        <v>331</v>
      </c>
      <c r="D447" s="9" t="s">
        <v>330</v>
      </c>
      <c r="E447" s="9" t="s">
        <v>115</v>
      </c>
      <c r="F447" s="9" t="s">
        <v>116</v>
      </c>
      <c r="G447" s="9"/>
      <c r="H447" s="9" t="n">
        <v>1</v>
      </c>
      <c r="I447" s="9" t="s">
        <v>117</v>
      </c>
    </row>
    <row r="448" customFormat="false" ht="15" hidden="false" customHeight="false" outlineLevel="0" collapsed="false">
      <c r="A448" s="9" t="s">
        <v>2329</v>
      </c>
      <c r="B448" s="9" t="s">
        <v>2330</v>
      </c>
      <c r="C448" s="9" t="s">
        <v>343</v>
      </c>
      <c r="D448" s="9" t="s">
        <v>342</v>
      </c>
      <c r="E448" s="9" t="s">
        <v>133</v>
      </c>
      <c r="F448" s="9" t="s">
        <v>116</v>
      </c>
      <c r="G448" s="9"/>
      <c r="H448" s="9" t="n">
        <v>1</v>
      </c>
      <c r="I448" s="9" t="s">
        <v>135</v>
      </c>
    </row>
    <row r="449" customFormat="false" ht="15" hidden="false" customHeight="false" outlineLevel="0" collapsed="false">
      <c r="A449" s="9" t="s">
        <v>2331</v>
      </c>
      <c r="B449" s="9" t="s">
        <v>2332</v>
      </c>
      <c r="C449" s="9" t="s">
        <v>349</v>
      </c>
      <c r="D449" s="9" t="s">
        <v>348</v>
      </c>
      <c r="E449" s="9" t="s">
        <v>146</v>
      </c>
      <c r="F449" s="9" t="s">
        <v>116</v>
      </c>
      <c r="G449" s="9"/>
      <c r="H449" s="9" t="n">
        <v>1</v>
      </c>
      <c r="I449" s="9" t="s">
        <v>117</v>
      </c>
    </row>
    <row r="450" customFormat="false" ht="15" hidden="false" customHeight="false" outlineLevel="0" collapsed="false">
      <c r="A450" s="9" t="s">
        <v>2333</v>
      </c>
      <c r="B450" s="9" t="s">
        <v>2334</v>
      </c>
      <c r="C450" s="9" t="s">
        <v>351</v>
      </c>
      <c r="D450" s="9" t="s">
        <v>350</v>
      </c>
      <c r="E450" s="9" t="s">
        <v>237</v>
      </c>
      <c r="F450" s="9" t="s">
        <v>116</v>
      </c>
      <c r="G450" s="9"/>
      <c r="H450" s="9" t="n">
        <v>7</v>
      </c>
      <c r="I450" s="9" t="s">
        <v>117</v>
      </c>
    </row>
    <row r="451" customFormat="false" ht="15" hidden="false" customHeight="false" outlineLevel="0" collapsed="false">
      <c r="A451" s="9" t="s">
        <v>2335</v>
      </c>
      <c r="B451" s="9" t="s">
        <v>2336</v>
      </c>
      <c r="C451" s="9" t="s">
        <v>115</v>
      </c>
      <c r="D451" s="9" t="s">
        <v>352</v>
      </c>
      <c r="E451" s="9" t="s">
        <v>115</v>
      </c>
      <c r="F451" s="9" t="s">
        <v>116</v>
      </c>
      <c r="G451" s="9" t="s">
        <v>1543</v>
      </c>
      <c r="H451" s="9" t="n">
        <v>1</v>
      </c>
      <c r="I451" s="9" t="s">
        <v>117</v>
      </c>
    </row>
    <row r="452" customFormat="false" ht="15" hidden="false" customHeight="false" outlineLevel="0" collapsed="false">
      <c r="A452" s="9" t="s">
        <v>2337</v>
      </c>
      <c r="B452" s="9" t="s">
        <v>2338</v>
      </c>
      <c r="C452" s="9" t="s">
        <v>115</v>
      </c>
      <c r="D452" s="9" t="s">
        <v>352</v>
      </c>
      <c r="E452" s="9" t="s">
        <v>115</v>
      </c>
      <c r="F452" s="9" t="s">
        <v>116</v>
      </c>
      <c r="G452" s="9"/>
      <c r="H452" s="9" t="n">
        <v>3</v>
      </c>
      <c r="I452" s="9" t="s">
        <v>117</v>
      </c>
    </row>
    <row r="453" customFormat="false" ht="15" hidden="false" customHeight="false" outlineLevel="0" collapsed="false">
      <c r="A453" s="9" t="s">
        <v>2339</v>
      </c>
      <c r="B453" s="9" t="s">
        <v>2340</v>
      </c>
      <c r="C453" s="9" t="s">
        <v>115</v>
      </c>
      <c r="D453" s="9" t="s">
        <v>352</v>
      </c>
      <c r="E453" s="9" t="s">
        <v>115</v>
      </c>
      <c r="F453" s="9" t="s">
        <v>116</v>
      </c>
      <c r="G453" s="9"/>
      <c r="H453" s="9" t="n">
        <v>5</v>
      </c>
      <c r="I453" s="9" t="s">
        <v>117</v>
      </c>
    </row>
    <row r="454" customFormat="false" ht="15" hidden="false" customHeight="false" outlineLevel="0" collapsed="false">
      <c r="A454" s="9" t="s">
        <v>2341</v>
      </c>
      <c r="B454" s="9" t="s">
        <v>2342</v>
      </c>
      <c r="C454" s="9" t="s">
        <v>266</v>
      </c>
      <c r="D454" s="9" t="s">
        <v>265</v>
      </c>
      <c r="E454" s="9" t="s">
        <v>100</v>
      </c>
      <c r="F454" s="9" t="s">
        <v>102</v>
      </c>
      <c r="G454" s="9"/>
      <c r="H454" s="9" t="n">
        <v>1</v>
      </c>
      <c r="I454" s="9" t="s">
        <v>143</v>
      </c>
    </row>
    <row r="455" customFormat="false" ht="15" hidden="false" customHeight="false" outlineLevel="0" collapsed="false">
      <c r="A455" s="9" t="s">
        <v>2343</v>
      </c>
      <c r="B455" s="9" t="s">
        <v>2287</v>
      </c>
      <c r="C455" s="9" t="s">
        <v>319</v>
      </c>
      <c r="D455" s="9" t="s">
        <v>318</v>
      </c>
      <c r="E455" s="9" t="s">
        <v>106</v>
      </c>
      <c r="F455" s="9" t="s">
        <v>102</v>
      </c>
      <c r="G455" s="9"/>
      <c r="H455" s="9" t="n">
        <v>1</v>
      </c>
      <c r="I455" s="9" t="s">
        <v>143</v>
      </c>
    </row>
    <row r="456" customFormat="false" ht="15" hidden="false" customHeight="false" outlineLevel="0" collapsed="false">
      <c r="A456" s="9" t="s">
        <v>2344</v>
      </c>
      <c r="B456" s="9" t="s">
        <v>2345</v>
      </c>
      <c r="C456" s="9" t="s">
        <v>333</v>
      </c>
      <c r="D456" s="9" t="s">
        <v>332</v>
      </c>
      <c r="E456" s="9" t="s">
        <v>100</v>
      </c>
      <c r="F456" s="9" t="s">
        <v>102</v>
      </c>
      <c r="G456" s="9"/>
      <c r="H456" s="9" t="n">
        <v>1</v>
      </c>
      <c r="I456" s="9" t="s">
        <v>143</v>
      </c>
    </row>
    <row r="457" customFormat="false" ht="15" hidden="false" customHeight="false" outlineLevel="0" collapsed="false">
      <c r="A457" s="9" t="s">
        <v>2346</v>
      </c>
      <c r="B457" s="9" t="s">
        <v>2347</v>
      </c>
      <c r="C457" s="9" t="s">
        <v>333</v>
      </c>
      <c r="D457" s="9" t="s">
        <v>332</v>
      </c>
      <c r="E457" s="9" t="s">
        <v>100</v>
      </c>
      <c r="F457" s="9" t="s">
        <v>102</v>
      </c>
      <c r="G457" s="9" t="s">
        <v>1510</v>
      </c>
      <c r="H457" s="9" t="n">
        <v>4</v>
      </c>
      <c r="I457" s="9" t="s">
        <v>143</v>
      </c>
    </row>
    <row r="458" customFormat="false" ht="15" hidden="false" customHeight="false" outlineLevel="0" collapsed="false">
      <c r="A458" s="9" t="s">
        <v>2348</v>
      </c>
      <c r="B458" s="9" t="s">
        <v>2349</v>
      </c>
      <c r="C458" s="9" t="s">
        <v>333</v>
      </c>
      <c r="D458" s="9" t="s">
        <v>332</v>
      </c>
      <c r="E458" s="9" t="s">
        <v>100</v>
      </c>
      <c r="F458" s="9" t="s">
        <v>102</v>
      </c>
      <c r="G458" s="9"/>
      <c r="H458" s="9" t="n">
        <v>6</v>
      </c>
      <c r="I458" s="9" t="s">
        <v>143</v>
      </c>
    </row>
    <row r="459" customFormat="false" ht="15" hidden="false" customHeight="false" outlineLevel="0" collapsed="false">
      <c r="A459" s="9" t="s">
        <v>2350</v>
      </c>
      <c r="B459" s="9" t="s">
        <v>2351</v>
      </c>
      <c r="C459" s="9" t="s">
        <v>333</v>
      </c>
      <c r="D459" s="9" t="s">
        <v>332</v>
      </c>
      <c r="E459" s="9" t="s">
        <v>100</v>
      </c>
      <c r="F459" s="9" t="s">
        <v>102</v>
      </c>
      <c r="G459" s="9"/>
      <c r="H459" s="9" t="n">
        <v>8</v>
      </c>
      <c r="I459" s="9" t="s">
        <v>143</v>
      </c>
    </row>
    <row r="460" customFormat="false" ht="15" hidden="false" customHeight="false" outlineLevel="0" collapsed="false">
      <c r="A460" s="9" t="s">
        <v>2352</v>
      </c>
      <c r="B460" s="9" t="s">
        <v>2353</v>
      </c>
      <c r="C460" s="9" t="s">
        <v>345</v>
      </c>
      <c r="D460" s="9" t="s">
        <v>344</v>
      </c>
      <c r="E460" s="9" t="s">
        <v>100</v>
      </c>
      <c r="F460" s="9" t="s">
        <v>102</v>
      </c>
      <c r="G460" s="9"/>
      <c r="H460" s="9" t="n">
        <v>2</v>
      </c>
      <c r="I460" s="9" t="s">
        <v>103</v>
      </c>
    </row>
    <row r="461" customFormat="false" ht="15" hidden="false" customHeight="false" outlineLevel="0" collapsed="false">
      <c r="A461" s="9" t="s">
        <v>1850</v>
      </c>
      <c r="B461" s="9" t="s">
        <v>2353</v>
      </c>
      <c r="C461" s="9" t="s">
        <v>345</v>
      </c>
      <c r="D461" s="9" t="s">
        <v>344</v>
      </c>
      <c r="E461" s="9" t="s">
        <v>100</v>
      </c>
      <c r="F461" s="9" t="s">
        <v>102</v>
      </c>
      <c r="G461" s="9"/>
      <c r="H461" s="9" t="n">
        <v>3</v>
      </c>
      <c r="I461" s="9" t="s">
        <v>103</v>
      </c>
    </row>
    <row r="462" customFormat="false" ht="15" hidden="false" customHeight="false" outlineLevel="0" collapsed="false">
      <c r="A462" s="9" t="s">
        <v>1800</v>
      </c>
      <c r="B462" s="9" t="s">
        <v>2354</v>
      </c>
      <c r="C462" s="9" t="s">
        <v>378</v>
      </c>
      <c r="D462" s="9" t="s">
        <v>377</v>
      </c>
      <c r="E462" s="9" t="s">
        <v>106</v>
      </c>
      <c r="F462" s="9" t="s">
        <v>102</v>
      </c>
      <c r="G462" s="9"/>
      <c r="H462" s="9" t="n">
        <v>1</v>
      </c>
      <c r="I462" s="9" t="s">
        <v>103</v>
      </c>
    </row>
    <row r="463" customFormat="false" ht="15" hidden="false" customHeight="false" outlineLevel="0" collapsed="false">
      <c r="A463" s="9" t="s">
        <v>2355</v>
      </c>
      <c r="B463" s="9" t="s">
        <v>2356</v>
      </c>
      <c r="C463" s="9" t="s">
        <v>378</v>
      </c>
      <c r="D463" s="9" t="s">
        <v>377</v>
      </c>
      <c r="E463" s="9" t="s">
        <v>106</v>
      </c>
      <c r="F463" s="9" t="s">
        <v>102</v>
      </c>
      <c r="G463" s="9"/>
      <c r="H463" s="9" t="n">
        <v>3</v>
      </c>
      <c r="I463" s="9" t="s">
        <v>103</v>
      </c>
    </row>
    <row r="464" customFormat="false" ht="15" hidden="false" customHeight="false" outlineLevel="0" collapsed="false">
      <c r="A464" s="9" t="s">
        <v>2357</v>
      </c>
      <c r="B464" s="9" t="s">
        <v>2358</v>
      </c>
      <c r="C464" s="9" t="s">
        <v>261</v>
      </c>
      <c r="D464" s="9" t="s">
        <v>260</v>
      </c>
      <c r="E464" s="9" t="s">
        <v>106</v>
      </c>
      <c r="F464" s="9" t="s">
        <v>108</v>
      </c>
      <c r="G464" s="9"/>
      <c r="H464" s="9" t="n">
        <v>1</v>
      </c>
      <c r="I464" s="9" t="s">
        <v>103</v>
      </c>
    </row>
    <row r="465" customFormat="false" ht="15" hidden="false" customHeight="false" outlineLevel="0" collapsed="false">
      <c r="A465" s="9" t="s">
        <v>2359</v>
      </c>
      <c r="B465" s="9" t="s">
        <v>2360</v>
      </c>
      <c r="C465" s="9" t="s">
        <v>261</v>
      </c>
      <c r="D465" s="9" t="s">
        <v>260</v>
      </c>
      <c r="E465" s="9" t="s">
        <v>106</v>
      </c>
      <c r="F465" s="9" t="s">
        <v>108</v>
      </c>
      <c r="G465" s="9"/>
      <c r="H465" s="9" t="n">
        <v>3</v>
      </c>
      <c r="I465" s="9" t="s">
        <v>103</v>
      </c>
    </row>
    <row r="466" customFormat="false" ht="15" hidden="false" customHeight="false" outlineLevel="0" collapsed="false">
      <c r="A466" s="9" t="s">
        <v>2361</v>
      </c>
      <c r="B466" s="9" t="s">
        <v>2362</v>
      </c>
      <c r="C466" s="9" t="s">
        <v>327</v>
      </c>
      <c r="D466" s="9" t="s">
        <v>326</v>
      </c>
      <c r="E466" s="9" t="s">
        <v>106</v>
      </c>
      <c r="F466" s="9" t="s">
        <v>108</v>
      </c>
      <c r="G466" s="9"/>
      <c r="H466" s="9" t="n">
        <v>3</v>
      </c>
      <c r="I466" s="9" t="s">
        <v>209</v>
      </c>
    </row>
    <row r="467" customFormat="false" ht="15" hidden="false" customHeight="false" outlineLevel="0" collapsed="false">
      <c r="A467" s="9" t="s">
        <v>2363</v>
      </c>
      <c r="B467" s="9" t="s">
        <v>2364</v>
      </c>
      <c r="C467" s="9" t="s">
        <v>327</v>
      </c>
      <c r="D467" s="9" t="s">
        <v>326</v>
      </c>
      <c r="E467" s="9" t="s">
        <v>106</v>
      </c>
      <c r="F467" s="9" t="s">
        <v>108</v>
      </c>
      <c r="G467" s="9" t="s">
        <v>1510</v>
      </c>
      <c r="H467" s="9" t="n">
        <v>5</v>
      </c>
      <c r="I467" s="9" t="s">
        <v>209</v>
      </c>
    </row>
    <row r="468" customFormat="false" ht="15" hidden="false" customHeight="false" outlineLevel="0" collapsed="false">
      <c r="A468" s="9" t="s">
        <v>2365</v>
      </c>
      <c r="B468" s="9" t="s">
        <v>2366</v>
      </c>
      <c r="C468" s="9" t="s">
        <v>327</v>
      </c>
      <c r="D468" s="9" t="s">
        <v>326</v>
      </c>
      <c r="E468" s="9" t="s">
        <v>106</v>
      </c>
      <c r="F468" s="9" t="s">
        <v>108</v>
      </c>
      <c r="G468" s="9" t="s">
        <v>1510</v>
      </c>
      <c r="H468" s="9" t="n">
        <v>6</v>
      </c>
      <c r="I468" s="9" t="s">
        <v>209</v>
      </c>
    </row>
    <row r="469" customFormat="false" ht="15" hidden="false" customHeight="false" outlineLevel="0" collapsed="false">
      <c r="A469" s="9" t="s">
        <v>2367</v>
      </c>
      <c r="B469" s="9" t="s">
        <v>2368</v>
      </c>
      <c r="C469" s="9" t="s">
        <v>327</v>
      </c>
      <c r="D469" s="9" t="s">
        <v>326</v>
      </c>
      <c r="E469" s="9" t="s">
        <v>106</v>
      </c>
      <c r="F469" s="9" t="s">
        <v>108</v>
      </c>
      <c r="G469" s="9"/>
      <c r="H469" s="9" t="n">
        <v>9</v>
      </c>
      <c r="I469" s="9" t="s">
        <v>209</v>
      </c>
    </row>
    <row r="470" customFormat="false" ht="15" hidden="false" customHeight="false" outlineLevel="0" collapsed="false">
      <c r="A470" s="9" t="s">
        <v>2369</v>
      </c>
      <c r="B470" s="9" t="s">
        <v>2370</v>
      </c>
      <c r="C470" s="9" t="s">
        <v>327</v>
      </c>
      <c r="D470" s="9" t="s">
        <v>326</v>
      </c>
      <c r="E470" s="9" t="s">
        <v>106</v>
      </c>
      <c r="F470" s="9" t="s">
        <v>108</v>
      </c>
      <c r="G470" s="9" t="s">
        <v>1510</v>
      </c>
      <c r="H470" s="9" t="n">
        <v>13</v>
      </c>
      <c r="I470" s="9" t="s">
        <v>209</v>
      </c>
    </row>
    <row r="471" customFormat="false" ht="15" hidden="false" customHeight="false" outlineLevel="0" collapsed="false">
      <c r="A471" s="9" t="s">
        <v>2371</v>
      </c>
      <c r="B471" s="9" t="s">
        <v>2372</v>
      </c>
      <c r="C471" s="9" t="s">
        <v>155</v>
      </c>
      <c r="D471" s="9" t="s">
        <v>289</v>
      </c>
      <c r="E471" s="9" t="s">
        <v>155</v>
      </c>
      <c r="F471" s="9" t="s">
        <v>197</v>
      </c>
      <c r="G471" s="9"/>
      <c r="H471" s="9" t="n">
        <v>2</v>
      </c>
      <c r="I471" s="9" t="s">
        <v>157</v>
      </c>
    </row>
    <row r="472" customFormat="false" ht="15" hidden="false" customHeight="false" outlineLevel="0" collapsed="false">
      <c r="A472" s="9" t="s">
        <v>2373</v>
      </c>
      <c r="B472" s="9" t="s">
        <v>2374</v>
      </c>
      <c r="C472" s="9" t="s">
        <v>155</v>
      </c>
      <c r="D472" s="9" t="s">
        <v>289</v>
      </c>
      <c r="E472" s="9" t="s">
        <v>155</v>
      </c>
      <c r="F472" s="9" t="s">
        <v>197</v>
      </c>
      <c r="G472" s="9"/>
      <c r="H472" s="9" t="n">
        <v>4</v>
      </c>
      <c r="I472" s="9" t="s">
        <v>157</v>
      </c>
    </row>
    <row r="473" customFormat="false" ht="15" hidden="false" customHeight="false" outlineLevel="0" collapsed="false">
      <c r="A473" s="9" t="s">
        <v>2375</v>
      </c>
      <c r="B473" s="9" t="s">
        <v>2376</v>
      </c>
      <c r="C473" s="9" t="s">
        <v>155</v>
      </c>
      <c r="D473" s="9" t="s">
        <v>289</v>
      </c>
      <c r="E473" s="9" t="s">
        <v>155</v>
      </c>
      <c r="F473" s="9" t="s">
        <v>197</v>
      </c>
      <c r="G473" s="9"/>
      <c r="H473" s="9" t="n">
        <v>7</v>
      </c>
      <c r="I473" s="9" t="s">
        <v>157</v>
      </c>
    </row>
    <row r="474" customFormat="false" ht="15" hidden="false" customHeight="false" outlineLevel="0" collapsed="false">
      <c r="A474" s="9" t="s">
        <v>1576</v>
      </c>
      <c r="B474" s="9" t="s">
        <v>2377</v>
      </c>
      <c r="C474" s="9" t="s">
        <v>155</v>
      </c>
      <c r="D474" s="9" t="s">
        <v>289</v>
      </c>
      <c r="E474" s="9" t="s">
        <v>155</v>
      </c>
      <c r="F474" s="9" t="s">
        <v>197</v>
      </c>
      <c r="G474" s="9"/>
      <c r="H474" s="9" t="n">
        <v>8</v>
      </c>
      <c r="I474" s="9" t="s">
        <v>157</v>
      </c>
    </row>
    <row r="475" customFormat="false" ht="15" hidden="false" customHeight="false" outlineLevel="0" collapsed="false">
      <c r="A475" s="9" t="s">
        <v>2378</v>
      </c>
      <c r="B475" s="9" t="s">
        <v>2374</v>
      </c>
      <c r="C475" s="9" t="s">
        <v>155</v>
      </c>
      <c r="D475" s="9" t="s">
        <v>289</v>
      </c>
      <c r="E475" s="9" t="s">
        <v>155</v>
      </c>
      <c r="F475" s="9" t="s">
        <v>197</v>
      </c>
      <c r="G475" s="9"/>
      <c r="H475" s="9" t="n">
        <v>19</v>
      </c>
      <c r="I475" s="9" t="s">
        <v>157</v>
      </c>
    </row>
    <row r="476" customFormat="false" ht="15" hidden="false" customHeight="false" outlineLevel="0" collapsed="false">
      <c r="A476" s="9" t="s">
        <v>2379</v>
      </c>
      <c r="B476" s="9" t="s">
        <v>2380</v>
      </c>
      <c r="C476" s="9" t="s">
        <v>362</v>
      </c>
      <c r="D476" s="9" t="s">
        <v>361</v>
      </c>
      <c r="E476" s="9" t="s">
        <v>140</v>
      </c>
      <c r="F476" s="9" t="s">
        <v>197</v>
      </c>
      <c r="G476" s="9"/>
      <c r="H476" s="9" t="n">
        <v>1</v>
      </c>
      <c r="I476" s="9" t="s">
        <v>135</v>
      </c>
    </row>
    <row r="477" customFormat="false" ht="15" hidden="false" customHeight="false" outlineLevel="0" collapsed="false">
      <c r="A477" s="9" t="s">
        <v>2381</v>
      </c>
      <c r="B477" s="9" t="s">
        <v>2382</v>
      </c>
      <c r="C477" s="9" t="s">
        <v>362</v>
      </c>
      <c r="D477" s="9" t="s">
        <v>361</v>
      </c>
      <c r="E477" s="9" t="s">
        <v>140</v>
      </c>
      <c r="F477" s="9" t="s">
        <v>197</v>
      </c>
      <c r="G477" s="9"/>
      <c r="H477" s="9" t="n">
        <v>2</v>
      </c>
      <c r="I477" s="9" t="s">
        <v>135</v>
      </c>
    </row>
    <row r="478" customFormat="false" ht="15" hidden="false" customHeight="false" outlineLevel="0" collapsed="false">
      <c r="A478" s="9" t="s">
        <v>2383</v>
      </c>
      <c r="B478" s="9" t="s">
        <v>2384</v>
      </c>
      <c r="C478" s="9" t="s">
        <v>362</v>
      </c>
      <c r="D478" s="9" t="s">
        <v>361</v>
      </c>
      <c r="E478" s="9" t="s">
        <v>140</v>
      </c>
      <c r="F478" s="9" t="s">
        <v>197</v>
      </c>
      <c r="G478" s="9"/>
      <c r="H478" s="9" t="n">
        <v>6</v>
      </c>
      <c r="I478" s="9" t="s">
        <v>135</v>
      </c>
    </row>
    <row r="479" customFormat="false" ht="15" hidden="false" customHeight="false" outlineLevel="0" collapsed="false">
      <c r="A479" s="9" t="s">
        <v>1580</v>
      </c>
      <c r="B479" s="9" t="s">
        <v>2385</v>
      </c>
      <c r="C479" s="9" t="s">
        <v>362</v>
      </c>
      <c r="D479" s="9" t="s">
        <v>361</v>
      </c>
      <c r="E479" s="9" t="s">
        <v>140</v>
      </c>
      <c r="F479" s="9" t="s">
        <v>197</v>
      </c>
      <c r="G479" s="9"/>
      <c r="H479" s="9" t="n">
        <v>7</v>
      </c>
      <c r="I479" s="9" t="s">
        <v>135</v>
      </c>
    </row>
    <row r="480" customFormat="false" ht="15" hidden="false" customHeight="false" outlineLevel="0" collapsed="false">
      <c r="A480" s="9" t="s">
        <v>1576</v>
      </c>
      <c r="B480" s="9" t="s">
        <v>2386</v>
      </c>
      <c r="C480" s="9" t="s">
        <v>362</v>
      </c>
      <c r="D480" s="9" t="s">
        <v>361</v>
      </c>
      <c r="E480" s="9" t="s">
        <v>140</v>
      </c>
      <c r="F480" s="9" t="s">
        <v>197</v>
      </c>
      <c r="G480" s="9"/>
      <c r="H480" s="9" t="n">
        <v>8</v>
      </c>
      <c r="I480" s="9" t="s">
        <v>135</v>
      </c>
    </row>
    <row r="481" customFormat="false" ht="15" hidden="false" customHeight="false" outlineLevel="0" collapsed="false">
      <c r="A481" s="9" t="s">
        <v>2387</v>
      </c>
      <c r="B481" s="9" t="s">
        <v>2382</v>
      </c>
      <c r="C481" s="9" t="s">
        <v>362</v>
      </c>
      <c r="D481" s="9" t="s">
        <v>361</v>
      </c>
      <c r="E481" s="9" t="s">
        <v>140</v>
      </c>
      <c r="F481" s="9" t="s">
        <v>197</v>
      </c>
      <c r="G481" s="9"/>
      <c r="H481" s="9" t="n">
        <v>9</v>
      </c>
      <c r="I481" s="9" t="s">
        <v>135</v>
      </c>
    </row>
    <row r="482" customFormat="false" ht="15" hidden="false" customHeight="false" outlineLevel="0" collapsed="false">
      <c r="A482" s="9" t="s">
        <v>2388</v>
      </c>
      <c r="B482" s="9" t="s">
        <v>2389</v>
      </c>
      <c r="C482" s="9" t="s">
        <v>362</v>
      </c>
      <c r="D482" s="9" t="s">
        <v>361</v>
      </c>
      <c r="E482" s="9" t="s">
        <v>140</v>
      </c>
      <c r="F482" s="9" t="s">
        <v>197</v>
      </c>
      <c r="G482" s="9" t="s">
        <v>1510</v>
      </c>
      <c r="H482" s="9" t="n">
        <v>11</v>
      </c>
      <c r="I482" s="9" t="s">
        <v>135</v>
      </c>
    </row>
    <row r="483" customFormat="false" ht="15" hidden="false" customHeight="false" outlineLevel="0" collapsed="false">
      <c r="A483" s="9" t="s">
        <v>2390</v>
      </c>
      <c r="B483" s="9" t="s">
        <v>2391</v>
      </c>
      <c r="C483" s="9" t="s">
        <v>362</v>
      </c>
      <c r="D483" s="9" t="s">
        <v>361</v>
      </c>
      <c r="E483" s="9" t="s">
        <v>140</v>
      </c>
      <c r="F483" s="9" t="s">
        <v>197</v>
      </c>
      <c r="G483" s="9" t="s">
        <v>1510</v>
      </c>
      <c r="H483" s="9" t="n">
        <v>13</v>
      </c>
      <c r="I483" s="9" t="s">
        <v>135</v>
      </c>
    </row>
    <row r="484" customFormat="false" ht="15" hidden="false" customHeight="false" outlineLevel="0" collapsed="false">
      <c r="A484" s="9" t="s">
        <v>2392</v>
      </c>
      <c r="B484" s="9" t="s">
        <v>2393</v>
      </c>
      <c r="C484" s="9" t="s">
        <v>364</v>
      </c>
      <c r="D484" s="9" t="s">
        <v>363</v>
      </c>
      <c r="E484" s="9" t="s">
        <v>140</v>
      </c>
      <c r="F484" s="9" t="s">
        <v>197</v>
      </c>
      <c r="G484" s="9"/>
      <c r="H484" s="9" t="n">
        <v>13</v>
      </c>
      <c r="I484" s="9" t="s">
        <v>117</v>
      </c>
    </row>
    <row r="485" customFormat="false" ht="15" hidden="false" customHeight="false" outlineLevel="0" collapsed="false">
      <c r="A485" s="9" t="s">
        <v>2394</v>
      </c>
      <c r="B485" s="9" t="s">
        <v>2395</v>
      </c>
      <c r="C485" s="9" t="s">
        <v>364</v>
      </c>
      <c r="D485" s="9" t="s">
        <v>363</v>
      </c>
      <c r="E485" s="9" t="s">
        <v>140</v>
      </c>
      <c r="F485" s="9" t="s">
        <v>197</v>
      </c>
      <c r="G485" s="9"/>
      <c r="H485" s="9" t="n">
        <v>14</v>
      </c>
      <c r="I485" s="9" t="s">
        <v>117</v>
      </c>
    </row>
    <row r="486" customFormat="false" ht="15" hidden="false" customHeight="false" outlineLevel="0" collapsed="false">
      <c r="A486" s="9" t="s">
        <v>2396</v>
      </c>
      <c r="B486" s="9" t="s">
        <v>2397</v>
      </c>
      <c r="C486" s="9" t="s">
        <v>366</v>
      </c>
      <c r="D486" s="9" t="s">
        <v>365</v>
      </c>
      <c r="E486" s="9" t="s">
        <v>155</v>
      </c>
      <c r="F486" s="9" t="s">
        <v>197</v>
      </c>
      <c r="G486" s="9"/>
      <c r="H486" s="9" t="n">
        <v>1</v>
      </c>
      <c r="I486" s="9" t="s">
        <v>103</v>
      </c>
    </row>
    <row r="487" customFormat="false" ht="15" hidden="false" customHeight="false" outlineLevel="0" collapsed="false">
      <c r="A487" s="9" t="s">
        <v>2398</v>
      </c>
      <c r="B487" s="9" t="s">
        <v>2399</v>
      </c>
      <c r="C487" s="9" t="s">
        <v>366</v>
      </c>
      <c r="D487" s="9" t="s">
        <v>365</v>
      </c>
      <c r="E487" s="9" t="s">
        <v>155</v>
      </c>
      <c r="F487" s="9" t="s">
        <v>197</v>
      </c>
      <c r="G487" s="9"/>
      <c r="H487" s="9" t="n">
        <v>2</v>
      </c>
      <c r="I487" s="9" t="s">
        <v>103</v>
      </c>
    </row>
    <row r="488" customFormat="false" ht="15" hidden="false" customHeight="false" outlineLevel="0" collapsed="false">
      <c r="A488" s="9" t="s">
        <v>1576</v>
      </c>
      <c r="B488" s="9" t="s">
        <v>2400</v>
      </c>
      <c r="C488" s="9" t="s">
        <v>358</v>
      </c>
      <c r="D488" s="9" t="s">
        <v>357</v>
      </c>
      <c r="E488" s="9" t="s">
        <v>155</v>
      </c>
      <c r="F488" s="9" t="s">
        <v>156</v>
      </c>
      <c r="G488" s="9"/>
      <c r="H488" s="9" t="n">
        <v>1</v>
      </c>
      <c r="I488" s="9" t="s">
        <v>135</v>
      </c>
    </row>
    <row r="489" customFormat="false" ht="15" hidden="false" customHeight="false" outlineLevel="0" collapsed="false">
      <c r="A489" s="9" t="s">
        <v>2401</v>
      </c>
      <c r="B489" s="9" t="s">
        <v>2402</v>
      </c>
      <c r="C489" s="9" t="s">
        <v>358</v>
      </c>
      <c r="D489" s="9" t="s">
        <v>357</v>
      </c>
      <c r="E489" s="9" t="s">
        <v>155</v>
      </c>
      <c r="F489" s="9" t="s">
        <v>156</v>
      </c>
      <c r="G489" s="9" t="s">
        <v>1631</v>
      </c>
      <c r="H489" s="9" t="n">
        <v>4</v>
      </c>
      <c r="I489" s="9" t="s">
        <v>135</v>
      </c>
    </row>
    <row r="490" customFormat="false" ht="15" hidden="false" customHeight="false" outlineLevel="0" collapsed="false">
      <c r="A490" s="9" t="s">
        <v>1506</v>
      </c>
      <c r="B490" s="9" t="s">
        <v>2403</v>
      </c>
      <c r="C490" s="9" t="s">
        <v>358</v>
      </c>
      <c r="D490" s="9" t="s">
        <v>357</v>
      </c>
      <c r="E490" s="9" t="s">
        <v>155</v>
      </c>
      <c r="F490" s="9" t="s">
        <v>156</v>
      </c>
      <c r="G490" s="9"/>
      <c r="H490" s="9" t="n">
        <v>5</v>
      </c>
      <c r="I490" s="9" t="s">
        <v>135</v>
      </c>
    </row>
    <row r="491" customFormat="false" ht="15" hidden="false" customHeight="false" outlineLevel="0" collapsed="false">
      <c r="A491" s="9" t="s">
        <v>2343</v>
      </c>
      <c r="B491" s="9" t="s">
        <v>1966</v>
      </c>
      <c r="C491" s="9" t="s">
        <v>380</v>
      </c>
      <c r="D491" s="9" t="s">
        <v>379</v>
      </c>
      <c r="E491" s="9" t="s">
        <v>106</v>
      </c>
      <c r="F491" s="9" t="s">
        <v>108</v>
      </c>
      <c r="G491" s="9"/>
      <c r="H491" s="9" t="n">
        <v>2</v>
      </c>
      <c r="I491" s="9" t="s">
        <v>103</v>
      </c>
    </row>
    <row r="492" customFormat="false" ht="15" hidden="false" customHeight="false" outlineLevel="0" collapsed="false">
      <c r="A492" s="9" t="s">
        <v>2404</v>
      </c>
      <c r="B492" s="9" t="s">
        <v>2405</v>
      </c>
      <c r="C492" s="9" t="s">
        <v>382</v>
      </c>
      <c r="D492" s="9" t="s">
        <v>381</v>
      </c>
      <c r="E492" s="9" t="s">
        <v>200</v>
      </c>
      <c r="F492" s="9" t="s">
        <v>173</v>
      </c>
      <c r="G492" s="9"/>
      <c r="H492" s="9" t="n">
        <v>3</v>
      </c>
      <c r="I492" s="9" t="s">
        <v>117</v>
      </c>
    </row>
    <row r="493" customFormat="false" ht="15" hidden="false" customHeight="false" outlineLevel="0" collapsed="false">
      <c r="A493" s="9" t="s">
        <v>2406</v>
      </c>
      <c r="B493" s="9" t="s">
        <v>2407</v>
      </c>
      <c r="C493" s="9" t="s">
        <v>382</v>
      </c>
      <c r="D493" s="9" t="s">
        <v>381</v>
      </c>
      <c r="E493" s="9" t="s">
        <v>200</v>
      </c>
      <c r="F493" s="9" t="s">
        <v>173</v>
      </c>
      <c r="G493" s="9"/>
      <c r="H493" s="9" t="n">
        <v>6</v>
      </c>
      <c r="I493" s="9" t="s">
        <v>117</v>
      </c>
    </row>
    <row r="494" customFormat="false" ht="15" hidden="false" customHeight="false" outlineLevel="0" collapsed="false">
      <c r="A494" s="9" t="s">
        <v>2408</v>
      </c>
      <c r="B494" s="9" t="s">
        <v>2409</v>
      </c>
      <c r="C494" s="9" t="s">
        <v>382</v>
      </c>
      <c r="D494" s="9" t="s">
        <v>381</v>
      </c>
      <c r="E494" s="9" t="s">
        <v>200</v>
      </c>
      <c r="F494" s="9" t="s">
        <v>173</v>
      </c>
      <c r="G494" s="9"/>
      <c r="H494" s="9" t="n">
        <v>7</v>
      </c>
      <c r="I494" s="9" t="s">
        <v>117</v>
      </c>
    </row>
    <row r="495" customFormat="false" ht="15" hidden="false" customHeight="false" outlineLevel="0" collapsed="false">
      <c r="A495" s="9" t="s">
        <v>2410</v>
      </c>
      <c r="B495" s="9" t="s">
        <v>2411</v>
      </c>
      <c r="C495" s="9" t="s">
        <v>382</v>
      </c>
      <c r="D495" s="9" t="s">
        <v>381</v>
      </c>
      <c r="E495" s="9" t="s">
        <v>200</v>
      </c>
      <c r="F495" s="9" t="s">
        <v>173</v>
      </c>
      <c r="G495" s="9" t="s">
        <v>1631</v>
      </c>
      <c r="H495" s="9" t="n">
        <v>8</v>
      </c>
      <c r="I495" s="9" t="s">
        <v>117</v>
      </c>
    </row>
    <row r="496" customFormat="false" ht="15" hidden="false" customHeight="false" outlineLevel="0" collapsed="false">
      <c r="A496" s="9" t="s">
        <v>2412</v>
      </c>
      <c r="B496" s="9" t="s">
        <v>2413</v>
      </c>
      <c r="C496" s="9" t="s">
        <v>382</v>
      </c>
      <c r="D496" s="9" t="s">
        <v>381</v>
      </c>
      <c r="E496" s="9" t="s">
        <v>200</v>
      </c>
      <c r="F496" s="9" t="s">
        <v>173</v>
      </c>
      <c r="G496" s="9"/>
      <c r="H496" s="9" t="n">
        <v>13</v>
      </c>
      <c r="I496" s="9" t="s">
        <v>117</v>
      </c>
    </row>
    <row r="497" customFormat="false" ht="15" hidden="false" customHeight="false" outlineLevel="0" collapsed="false">
      <c r="A497" s="9" t="s">
        <v>2414</v>
      </c>
      <c r="B497" s="9" t="s">
        <v>2415</v>
      </c>
      <c r="C497" s="9" t="s">
        <v>382</v>
      </c>
      <c r="D497" s="9" t="s">
        <v>381</v>
      </c>
      <c r="E497" s="9" t="s">
        <v>200</v>
      </c>
      <c r="F497" s="9" t="s">
        <v>173</v>
      </c>
      <c r="G497" s="9"/>
      <c r="H497" s="9" t="n">
        <v>15</v>
      </c>
      <c r="I497" s="9" t="s">
        <v>117</v>
      </c>
    </row>
    <row r="498" customFormat="false" ht="15" hidden="false" customHeight="false" outlineLevel="0" collapsed="false">
      <c r="A498" s="9" t="s">
        <v>2416</v>
      </c>
      <c r="B498" s="9" t="s">
        <v>2417</v>
      </c>
      <c r="C498" s="9" t="s">
        <v>382</v>
      </c>
      <c r="D498" s="9" t="s">
        <v>381</v>
      </c>
      <c r="E498" s="9" t="s">
        <v>200</v>
      </c>
      <c r="F498" s="9" t="s">
        <v>173</v>
      </c>
      <c r="G498" s="9" t="s">
        <v>1510</v>
      </c>
      <c r="H498" s="9" t="n">
        <v>16</v>
      </c>
      <c r="I498" s="9" t="s">
        <v>117</v>
      </c>
    </row>
    <row r="499" customFormat="false" ht="15" hidden="false" customHeight="false" outlineLevel="0" collapsed="false">
      <c r="A499" s="9" t="s">
        <v>2418</v>
      </c>
      <c r="B499" s="9" t="s">
        <v>2419</v>
      </c>
      <c r="C499" s="9" t="s">
        <v>382</v>
      </c>
      <c r="D499" s="9" t="s">
        <v>381</v>
      </c>
      <c r="E499" s="9" t="s">
        <v>200</v>
      </c>
      <c r="F499" s="9" t="s">
        <v>173</v>
      </c>
      <c r="G499" s="9"/>
      <c r="H499" s="9" t="n">
        <v>19</v>
      </c>
      <c r="I499" s="9" t="s">
        <v>117</v>
      </c>
    </row>
    <row r="500" customFormat="false" ht="15" hidden="false" customHeight="false" outlineLevel="0" collapsed="false">
      <c r="A500" s="9" t="s">
        <v>1506</v>
      </c>
      <c r="B500" s="9" t="s">
        <v>2420</v>
      </c>
      <c r="C500" s="9" t="s">
        <v>382</v>
      </c>
      <c r="D500" s="9" t="s">
        <v>381</v>
      </c>
      <c r="E500" s="9" t="s">
        <v>200</v>
      </c>
      <c r="F500" s="9" t="s">
        <v>173</v>
      </c>
      <c r="G500" s="9"/>
      <c r="H500" s="9" t="n">
        <v>20</v>
      </c>
      <c r="I500" s="9" t="s">
        <v>117</v>
      </c>
    </row>
    <row r="501" customFormat="false" ht="15" hidden="false" customHeight="false" outlineLevel="0" collapsed="false">
      <c r="A501" s="9" t="s">
        <v>1506</v>
      </c>
      <c r="B501" s="9" t="s">
        <v>2421</v>
      </c>
      <c r="C501" s="9" t="s">
        <v>382</v>
      </c>
      <c r="D501" s="9" t="s">
        <v>381</v>
      </c>
      <c r="E501" s="9" t="s">
        <v>200</v>
      </c>
      <c r="F501" s="9" t="s">
        <v>173</v>
      </c>
      <c r="G501" s="9"/>
      <c r="H501" s="9" t="n">
        <v>21</v>
      </c>
      <c r="I501" s="9" t="s">
        <v>117</v>
      </c>
    </row>
    <row r="502" customFormat="false" ht="15" hidden="false" customHeight="false" outlineLevel="0" collapsed="false">
      <c r="A502" s="9" t="s">
        <v>2422</v>
      </c>
      <c r="B502" s="9" t="s">
        <v>2423</v>
      </c>
      <c r="C502" s="9" t="s">
        <v>382</v>
      </c>
      <c r="D502" s="9" t="s">
        <v>381</v>
      </c>
      <c r="E502" s="9" t="s">
        <v>200</v>
      </c>
      <c r="F502" s="9" t="s">
        <v>173</v>
      </c>
      <c r="G502" s="9" t="s">
        <v>1510</v>
      </c>
      <c r="H502" s="9" t="n">
        <v>22</v>
      </c>
      <c r="I502" s="9" t="s">
        <v>117</v>
      </c>
    </row>
    <row r="503" customFormat="false" ht="15" hidden="false" customHeight="false" outlineLevel="0" collapsed="false">
      <c r="A503" s="9" t="s">
        <v>2424</v>
      </c>
      <c r="B503" s="9" t="s">
        <v>2425</v>
      </c>
      <c r="C503" s="9" t="s">
        <v>382</v>
      </c>
      <c r="D503" s="9" t="s">
        <v>381</v>
      </c>
      <c r="E503" s="9" t="s">
        <v>200</v>
      </c>
      <c r="F503" s="9" t="s">
        <v>173</v>
      </c>
      <c r="G503" s="9" t="s">
        <v>1510</v>
      </c>
      <c r="H503" s="9" t="n">
        <v>27</v>
      </c>
      <c r="I503" s="9" t="s">
        <v>117</v>
      </c>
    </row>
    <row r="504" customFormat="false" ht="15" hidden="false" customHeight="false" outlineLevel="0" collapsed="false">
      <c r="A504" s="9" t="s">
        <v>2426</v>
      </c>
      <c r="B504" s="9" t="s">
        <v>2427</v>
      </c>
      <c r="C504" s="9" t="s">
        <v>368</v>
      </c>
      <c r="D504" s="9" t="s">
        <v>367</v>
      </c>
      <c r="E504" s="9" t="s">
        <v>140</v>
      </c>
      <c r="F504" s="9" t="s">
        <v>128</v>
      </c>
      <c r="G504" s="9"/>
      <c r="H504" s="9" t="n">
        <v>7</v>
      </c>
      <c r="I504" s="9" t="s">
        <v>135</v>
      </c>
    </row>
    <row r="505" customFormat="false" ht="15" hidden="false" customHeight="false" outlineLevel="0" collapsed="false">
      <c r="A505" s="9" t="s">
        <v>2428</v>
      </c>
      <c r="B505" s="9" t="s">
        <v>2429</v>
      </c>
      <c r="C505" s="9" t="s">
        <v>297</v>
      </c>
      <c r="D505" s="9" t="s">
        <v>296</v>
      </c>
      <c r="E505" s="9" t="s">
        <v>100</v>
      </c>
      <c r="F505" s="9" t="s">
        <v>128</v>
      </c>
      <c r="G505" s="9"/>
      <c r="H505" s="9" t="n">
        <v>2</v>
      </c>
      <c r="I505" s="9" t="s">
        <v>103</v>
      </c>
    </row>
    <row r="506" customFormat="false" ht="15" hidden="false" customHeight="false" outlineLevel="0" collapsed="false">
      <c r="A506" s="9" t="s">
        <v>2428</v>
      </c>
      <c r="B506" s="9" t="s">
        <v>2430</v>
      </c>
      <c r="C506" s="9" t="s">
        <v>282</v>
      </c>
      <c r="D506" s="9" t="s">
        <v>281</v>
      </c>
      <c r="E506" s="9" t="s">
        <v>140</v>
      </c>
      <c r="F506" s="9" t="s">
        <v>128</v>
      </c>
      <c r="G506" s="9"/>
      <c r="H506" s="9" t="n">
        <v>1</v>
      </c>
      <c r="I506" s="9" t="s">
        <v>103</v>
      </c>
    </row>
    <row r="507" customFormat="false" ht="15" hidden="false" customHeight="false" outlineLevel="0" collapsed="false">
      <c r="A507" s="9" t="s">
        <v>2431</v>
      </c>
      <c r="B507" s="9" t="s">
        <v>2432</v>
      </c>
      <c r="C507" s="9" t="s">
        <v>181</v>
      </c>
      <c r="D507" s="9" t="s">
        <v>180</v>
      </c>
      <c r="E507" s="9" t="s">
        <v>182</v>
      </c>
      <c r="F507" s="9" t="s">
        <v>125</v>
      </c>
      <c r="G507" s="9"/>
      <c r="H507" s="9" t="n">
        <v>3</v>
      </c>
      <c r="I507" s="9" t="s">
        <v>103</v>
      </c>
    </row>
    <row r="508" customFormat="false" ht="15" hidden="false" customHeight="false" outlineLevel="0" collapsed="false">
      <c r="A508" s="9" t="s">
        <v>2433</v>
      </c>
      <c r="B508" s="9" t="s">
        <v>2434</v>
      </c>
      <c r="C508" s="9" t="s">
        <v>140</v>
      </c>
      <c r="D508" s="9" t="s">
        <v>418</v>
      </c>
      <c r="E508" s="9" t="s">
        <v>140</v>
      </c>
      <c r="F508" s="9" t="s">
        <v>173</v>
      </c>
      <c r="G508" s="9"/>
      <c r="H508" s="9" t="n">
        <v>13</v>
      </c>
      <c r="I508" s="9" t="s">
        <v>117</v>
      </c>
    </row>
    <row r="509" customFormat="false" ht="15" hidden="false" customHeight="false" outlineLevel="0" collapsed="false">
      <c r="A509" s="9" t="s">
        <v>2435</v>
      </c>
      <c r="B509" s="9" t="s">
        <v>2436</v>
      </c>
      <c r="C509" s="9" t="s">
        <v>140</v>
      </c>
      <c r="D509" s="9" t="s">
        <v>418</v>
      </c>
      <c r="E509" s="9" t="s">
        <v>140</v>
      </c>
      <c r="F509" s="9" t="s">
        <v>173</v>
      </c>
      <c r="G509" s="9"/>
      <c r="H509" s="9" t="n">
        <v>16</v>
      </c>
      <c r="I509" s="9" t="s">
        <v>117</v>
      </c>
    </row>
    <row r="510" customFormat="false" ht="15" hidden="false" customHeight="false" outlineLevel="0" collapsed="false">
      <c r="A510" s="9" t="s">
        <v>2437</v>
      </c>
      <c r="B510" s="9" t="s">
        <v>2438</v>
      </c>
      <c r="C510" s="9" t="s">
        <v>140</v>
      </c>
      <c r="D510" s="9" t="s">
        <v>418</v>
      </c>
      <c r="E510" s="9" t="s">
        <v>140</v>
      </c>
      <c r="F510" s="9" t="s">
        <v>173</v>
      </c>
      <c r="G510" s="9"/>
      <c r="H510" s="9" t="n">
        <v>18</v>
      </c>
      <c r="I510" s="9" t="s">
        <v>117</v>
      </c>
    </row>
    <row r="511" customFormat="false" ht="15" hidden="false" customHeight="false" outlineLevel="0" collapsed="false">
      <c r="A511" s="9" t="s">
        <v>2439</v>
      </c>
      <c r="B511" s="9" t="s">
        <v>2440</v>
      </c>
      <c r="C511" s="9" t="s">
        <v>140</v>
      </c>
      <c r="D511" s="9" t="s">
        <v>418</v>
      </c>
      <c r="E511" s="9" t="s">
        <v>140</v>
      </c>
      <c r="F511" s="9" t="s">
        <v>173</v>
      </c>
      <c r="G511" s="9"/>
      <c r="H511" s="9" t="n">
        <v>19</v>
      </c>
      <c r="I511" s="9" t="s">
        <v>117</v>
      </c>
    </row>
    <row r="512" customFormat="false" ht="15" hidden="false" customHeight="false" outlineLevel="0" collapsed="false">
      <c r="A512" s="9" t="s">
        <v>2441</v>
      </c>
      <c r="B512" s="9" t="s">
        <v>2442</v>
      </c>
      <c r="C512" s="9" t="s">
        <v>140</v>
      </c>
      <c r="D512" s="9" t="s">
        <v>418</v>
      </c>
      <c r="E512" s="9" t="s">
        <v>140</v>
      </c>
      <c r="F512" s="9" t="s">
        <v>173</v>
      </c>
      <c r="G512" s="9" t="s">
        <v>1543</v>
      </c>
      <c r="H512" s="9" t="n">
        <v>21</v>
      </c>
      <c r="I512" s="9" t="s">
        <v>117</v>
      </c>
    </row>
    <row r="513" customFormat="false" ht="15" hidden="false" customHeight="false" outlineLevel="0" collapsed="false">
      <c r="A513" s="9" t="s">
        <v>2443</v>
      </c>
      <c r="B513" s="9" t="s">
        <v>2444</v>
      </c>
      <c r="C513" s="9" t="s">
        <v>140</v>
      </c>
      <c r="D513" s="9" t="s">
        <v>418</v>
      </c>
      <c r="E513" s="9" t="s">
        <v>140</v>
      </c>
      <c r="F513" s="9" t="s">
        <v>173</v>
      </c>
      <c r="G513" s="9"/>
      <c r="H513" s="9" t="n">
        <v>22</v>
      </c>
      <c r="I513" s="9" t="s">
        <v>117</v>
      </c>
    </row>
    <row r="514" customFormat="false" ht="15" hidden="false" customHeight="false" outlineLevel="0" collapsed="false">
      <c r="A514" s="9" t="s">
        <v>2445</v>
      </c>
      <c r="B514" s="9" t="s">
        <v>2446</v>
      </c>
      <c r="C514" s="9" t="s">
        <v>140</v>
      </c>
      <c r="D514" s="9" t="s">
        <v>418</v>
      </c>
      <c r="E514" s="9" t="s">
        <v>140</v>
      </c>
      <c r="F514" s="9" t="s">
        <v>173</v>
      </c>
      <c r="G514" s="9"/>
      <c r="H514" s="9" t="n">
        <v>24</v>
      </c>
      <c r="I514" s="9" t="s">
        <v>117</v>
      </c>
    </row>
    <row r="515" customFormat="false" ht="15" hidden="false" customHeight="false" outlineLevel="0" collapsed="false">
      <c r="A515" s="9" t="s">
        <v>2447</v>
      </c>
      <c r="B515" s="9" t="s">
        <v>2448</v>
      </c>
      <c r="C515" s="9" t="s">
        <v>384</v>
      </c>
      <c r="D515" s="9" t="s">
        <v>383</v>
      </c>
      <c r="E515" s="9" t="s">
        <v>155</v>
      </c>
      <c r="F515" s="9" t="s">
        <v>197</v>
      </c>
      <c r="G515" s="9"/>
      <c r="H515" s="9" t="n">
        <v>1</v>
      </c>
      <c r="I515" s="9" t="s">
        <v>135</v>
      </c>
    </row>
    <row r="516" customFormat="false" ht="15" hidden="false" customHeight="false" outlineLevel="0" collapsed="false">
      <c r="A516" s="9" t="s">
        <v>1580</v>
      </c>
      <c r="B516" s="9" t="s">
        <v>2449</v>
      </c>
      <c r="C516" s="9" t="s">
        <v>384</v>
      </c>
      <c r="D516" s="9" t="s">
        <v>383</v>
      </c>
      <c r="E516" s="9" t="s">
        <v>155</v>
      </c>
      <c r="F516" s="9" t="s">
        <v>197</v>
      </c>
      <c r="G516" s="9"/>
      <c r="H516" s="9" t="n">
        <v>5</v>
      </c>
      <c r="I516" s="9" t="s">
        <v>135</v>
      </c>
    </row>
    <row r="517" customFormat="false" ht="15" hidden="false" customHeight="false" outlineLevel="0" collapsed="false">
      <c r="A517" s="9" t="s">
        <v>2450</v>
      </c>
      <c r="B517" s="9" t="s">
        <v>2449</v>
      </c>
      <c r="C517" s="9" t="s">
        <v>384</v>
      </c>
      <c r="D517" s="9" t="s">
        <v>383</v>
      </c>
      <c r="E517" s="9" t="s">
        <v>155</v>
      </c>
      <c r="F517" s="9" t="s">
        <v>197</v>
      </c>
      <c r="G517" s="9"/>
      <c r="H517" s="9" t="n">
        <v>6</v>
      </c>
      <c r="I517" s="9" t="s">
        <v>135</v>
      </c>
    </row>
    <row r="518" customFormat="false" ht="15" hidden="false" customHeight="false" outlineLevel="0" collapsed="false">
      <c r="A518" s="9" t="s">
        <v>2451</v>
      </c>
      <c r="B518" s="9" t="s">
        <v>2452</v>
      </c>
      <c r="C518" s="9" t="s">
        <v>384</v>
      </c>
      <c r="D518" s="9" t="s">
        <v>383</v>
      </c>
      <c r="E518" s="9" t="s">
        <v>155</v>
      </c>
      <c r="F518" s="9" t="s">
        <v>197</v>
      </c>
      <c r="G518" s="9"/>
      <c r="H518" s="9" t="n">
        <v>7</v>
      </c>
      <c r="I518" s="9" t="s">
        <v>135</v>
      </c>
    </row>
    <row r="519" customFormat="false" ht="15" hidden="false" customHeight="false" outlineLevel="0" collapsed="false">
      <c r="A519" s="9" t="s">
        <v>2453</v>
      </c>
      <c r="B519" s="9" t="s">
        <v>2452</v>
      </c>
      <c r="C519" s="9" t="s">
        <v>384</v>
      </c>
      <c r="D519" s="9" t="s">
        <v>383</v>
      </c>
      <c r="E519" s="9" t="s">
        <v>155</v>
      </c>
      <c r="F519" s="9" t="s">
        <v>197</v>
      </c>
      <c r="G519" s="9"/>
      <c r="H519" s="9" t="n">
        <v>8</v>
      </c>
      <c r="I519" s="9" t="s">
        <v>135</v>
      </c>
    </row>
    <row r="520" customFormat="false" ht="15" hidden="false" customHeight="false" outlineLevel="0" collapsed="false">
      <c r="A520" s="9" t="s">
        <v>2454</v>
      </c>
      <c r="B520" s="9" t="s">
        <v>2455</v>
      </c>
      <c r="C520" s="9" t="s">
        <v>384</v>
      </c>
      <c r="D520" s="9" t="s">
        <v>383</v>
      </c>
      <c r="E520" s="9" t="s">
        <v>155</v>
      </c>
      <c r="F520" s="9" t="s">
        <v>197</v>
      </c>
      <c r="G520" s="9" t="s">
        <v>1510</v>
      </c>
      <c r="H520" s="9" t="n">
        <v>11</v>
      </c>
      <c r="I520" s="9" t="s">
        <v>135</v>
      </c>
    </row>
    <row r="521" customFormat="false" ht="15" hidden="false" customHeight="false" outlineLevel="0" collapsed="false">
      <c r="A521" s="9" t="s">
        <v>2456</v>
      </c>
      <c r="B521" s="9" t="s">
        <v>1523</v>
      </c>
      <c r="C521" s="9" t="s">
        <v>384</v>
      </c>
      <c r="D521" s="9" t="s">
        <v>383</v>
      </c>
      <c r="E521" s="9" t="s">
        <v>155</v>
      </c>
      <c r="F521" s="9" t="s">
        <v>197</v>
      </c>
      <c r="G521" s="9"/>
      <c r="H521" s="9" t="n">
        <v>14</v>
      </c>
      <c r="I521" s="9" t="s">
        <v>135</v>
      </c>
    </row>
    <row r="522" customFormat="false" ht="15" hidden="false" customHeight="false" outlineLevel="0" collapsed="false">
      <c r="A522" s="9" t="s">
        <v>2457</v>
      </c>
      <c r="B522" s="9" t="s">
        <v>2458</v>
      </c>
      <c r="C522" s="9" t="s">
        <v>307</v>
      </c>
      <c r="D522" s="9" t="s">
        <v>306</v>
      </c>
      <c r="E522" s="9" t="s">
        <v>100</v>
      </c>
      <c r="F522" s="9" t="s">
        <v>102</v>
      </c>
      <c r="G522" s="9"/>
      <c r="H522" s="9" t="n">
        <v>2</v>
      </c>
      <c r="I522" s="9" t="s">
        <v>103</v>
      </c>
    </row>
    <row r="523" customFormat="false" ht="15" hidden="false" customHeight="false" outlineLevel="0" collapsed="false">
      <c r="A523" s="9" t="s">
        <v>2459</v>
      </c>
      <c r="B523" s="9" t="s">
        <v>2460</v>
      </c>
      <c r="C523" s="9" t="s">
        <v>386</v>
      </c>
      <c r="D523" s="9" t="s">
        <v>385</v>
      </c>
      <c r="E523" s="9" t="s">
        <v>155</v>
      </c>
      <c r="F523" s="9" t="s">
        <v>156</v>
      </c>
      <c r="G523" s="9"/>
      <c r="H523" s="9" t="n">
        <v>1</v>
      </c>
      <c r="I523" s="9" t="s">
        <v>157</v>
      </c>
    </row>
    <row r="524" customFormat="false" ht="15" hidden="false" customHeight="false" outlineLevel="0" collapsed="false">
      <c r="A524" s="9" t="s">
        <v>1576</v>
      </c>
      <c r="B524" s="9" t="s">
        <v>1530</v>
      </c>
      <c r="C524" s="9" t="s">
        <v>386</v>
      </c>
      <c r="D524" s="9" t="s">
        <v>385</v>
      </c>
      <c r="E524" s="9" t="s">
        <v>155</v>
      </c>
      <c r="F524" s="9" t="s">
        <v>156</v>
      </c>
      <c r="G524" s="9"/>
      <c r="H524" s="9" t="n">
        <v>6</v>
      </c>
      <c r="I524" s="9" t="s">
        <v>157</v>
      </c>
    </row>
    <row r="525" customFormat="false" ht="15" hidden="false" customHeight="false" outlineLevel="0" collapsed="false">
      <c r="A525" s="9" t="s">
        <v>2461</v>
      </c>
      <c r="B525" s="9" t="s">
        <v>2462</v>
      </c>
      <c r="C525" s="9" t="s">
        <v>388</v>
      </c>
      <c r="D525" s="9" t="s">
        <v>387</v>
      </c>
      <c r="E525" s="9" t="s">
        <v>151</v>
      </c>
      <c r="F525" s="9" t="s">
        <v>152</v>
      </c>
      <c r="G525" s="9"/>
      <c r="H525" s="9" t="n">
        <v>3</v>
      </c>
      <c r="I525" s="9" t="s">
        <v>117</v>
      </c>
    </row>
    <row r="526" customFormat="false" ht="15" hidden="false" customHeight="false" outlineLevel="0" collapsed="false">
      <c r="A526" s="9" t="s">
        <v>1625</v>
      </c>
      <c r="B526" s="9" t="s">
        <v>2463</v>
      </c>
      <c r="C526" s="9" t="s">
        <v>388</v>
      </c>
      <c r="D526" s="9" t="s">
        <v>387</v>
      </c>
      <c r="E526" s="9" t="s">
        <v>151</v>
      </c>
      <c r="F526" s="9" t="s">
        <v>152</v>
      </c>
      <c r="G526" s="9"/>
      <c r="H526" s="9" t="n">
        <v>5</v>
      </c>
      <c r="I526" s="9" t="s">
        <v>117</v>
      </c>
    </row>
    <row r="527" customFormat="false" ht="15" hidden="false" customHeight="false" outlineLevel="0" collapsed="false">
      <c r="A527" s="9" t="s">
        <v>2464</v>
      </c>
      <c r="B527" s="9" t="s">
        <v>2465</v>
      </c>
      <c r="C527" s="9" t="s">
        <v>388</v>
      </c>
      <c r="D527" s="9" t="s">
        <v>387</v>
      </c>
      <c r="E527" s="9" t="s">
        <v>151</v>
      </c>
      <c r="F527" s="9" t="s">
        <v>152</v>
      </c>
      <c r="G527" s="9" t="s">
        <v>1510</v>
      </c>
      <c r="H527" s="9" t="n">
        <v>12</v>
      </c>
      <c r="I527" s="9" t="s">
        <v>117</v>
      </c>
    </row>
    <row r="528" customFormat="false" ht="15" hidden="false" customHeight="false" outlineLevel="0" collapsed="false">
      <c r="A528" s="9" t="s">
        <v>2466</v>
      </c>
      <c r="B528" s="9" t="s">
        <v>2467</v>
      </c>
      <c r="C528" s="9" t="s">
        <v>388</v>
      </c>
      <c r="D528" s="9" t="s">
        <v>387</v>
      </c>
      <c r="E528" s="9" t="s">
        <v>151</v>
      </c>
      <c r="F528" s="9" t="s">
        <v>152</v>
      </c>
      <c r="G528" s="9" t="s">
        <v>1510</v>
      </c>
      <c r="H528" s="9" t="n">
        <v>13</v>
      </c>
      <c r="I528" s="9" t="s">
        <v>117</v>
      </c>
    </row>
    <row r="529" customFormat="false" ht="15" hidden="false" customHeight="false" outlineLevel="0" collapsed="false">
      <c r="A529" s="9" t="s">
        <v>1816</v>
      </c>
      <c r="B529" s="9" t="s">
        <v>2468</v>
      </c>
      <c r="C529" s="9" t="s">
        <v>390</v>
      </c>
      <c r="D529" s="9" t="s">
        <v>389</v>
      </c>
      <c r="E529" s="9" t="s">
        <v>237</v>
      </c>
      <c r="F529" s="9" t="s">
        <v>116</v>
      </c>
      <c r="G529" s="9"/>
      <c r="H529" s="9" t="n">
        <v>1</v>
      </c>
      <c r="I529" s="9" t="s">
        <v>117</v>
      </c>
    </row>
    <row r="530" customFormat="false" ht="15" hidden="false" customHeight="false" outlineLevel="0" collapsed="false">
      <c r="A530" s="9" t="s">
        <v>2469</v>
      </c>
      <c r="B530" s="9" t="s">
        <v>2470</v>
      </c>
      <c r="C530" s="9" t="s">
        <v>390</v>
      </c>
      <c r="D530" s="9" t="s">
        <v>389</v>
      </c>
      <c r="E530" s="9" t="s">
        <v>237</v>
      </c>
      <c r="F530" s="9" t="s">
        <v>116</v>
      </c>
      <c r="G530" s="9"/>
      <c r="H530" s="9" t="n">
        <v>2</v>
      </c>
      <c r="I530" s="9" t="s">
        <v>117</v>
      </c>
    </row>
    <row r="531" customFormat="false" ht="15" hidden="false" customHeight="false" outlineLevel="0" collapsed="false">
      <c r="A531" s="9" t="s">
        <v>2471</v>
      </c>
      <c r="B531" s="9" t="s">
        <v>2472</v>
      </c>
      <c r="C531" s="9" t="s">
        <v>390</v>
      </c>
      <c r="D531" s="9" t="s">
        <v>389</v>
      </c>
      <c r="E531" s="9" t="s">
        <v>237</v>
      </c>
      <c r="F531" s="9" t="s">
        <v>116</v>
      </c>
      <c r="G531" s="9"/>
      <c r="H531" s="9" t="n">
        <v>3</v>
      </c>
      <c r="I531" s="9" t="s">
        <v>117</v>
      </c>
    </row>
    <row r="532" customFormat="false" ht="15" hidden="false" customHeight="false" outlineLevel="0" collapsed="false">
      <c r="A532" s="9" t="s">
        <v>2473</v>
      </c>
      <c r="B532" s="9" t="s">
        <v>2474</v>
      </c>
      <c r="C532" s="9" t="s">
        <v>309</v>
      </c>
      <c r="D532" s="9" t="s">
        <v>308</v>
      </c>
      <c r="E532" s="9" t="s">
        <v>146</v>
      </c>
      <c r="F532" s="9" t="s">
        <v>152</v>
      </c>
      <c r="G532" s="9"/>
      <c r="H532" s="9" t="n">
        <v>6</v>
      </c>
      <c r="I532" s="9" t="s">
        <v>117</v>
      </c>
    </row>
    <row r="533" customFormat="false" ht="15" hidden="false" customHeight="false" outlineLevel="0" collapsed="false">
      <c r="A533" s="9" t="s">
        <v>2475</v>
      </c>
      <c r="B533" s="9" t="s">
        <v>2476</v>
      </c>
      <c r="C533" s="9" t="s">
        <v>100</v>
      </c>
      <c r="D533" s="9" t="s">
        <v>391</v>
      </c>
      <c r="E533" s="9" t="s">
        <v>100</v>
      </c>
      <c r="F533" s="9" t="s">
        <v>173</v>
      </c>
      <c r="G533" s="9" t="s">
        <v>1631</v>
      </c>
      <c r="H533" s="9" t="n">
        <v>2</v>
      </c>
      <c r="I533" s="9" t="s">
        <v>117</v>
      </c>
    </row>
    <row r="534" customFormat="false" ht="15" hidden="false" customHeight="false" outlineLevel="0" collapsed="false">
      <c r="A534" s="9" t="s">
        <v>2477</v>
      </c>
      <c r="B534" s="9" t="s">
        <v>2478</v>
      </c>
      <c r="C534" s="9" t="s">
        <v>100</v>
      </c>
      <c r="D534" s="9" t="s">
        <v>391</v>
      </c>
      <c r="E534" s="9" t="s">
        <v>100</v>
      </c>
      <c r="F534" s="9" t="s">
        <v>173</v>
      </c>
      <c r="G534" s="9"/>
      <c r="H534" s="9" t="n">
        <v>5</v>
      </c>
      <c r="I534" s="9" t="s">
        <v>117</v>
      </c>
    </row>
    <row r="535" customFormat="false" ht="15" hidden="false" customHeight="false" outlineLevel="0" collapsed="false">
      <c r="A535" s="9" t="s">
        <v>2479</v>
      </c>
      <c r="B535" s="9" t="s">
        <v>2480</v>
      </c>
      <c r="C535" s="9" t="s">
        <v>100</v>
      </c>
      <c r="D535" s="9" t="s">
        <v>391</v>
      </c>
      <c r="E535" s="9" t="s">
        <v>100</v>
      </c>
      <c r="F535" s="9" t="s">
        <v>173</v>
      </c>
      <c r="G535" s="9"/>
      <c r="H535" s="9" t="n">
        <v>6</v>
      </c>
      <c r="I535" s="9" t="s">
        <v>117</v>
      </c>
    </row>
    <row r="536" customFormat="false" ht="15" hidden="false" customHeight="false" outlineLevel="0" collapsed="false">
      <c r="A536" s="9" t="s">
        <v>2481</v>
      </c>
      <c r="B536" s="9" t="s">
        <v>2482</v>
      </c>
      <c r="C536" s="9" t="s">
        <v>100</v>
      </c>
      <c r="D536" s="9" t="s">
        <v>391</v>
      </c>
      <c r="E536" s="9" t="s">
        <v>100</v>
      </c>
      <c r="F536" s="9" t="s">
        <v>173</v>
      </c>
      <c r="G536" s="9" t="s">
        <v>1510</v>
      </c>
      <c r="H536" s="9" t="n">
        <v>8</v>
      </c>
      <c r="I536" s="9" t="s">
        <v>117</v>
      </c>
    </row>
    <row r="537" customFormat="false" ht="15" hidden="false" customHeight="false" outlineLevel="0" collapsed="false">
      <c r="A537" s="9" t="s">
        <v>2483</v>
      </c>
      <c r="B537" s="9" t="s">
        <v>2476</v>
      </c>
      <c r="C537" s="9" t="s">
        <v>100</v>
      </c>
      <c r="D537" s="9" t="s">
        <v>391</v>
      </c>
      <c r="E537" s="9" t="s">
        <v>100</v>
      </c>
      <c r="F537" s="9" t="s">
        <v>173</v>
      </c>
      <c r="G537" s="9" t="s">
        <v>1631</v>
      </c>
      <c r="H537" s="9" t="n">
        <v>11</v>
      </c>
      <c r="I537" s="9" t="s">
        <v>117</v>
      </c>
    </row>
    <row r="538" customFormat="false" ht="15" hidden="false" customHeight="false" outlineLevel="0" collapsed="false">
      <c r="A538" s="9" t="s">
        <v>2484</v>
      </c>
      <c r="B538" s="9" t="s">
        <v>2485</v>
      </c>
      <c r="C538" s="9" t="s">
        <v>100</v>
      </c>
      <c r="D538" s="9" t="s">
        <v>391</v>
      </c>
      <c r="E538" s="9" t="s">
        <v>100</v>
      </c>
      <c r="F538" s="9" t="s">
        <v>173</v>
      </c>
      <c r="G538" s="9"/>
      <c r="H538" s="9" t="n">
        <v>15</v>
      </c>
      <c r="I538" s="9" t="s">
        <v>117</v>
      </c>
    </row>
    <row r="539" customFormat="false" ht="15" hidden="false" customHeight="false" outlineLevel="0" collapsed="false">
      <c r="A539" s="9" t="s">
        <v>2486</v>
      </c>
      <c r="B539" s="9" t="s">
        <v>2487</v>
      </c>
      <c r="C539" s="9" t="s">
        <v>100</v>
      </c>
      <c r="D539" s="9" t="s">
        <v>391</v>
      </c>
      <c r="E539" s="9" t="s">
        <v>100</v>
      </c>
      <c r="F539" s="9" t="s">
        <v>173</v>
      </c>
      <c r="G539" s="9" t="s">
        <v>1510</v>
      </c>
      <c r="H539" s="9" t="n">
        <v>20</v>
      </c>
      <c r="I539" s="9" t="s">
        <v>117</v>
      </c>
    </row>
    <row r="540" customFormat="false" ht="15" hidden="false" customHeight="false" outlineLevel="0" collapsed="false">
      <c r="A540" s="9" t="s">
        <v>2488</v>
      </c>
      <c r="B540" s="9" t="s">
        <v>2489</v>
      </c>
      <c r="C540" s="9" t="s">
        <v>100</v>
      </c>
      <c r="D540" s="9" t="s">
        <v>391</v>
      </c>
      <c r="E540" s="9" t="s">
        <v>100</v>
      </c>
      <c r="F540" s="9" t="s">
        <v>173</v>
      </c>
      <c r="G540" s="9" t="s">
        <v>1510</v>
      </c>
      <c r="H540" s="9" t="n">
        <v>21</v>
      </c>
      <c r="I540" s="9" t="s">
        <v>117</v>
      </c>
    </row>
    <row r="541" customFormat="false" ht="15" hidden="false" customHeight="false" outlineLevel="0" collapsed="false">
      <c r="A541" s="9" t="s">
        <v>2490</v>
      </c>
      <c r="B541" s="9" t="s">
        <v>2491</v>
      </c>
      <c r="C541" s="9" t="s">
        <v>100</v>
      </c>
      <c r="D541" s="9" t="s">
        <v>391</v>
      </c>
      <c r="E541" s="9" t="s">
        <v>100</v>
      </c>
      <c r="F541" s="9" t="s">
        <v>173</v>
      </c>
      <c r="G541" s="9" t="s">
        <v>1510</v>
      </c>
      <c r="H541" s="9" t="n">
        <v>22</v>
      </c>
      <c r="I541" s="9" t="s">
        <v>117</v>
      </c>
    </row>
    <row r="542" customFormat="false" ht="15" hidden="false" customHeight="false" outlineLevel="0" collapsed="false">
      <c r="A542" s="9" t="s">
        <v>2492</v>
      </c>
      <c r="B542" s="9" t="s">
        <v>2493</v>
      </c>
      <c r="C542" s="9" t="s">
        <v>100</v>
      </c>
      <c r="D542" s="9" t="s">
        <v>391</v>
      </c>
      <c r="E542" s="9" t="s">
        <v>100</v>
      </c>
      <c r="F542" s="9" t="s">
        <v>173</v>
      </c>
      <c r="G542" s="9" t="s">
        <v>1510</v>
      </c>
      <c r="H542" s="9" t="n">
        <v>23</v>
      </c>
      <c r="I542" s="9" t="s">
        <v>117</v>
      </c>
    </row>
    <row r="543" customFormat="false" ht="15" hidden="false" customHeight="false" outlineLevel="0" collapsed="false">
      <c r="A543" s="9" t="s">
        <v>2494</v>
      </c>
      <c r="B543" s="9" t="s">
        <v>2495</v>
      </c>
      <c r="C543" s="9" t="s">
        <v>100</v>
      </c>
      <c r="D543" s="9" t="s">
        <v>391</v>
      </c>
      <c r="E543" s="9" t="s">
        <v>100</v>
      </c>
      <c r="F543" s="9" t="s">
        <v>173</v>
      </c>
      <c r="G543" s="9" t="s">
        <v>1510</v>
      </c>
      <c r="H543" s="9" t="n">
        <v>24</v>
      </c>
      <c r="I543" s="9" t="s">
        <v>117</v>
      </c>
    </row>
    <row r="544" customFormat="false" ht="15" hidden="false" customHeight="false" outlineLevel="0" collapsed="false">
      <c r="A544" s="9" t="s">
        <v>2496</v>
      </c>
      <c r="B544" s="9" t="s">
        <v>2497</v>
      </c>
      <c r="C544" s="9" t="s">
        <v>100</v>
      </c>
      <c r="D544" s="9" t="s">
        <v>391</v>
      </c>
      <c r="E544" s="9" t="s">
        <v>100</v>
      </c>
      <c r="F544" s="9" t="s">
        <v>173</v>
      </c>
      <c r="G544" s="9"/>
      <c r="H544" s="9" t="n">
        <v>30</v>
      </c>
      <c r="I544" s="9" t="s">
        <v>117</v>
      </c>
    </row>
    <row r="545" customFormat="false" ht="15" hidden="false" customHeight="false" outlineLevel="0" collapsed="false">
      <c r="A545" s="9" t="s">
        <v>1766</v>
      </c>
      <c r="B545" s="9" t="s">
        <v>2498</v>
      </c>
      <c r="C545" s="9" t="s">
        <v>100</v>
      </c>
      <c r="D545" s="9" t="s">
        <v>391</v>
      </c>
      <c r="E545" s="9" t="s">
        <v>100</v>
      </c>
      <c r="F545" s="9" t="s">
        <v>173</v>
      </c>
      <c r="G545" s="9"/>
      <c r="H545" s="9" t="n">
        <v>35</v>
      </c>
      <c r="I545" s="9" t="s">
        <v>117</v>
      </c>
    </row>
    <row r="546" customFormat="false" ht="15" hidden="false" customHeight="false" outlineLevel="0" collapsed="false">
      <c r="A546" s="9" t="s">
        <v>2499</v>
      </c>
      <c r="B546" s="9" t="s">
        <v>1597</v>
      </c>
      <c r="C546" s="9" t="s">
        <v>100</v>
      </c>
      <c r="D546" s="9" t="s">
        <v>391</v>
      </c>
      <c r="E546" s="9" t="s">
        <v>100</v>
      </c>
      <c r="F546" s="9" t="s">
        <v>173</v>
      </c>
      <c r="G546" s="9"/>
      <c r="H546" s="9" t="n">
        <v>42</v>
      </c>
      <c r="I546" s="9" t="s">
        <v>117</v>
      </c>
    </row>
    <row r="547" customFormat="false" ht="15" hidden="false" customHeight="false" outlineLevel="0" collapsed="false">
      <c r="A547" s="9" t="s">
        <v>2500</v>
      </c>
      <c r="B547" s="9" t="s">
        <v>1597</v>
      </c>
      <c r="C547" s="9" t="s">
        <v>100</v>
      </c>
      <c r="D547" s="9" t="s">
        <v>391</v>
      </c>
      <c r="E547" s="9" t="s">
        <v>100</v>
      </c>
      <c r="F547" s="9" t="s">
        <v>173</v>
      </c>
      <c r="G547" s="9"/>
      <c r="H547" s="9" t="n">
        <v>45</v>
      </c>
      <c r="I547" s="9" t="s">
        <v>117</v>
      </c>
    </row>
    <row r="548" customFormat="false" ht="15" hidden="false" customHeight="false" outlineLevel="0" collapsed="false">
      <c r="A548" s="9" t="s">
        <v>2501</v>
      </c>
      <c r="B548" s="9" t="s">
        <v>2502</v>
      </c>
      <c r="C548" s="9" t="s">
        <v>100</v>
      </c>
      <c r="D548" s="9" t="s">
        <v>391</v>
      </c>
      <c r="E548" s="9" t="s">
        <v>100</v>
      </c>
      <c r="F548" s="9" t="s">
        <v>173</v>
      </c>
      <c r="G548" s="9"/>
      <c r="H548" s="9" t="n">
        <v>47</v>
      </c>
      <c r="I548" s="9" t="s">
        <v>117</v>
      </c>
    </row>
    <row r="549" customFormat="false" ht="15" hidden="false" customHeight="false" outlineLevel="0" collapsed="false">
      <c r="A549" s="9" t="s">
        <v>1506</v>
      </c>
      <c r="B549" s="9" t="s">
        <v>2503</v>
      </c>
      <c r="C549" s="9" t="s">
        <v>100</v>
      </c>
      <c r="D549" s="9" t="s">
        <v>391</v>
      </c>
      <c r="E549" s="9" t="s">
        <v>100</v>
      </c>
      <c r="F549" s="9" t="s">
        <v>173</v>
      </c>
      <c r="G549" s="9"/>
      <c r="H549" s="9" t="n">
        <v>50</v>
      </c>
      <c r="I549" s="9" t="s">
        <v>117</v>
      </c>
    </row>
    <row r="550" customFormat="false" ht="15" hidden="false" customHeight="false" outlineLevel="0" collapsed="false">
      <c r="A550" s="9" t="s">
        <v>2504</v>
      </c>
      <c r="B550" s="9" t="s">
        <v>1607</v>
      </c>
      <c r="C550" s="9" t="s">
        <v>393</v>
      </c>
      <c r="D550" s="9" t="s">
        <v>392</v>
      </c>
      <c r="E550" s="9" t="s">
        <v>155</v>
      </c>
      <c r="F550" s="9" t="s">
        <v>197</v>
      </c>
      <c r="G550" s="9"/>
      <c r="H550" s="9" t="n">
        <v>3</v>
      </c>
      <c r="I550" s="9" t="s">
        <v>135</v>
      </c>
    </row>
    <row r="551" customFormat="false" ht="15" hidden="false" customHeight="false" outlineLevel="0" collapsed="false">
      <c r="A551" s="9" t="s">
        <v>2505</v>
      </c>
      <c r="B551" s="9" t="s">
        <v>2506</v>
      </c>
      <c r="C551" s="9" t="s">
        <v>393</v>
      </c>
      <c r="D551" s="9" t="s">
        <v>392</v>
      </c>
      <c r="E551" s="9" t="s">
        <v>155</v>
      </c>
      <c r="F551" s="9" t="s">
        <v>197</v>
      </c>
      <c r="G551" s="9"/>
      <c r="H551" s="9" t="n">
        <v>4</v>
      </c>
      <c r="I551" s="9" t="s">
        <v>135</v>
      </c>
    </row>
    <row r="552" customFormat="false" ht="15" hidden="false" customHeight="false" outlineLevel="0" collapsed="false">
      <c r="A552" s="9" t="s">
        <v>2507</v>
      </c>
      <c r="B552" s="9" t="s">
        <v>2508</v>
      </c>
      <c r="C552" s="9" t="s">
        <v>393</v>
      </c>
      <c r="D552" s="9" t="s">
        <v>392</v>
      </c>
      <c r="E552" s="9" t="s">
        <v>155</v>
      </c>
      <c r="F552" s="9" t="s">
        <v>197</v>
      </c>
      <c r="G552" s="9" t="s">
        <v>1510</v>
      </c>
      <c r="H552" s="9" t="n">
        <v>6</v>
      </c>
      <c r="I552" s="9" t="s">
        <v>135</v>
      </c>
    </row>
    <row r="553" customFormat="false" ht="15" hidden="false" customHeight="false" outlineLevel="0" collapsed="false">
      <c r="A553" s="9" t="s">
        <v>2509</v>
      </c>
      <c r="B553" s="9" t="s">
        <v>2510</v>
      </c>
      <c r="C553" s="9" t="s">
        <v>397</v>
      </c>
      <c r="D553" s="9" t="s">
        <v>396</v>
      </c>
      <c r="E553" s="9" t="s">
        <v>133</v>
      </c>
      <c r="F553" s="9" t="s">
        <v>125</v>
      </c>
      <c r="G553" s="9"/>
      <c r="H553" s="9" t="n">
        <v>2</v>
      </c>
      <c r="I553" s="9" t="s">
        <v>157</v>
      </c>
    </row>
    <row r="554" customFormat="false" ht="15" hidden="false" customHeight="false" outlineLevel="0" collapsed="false">
      <c r="A554" s="9" t="s">
        <v>2511</v>
      </c>
      <c r="B554" s="9" t="s">
        <v>2512</v>
      </c>
      <c r="C554" s="9" t="s">
        <v>397</v>
      </c>
      <c r="D554" s="9" t="s">
        <v>396</v>
      </c>
      <c r="E554" s="9" t="s">
        <v>133</v>
      </c>
      <c r="F554" s="9" t="s">
        <v>125</v>
      </c>
      <c r="G554" s="9"/>
      <c r="H554" s="9" t="n">
        <v>6</v>
      </c>
      <c r="I554" s="9" t="s">
        <v>157</v>
      </c>
    </row>
    <row r="555" customFormat="false" ht="15" hidden="false" customHeight="false" outlineLevel="0" collapsed="false">
      <c r="A555" s="9" t="s">
        <v>1578</v>
      </c>
      <c r="B555" s="9" t="s">
        <v>2513</v>
      </c>
      <c r="C555" s="9" t="s">
        <v>395</v>
      </c>
      <c r="D555" s="9" t="s">
        <v>394</v>
      </c>
      <c r="E555" s="9" t="s">
        <v>100</v>
      </c>
      <c r="F555" s="9" t="s">
        <v>173</v>
      </c>
      <c r="G555" s="9"/>
      <c r="H555" s="9" t="n">
        <v>1</v>
      </c>
      <c r="I555" s="9" t="s">
        <v>135</v>
      </c>
    </row>
    <row r="556" customFormat="false" ht="15" hidden="false" customHeight="false" outlineLevel="0" collapsed="false">
      <c r="A556" s="9" t="s">
        <v>2514</v>
      </c>
      <c r="B556" s="9" t="s">
        <v>2515</v>
      </c>
      <c r="C556" s="9" t="s">
        <v>395</v>
      </c>
      <c r="D556" s="9" t="s">
        <v>394</v>
      </c>
      <c r="E556" s="9" t="s">
        <v>100</v>
      </c>
      <c r="F556" s="9" t="s">
        <v>173</v>
      </c>
      <c r="G556" s="9"/>
      <c r="H556" s="9" t="n">
        <v>3</v>
      </c>
      <c r="I556" s="9" t="s">
        <v>135</v>
      </c>
    </row>
    <row r="557" customFormat="false" ht="15" hidden="false" customHeight="false" outlineLevel="0" collapsed="false">
      <c r="A557" s="9" t="s">
        <v>1580</v>
      </c>
      <c r="B557" s="9" t="s">
        <v>2516</v>
      </c>
      <c r="C557" s="9" t="s">
        <v>295</v>
      </c>
      <c r="D557" s="9" t="s">
        <v>294</v>
      </c>
      <c r="E557" s="9" t="s">
        <v>106</v>
      </c>
      <c r="F557" s="9" t="s">
        <v>108</v>
      </c>
      <c r="G557" s="9"/>
      <c r="H557" s="9" t="n">
        <v>1</v>
      </c>
      <c r="I557" s="9" t="s">
        <v>103</v>
      </c>
    </row>
    <row r="558" customFormat="false" ht="15" hidden="false" customHeight="false" outlineLevel="0" collapsed="false">
      <c r="A558" s="9" t="s">
        <v>2517</v>
      </c>
      <c r="B558" s="9" t="s">
        <v>1617</v>
      </c>
      <c r="C558" s="9" t="s">
        <v>295</v>
      </c>
      <c r="D558" s="9" t="s">
        <v>294</v>
      </c>
      <c r="E558" s="9" t="s">
        <v>106</v>
      </c>
      <c r="F558" s="9" t="s">
        <v>108</v>
      </c>
      <c r="G558" s="9"/>
      <c r="H558" s="9" t="n">
        <v>6</v>
      </c>
      <c r="I558" s="9" t="s">
        <v>103</v>
      </c>
    </row>
    <row r="559" customFormat="false" ht="15" hidden="false" customHeight="false" outlineLevel="0" collapsed="false">
      <c r="A559" s="9" t="s">
        <v>2518</v>
      </c>
      <c r="B559" s="9" t="s">
        <v>2519</v>
      </c>
      <c r="C559" s="9" t="s">
        <v>399</v>
      </c>
      <c r="D559" s="9" t="s">
        <v>398</v>
      </c>
      <c r="E559" s="9" t="s">
        <v>182</v>
      </c>
      <c r="F559" s="9" t="s">
        <v>125</v>
      </c>
      <c r="G559" s="9" t="s">
        <v>1543</v>
      </c>
      <c r="H559" s="9" t="n">
        <v>1</v>
      </c>
      <c r="I559" s="9" t="s">
        <v>143</v>
      </c>
    </row>
    <row r="560" customFormat="false" ht="15" hidden="false" customHeight="false" outlineLevel="0" collapsed="false">
      <c r="A560" s="9" t="s">
        <v>2520</v>
      </c>
      <c r="B560" s="9" t="s">
        <v>2521</v>
      </c>
      <c r="C560" s="9" t="s">
        <v>399</v>
      </c>
      <c r="D560" s="9" t="s">
        <v>398</v>
      </c>
      <c r="E560" s="9" t="s">
        <v>182</v>
      </c>
      <c r="F560" s="9" t="s">
        <v>125</v>
      </c>
      <c r="G560" s="9" t="s">
        <v>1543</v>
      </c>
      <c r="H560" s="9" t="n">
        <v>3</v>
      </c>
      <c r="I560" s="9" t="s">
        <v>143</v>
      </c>
    </row>
    <row r="561" customFormat="false" ht="15" hidden="false" customHeight="false" outlineLevel="0" collapsed="false">
      <c r="A561" s="9" t="s">
        <v>2522</v>
      </c>
      <c r="B561" s="9" t="s">
        <v>2523</v>
      </c>
      <c r="C561" s="9" t="s">
        <v>399</v>
      </c>
      <c r="D561" s="9" t="s">
        <v>398</v>
      </c>
      <c r="E561" s="9" t="s">
        <v>182</v>
      </c>
      <c r="F561" s="9" t="s">
        <v>125</v>
      </c>
      <c r="G561" s="9"/>
      <c r="H561" s="9" t="n">
        <v>6</v>
      </c>
      <c r="I561" s="9" t="s">
        <v>143</v>
      </c>
    </row>
    <row r="562" customFormat="false" ht="15" hidden="false" customHeight="false" outlineLevel="0" collapsed="false">
      <c r="A562" s="9" t="s">
        <v>2524</v>
      </c>
      <c r="B562" s="9" t="s">
        <v>2525</v>
      </c>
      <c r="C562" s="9" t="s">
        <v>399</v>
      </c>
      <c r="D562" s="9" t="s">
        <v>398</v>
      </c>
      <c r="E562" s="9" t="s">
        <v>182</v>
      </c>
      <c r="F562" s="9" t="s">
        <v>125</v>
      </c>
      <c r="G562" s="9"/>
      <c r="H562" s="9" t="n">
        <v>7</v>
      </c>
      <c r="I562" s="9" t="s">
        <v>143</v>
      </c>
    </row>
    <row r="563" customFormat="false" ht="15" hidden="false" customHeight="false" outlineLevel="0" collapsed="false">
      <c r="A563" s="9" t="s">
        <v>2526</v>
      </c>
      <c r="B563" s="9" t="s">
        <v>1626</v>
      </c>
      <c r="C563" s="9" t="s">
        <v>401</v>
      </c>
      <c r="D563" s="9" t="s">
        <v>400</v>
      </c>
      <c r="E563" s="9" t="s">
        <v>155</v>
      </c>
      <c r="F563" s="9" t="s">
        <v>156</v>
      </c>
      <c r="G563" s="9"/>
      <c r="H563" s="9" t="n">
        <v>3</v>
      </c>
      <c r="I563" s="9" t="s">
        <v>135</v>
      </c>
    </row>
    <row r="564" customFormat="false" ht="15" hidden="false" customHeight="false" outlineLevel="0" collapsed="false">
      <c r="A564" s="9" t="s">
        <v>2527</v>
      </c>
      <c r="B564" s="9" t="s">
        <v>2528</v>
      </c>
      <c r="C564" s="9" t="s">
        <v>403</v>
      </c>
      <c r="D564" s="9" t="s">
        <v>402</v>
      </c>
      <c r="E564" s="9" t="s">
        <v>106</v>
      </c>
      <c r="F564" s="9" t="s">
        <v>102</v>
      </c>
      <c r="G564" s="9" t="s">
        <v>1510</v>
      </c>
      <c r="H564" s="9" t="n">
        <v>3</v>
      </c>
      <c r="I564" s="9" t="s">
        <v>103</v>
      </c>
    </row>
    <row r="565" customFormat="false" ht="15" hidden="false" customHeight="false" outlineLevel="0" collapsed="false">
      <c r="A565" s="9" t="s">
        <v>2529</v>
      </c>
      <c r="B565" s="9" t="s">
        <v>2530</v>
      </c>
      <c r="C565" s="9" t="s">
        <v>405</v>
      </c>
      <c r="D565" s="9" t="s">
        <v>404</v>
      </c>
      <c r="E565" s="9" t="s">
        <v>237</v>
      </c>
      <c r="F565" s="9" t="s">
        <v>116</v>
      </c>
      <c r="G565" s="9"/>
      <c r="H565" s="9" t="n">
        <v>6</v>
      </c>
      <c r="I565" s="9" t="s">
        <v>117</v>
      </c>
    </row>
    <row r="566" customFormat="false" ht="15" hidden="false" customHeight="false" outlineLevel="0" collapsed="false">
      <c r="A566" s="9" t="s">
        <v>2531</v>
      </c>
      <c r="B566" s="9" t="s">
        <v>2532</v>
      </c>
      <c r="C566" s="9" t="s">
        <v>405</v>
      </c>
      <c r="D566" s="9" t="s">
        <v>404</v>
      </c>
      <c r="E566" s="9" t="s">
        <v>237</v>
      </c>
      <c r="F566" s="9" t="s">
        <v>116</v>
      </c>
      <c r="G566" s="9"/>
      <c r="H566" s="9" t="n">
        <v>7</v>
      </c>
      <c r="I566" s="9" t="s">
        <v>117</v>
      </c>
    </row>
    <row r="567" customFormat="false" ht="15" hidden="false" customHeight="false" outlineLevel="0" collapsed="false">
      <c r="A567" s="9" t="s">
        <v>2533</v>
      </c>
      <c r="B567" s="9" t="s">
        <v>2534</v>
      </c>
      <c r="C567" s="9" t="s">
        <v>405</v>
      </c>
      <c r="D567" s="9" t="s">
        <v>404</v>
      </c>
      <c r="E567" s="9" t="s">
        <v>237</v>
      </c>
      <c r="F567" s="9" t="s">
        <v>116</v>
      </c>
      <c r="G567" s="9"/>
      <c r="H567" s="9" t="n">
        <v>8</v>
      </c>
      <c r="I567" s="9" t="s">
        <v>117</v>
      </c>
    </row>
    <row r="568" customFormat="false" ht="15" hidden="false" customHeight="false" outlineLevel="0" collapsed="false">
      <c r="A568" s="9" t="s">
        <v>2535</v>
      </c>
      <c r="B568" s="9" t="s">
        <v>2536</v>
      </c>
      <c r="C568" s="9" t="s">
        <v>405</v>
      </c>
      <c r="D568" s="9" t="s">
        <v>404</v>
      </c>
      <c r="E568" s="9" t="s">
        <v>237</v>
      </c>
      <c r="F568" s="9" t="s">
        <v>116</v>
      </c>
      <c r="G568" s="9"/>
      <c r="H568" s="9" t="n">
        <v>10</v>
      </c>
      <c r="I568" s="9" t="s">
        <v>117</v>
      </c>
    </row>
    <row r="569" customFormat="false" ht="15" hidden="false" customHeight="false" outlineLevel="0" collapsed="false">
      <c r="A569" s="9" t="s">
        <v>1774</v>
      </c>
      <c r="B569" s="9" t="s">
        <v>2537</v>
      </c>
      <c r="C569" s="9" t="s">
        <v>407</v>
      </c>
      <c r="D569" s="9" t="s">
        <v>406</v>
      </c>
      <c r="E569" s="9" t="s">
        <v>106</v>
      </c>
      <c r="F569" s="9" t="s">
        <v>108</v>
      </c>
      <c r="G569" s="9" t="s">
        <v>1631</v>
      </c>
      <c r="H569" s="9" t="n">
        <v>1</v>
      </c>
      <c r="I569" s="9" t="s">
        <v>143</v>
      </c>
    </row>
    <row r="570" customFormat="false" ht="15" hidden="false" customHeight="false" outlineLevel="0" collapsed="false">
      <c r="A570" s="9" t="s">
        <v>1625</v>
      </c>
      <c r="B570" s="9" t="s">
        <v>2538</v>
      </c>
      <c r="C570" s="9" t="s">
        <v>407</v>
      </c>
      <c r="D570" s="9" t="s">
        <v>406</v>
      </c>
      <c r="E570" s="9" t="s">
        <v>106</v>
      </c>
      <c r="F570" s="9" t="s">
        <v>108</v>
      </c>
      <c r="G570" s="9"/>
      <c r="H570" s="9" t="n">
        <v>2</v>
      </c>
      <c r="I570" s="9" t="s">
        <v>143</v>
      </c>
    </row>
    <row r="571" customFormat="false" ht="15" hidden="false" customHeight="false" outlineLevel="0" collapsed="false">
      <c r="A571" s="9" t="s">
        <v>2539</v>
      </c>
      <c r="B571" s="9" t="s">
        <v>2540</v>
      </c>
      <c r="C571" s="9" t="s">
        <v>407</v>
      </c>
      <c r="D571" s="9" t="s">
        <v>406</v>
      </c>
      <c r="E571" s="9" t="s">
        <v>106</v>
      </c>
      <c r="F571" s="9" t="s">
        <v>108</v>
      </c>
      <c r="G571" s="9"/>
      <c r="H571" s="9" t="n">
        <v>4</v>
      </c>
      <c r="I571" s="9" t="s">
        <v>143</v>
      </c>
    </row>
    <row r="572" customFormat="false" ht="15" hidden="false" customHeight="false" outlineLevel="0" collapsed="false">
      <c r="A572" s="9" t="s">
        <v>1570</v>
      </c>
      <c r="B572" s="9" t="s">
        <v>2541</v>
      </c>
      <c r="C572" s="9" t="s">
        <v>409</v>
      </c>
      <c r="D572" s="9" t="s">
        <v>408</v>
      </c>
      <c r="E572" s="9" t="s">
        <v>106</v>
      </c>
      <c r="F572" s="9" t="s">
        <v>108</v>
      </c>
      <c r="G572" s="9"/>
      <c r="H572" s="9" t="n">
        <v>1</v>
      </c>
      <c r="I572" s="9" t="s">
        <v>103</v>
      </c>
    </row>
    <row r="573" customFormat="false" ht="15" hidden="false" customHeight="false" outlineLevel="0" collapsed="false">
      <c r="A573" s="9" t="s">
        <v>2542</v>
      </c>
      <c r="B573" s="9" t="s">
        <v>2543</v>
      </c>
      <c r="C573" s="9" t="s">
        <v>413</v>
      </c>
      <c r="D573" s="9" t="s">
        <v>412</v>
      </c>
      <c r="E573" s="9" t="s">
        <v>120</v>
      </c>
      <c r="F573" s="9" t="s">
        <v>116</v>
      </c>
      <c r="G573" s="9"/>
      <c r="H573" s="9" t="n">
        <v>3</v>
      </c>
      <c r="I573" s="9" t="s">
        <v>117</v>
      </c>
    </row>
    <row r="574" customFormat="false" ht="15" hidden="false" customHeight="false" outlineLevel="0" collapsed="false">
      <c r="A574" s="9" t="s">
        <v>2544</v>
      </c>
      <c r="B574" s="9" t="s">
        <v>2545</v>
      </c>
      <c r="C574" s="9" t="s">
        <v>413</v>
      </c>
      <c r="D574" s="9" t="s">
        <v>412</v>
      </c>
      <c r="E574" s="9" t="s">
        <v>120</v>
      </c>
      <c r="F574" s="9" t="s">
        <v>116</v>
      </c>
      <c r="G574" s="9"/>
      <c r="H574" s="9" t="n">
        <v>8</v>
      </c>
      <c r="I574" s="9" t="s">
        <v>117</v>
      </c>
    </row>
    <row r="575" customFormat="false" ht="15" hidden="false" customHeight="false" outlineLevel="0" collapsed="false">
      <c r="A575" s="9" t="s">
        <v>2546</v>
      </c>
      <c r="B575" s="9" t="s">
        <v>2547</v>
      </c>
      <c r="C575" s="9" t="s">
        <v>413</v>
      </c>
      <c r="D575" s="9" t="s">
        <v>412</v>
      </c>
      <c r="E575" s="9" t="s">
        <v>120</v>
      </c>
      <c r="F575" s="9" t="s">
        <v>116</v>
      </c>
      <c r="G575" s="9"/>
      <c r="H575" s="9" t="n">
        <v>10</v>
      </c>
      <c r="I575" s="9" t="s">
        <v>117</v>
      </c>
    </row>
    <row r="576" customFormat="false" ht="15" hidden="false" customHeight="false" outlineLevel="0" collapsed="false">
      <c r="A576" s="9" t="s">
        <v>2548</v>
      </c>
      <c r="B576" s="9" t="s">
        <v>1649</v>
      </c>
      <c r="C576" s="9" t="s">
        <v>413</v>
      </c>
      <c r="D576" s="9" t="s">
        <v>412</v>
      </c>
      <c r="E576" s="9" t="s">
        <v>120</v>
      </c>
      <c r="F576" s="9" t="s">
        <v>116</v>
      </c>
      <c r="G576" s="9"/>
      <c r="H576" s="9" t="n">
        <v>14</v>
      </c>
      <c r="I576" s="9" t="s">
        <v>117</v>
      </c>
    </row>
    <row r="577" customFormat="false" ht="15" hidden="false" customHeight="false" outlineLevel="0" collapsed="false">
      <c r="A577" s="9" t="s">
        <v>2549</v>
      </c>
      <c r="B577" s="9" t="s">
        <v>1661</v>
      </c>
      <c r="C577" s="9" t="s">
        <v>413</v>
      </c>
      <c r="D577" s="9" t="s">
        <v>412</v>
      </c>
      <c r="E577" s="9" t="s">
        <v>120</v>
      </c>
      <c r="F577" s="9" t="s">
        <v>116</v>
      </c>
      <c r="G577" s="9" t="s">
        <v>1510</v>
      </c>
      <c r="H577" s="9" t="n">
        <v>22</v>
      </c>
      <c r="I577" s="9" t="s">
        <v>117</v>
      </c>
    </row>
    <row r="578" customFormat="false" ht="15" hidden="false" customHeight="false" outlineLevel="0" collapsed="false">
      <c r="A578" s="9" t="s">
        <v>2550</v>
      </c>
      <c r="B578" s="9" t="s">
        <v>2551</v>
      </c>
      <c r="C578" s="9" t="s">
        <v>413</v>
      </c>
      <c r="D578" s="9" t="s">
        <v>412</v>
      </c>
      <c r="E578" s="9" t="s">
        <v>120</v>
      </c>
      <c r="F578" s="9" t="s">
        <v>116</v>
      </c>
      <c r="G578" s="9" t="s">
        <v>1510</v>
      </c>
      <c r="H578" s="9" t="n">
        <v>23</v>
      </c>
      <c r="I578" s="9" t="s">
        <v>117</v>
      </c>
    </row>
    <row r="579" customFormat="false" ht="15" hidden="false" customHeight="false" outlineLevel="0" collapsed="false">
      <c r="A579" s="9" t="s">
        <v>1903</v>
      </c>
      <c r="B579" s="9" t="s">
        <v>2552</v>
      </c>
      <c r="C579" s="9" t="s">
        <v>413</v>
      </c>
      <c r="D579" s="9" t="s">
        <v>412</v>
      </c>
      <c r="E579" s="9" t="s">
        <v>120</v>
      </c>
      <c r="F579" s="9" t="s">
        <v>116</v>
      </c>
      <c r="G579" s="9" t="s">
        <v>1510</v>
      </c>
      <c r="H579" s="9" t="n">
        <v>25</v>
      </c>
      <c r="I579" s="9" t="s">
        <v>117</v>
      </c>
    </row>
    <row r="580" customFormat="false" ht="15" hidden="false" customHeight="false" outlineLevel="0" collapsed="false">
      <c r="A580" s="9" t="s">
        <v>2553</v>
      </c>
      <c r="B580" s="9" t="s">
        <v>1659</v>
      </c>
      <c r="C580" s="9" t="s">
        <v>413</v>
      </c>
      <c r="D580" s="9" t="s">
        <v>412</v>
      </c>
      <c r="E580" s="9" t="s">
        <v>120</v>
      </c>
      <c r="F580" s="9" t="s">
        <v>116</v>
      </c>
      <c r="G580" s="9" t="s">
        <v>1510</v>
      </c>
      <c r="H580" s="9" t="n">
        <v>28</v>
      </c>
      <c r="I580" s="9" t="s">
        <v>117</v>
      </c>
    </row>
    <row r="581" customFormat="false" ht="15" hidden="false" customHeight="false" outlineLevel="0" collapsed="false">
      <c r="A581" s="9" t="s">
        <v>1570</v>
      </c>
      <c r="B581" s="9" t="s">
        <v>2554</v>
      </c>
      <c r="C581" s="9" t="s">
        <v>415</v>
      </c>
      <c r="D581" s="9" t="s">
        <v>414</v>
      </c>
      <c r="E581" s="9" t="s">
        <v>146</v>
      </c>
      <c r="F581" s="9" t="s">
        <v>152</v>
      </c>
      <c r="G581" s="9"/>
      <c r="H581" s="9" t="n">
        <v>2</v>
      </c>
      <c r="I581" s="9" t="s">
        <v>117</v>
      </c>
    </row>
    <row r="582" customFormat="false" ht="15" hidden="false" customHeight="false" outlineLevel="0" collapsed="false">
      <c r="A582" s="9" t="s">
        <v>2555</v>
      </c>
      <c r="B582" s="9" t="s">
        <v>2556</v>
      </c>
      <c r="C582" s="9" t="s">
        <v>415</v>
      </c>
      <c r="D582" s="9" t="s">
        <v>414</v>
      </c>
      <c r="E582" s="9" t="s">
        <v>146</v>
      </c>
      <c r="F582" s="9" t="s">
        <v>152</v>
      </c>
      <c r="G582" s="9"/>
      <c r="H582" s="9" t="n">
        <v>4</v>
      </c>
      <c r="I582" s="9" t="s">
        <v>117</v>
      </c>
    </row>
    <row r="583" customFormat="false" ht="15" hidden="false" customHeight="false" outlineLevel="0" collapsed="false">
      <c r="A583" s="9" t="s">
        <v>2557</v>
      </c>
      <c r="B583" s="9" t="s">
        <v>2558</v>
      </c>
      <c r="C583" s="9" t="s">
        <v>415</v>
      </c>
      <c r="D583" s="9" t="s">
        <v>414</v>
      </c>
      <c r="E583" s="9" t="s">
        <v>146</v>
      </c>
      <c r="F583" s="9" t="s">
        <v>152</v>
      </c>
      <c r="G583" s="9"/>
      <c r="H583" s="9" t="n">
        <v>9</v>
      </c>
      <c r="I583" s="9" t="s">
        <v>117</v>
      </c>
    </row>
    <row r="584" customFormat="false" ht="15" hidden="false" customHeight="false" outlineLevel="0" collapsed="false">
      <c r="A584" s="9" t="s">
        <v>2559</v>
      </c>
      <c r="B584" s="9" t="s">
        <v>2560</v>
      </c>
      <c r="C584" s="9" t="s">
        <v>415</v>
      </c>
      <c r="D584" s="9" t="s">
        <v>414</v>
      </c>
      <c r="E584" s="9" t="s">
        <v>146</v>
      </c>
      <c r="F584" s="9" t="s">
        <v>152</v>
      </c>
      <c r="G584" s="9" t="s">
        <v>1543</v>
      </c>
      <c r="H584" s="9" t="n">
        <v>12</v>
      </c>
      <c r="I584" s="9" t="s">
        <v>117</v>
      </c>
    </row>
    <row r="585" customFormat="false" ht="15" hidden="false" customHeight="false" outlineLevel="0" collapsed="false">
      <c r="A585" s="9" t="s">
        <v>2561</v>
      </c>
      <c r="B585" s="9" t="s">
        <v>2562</v>
      </c>
      <c r="C585" s="9" t="s">
        <v>415</v>
      </c>
      <c r="D585" s="9" t="s">
        <v>414</v>
      </c>
      <c r="E585" s="9" t="s">
        <v>146</v>
      </c>
      <c r="F585" s="9" t="s">
        <v>152</v>
      </c>
      <c r="G585" s="9"/>
      <c r="H585" s="9" t="n">
        <v>14</v>
      </c>
      <c r="I585" s="9" t="s">
        <v>117</v>
      </c>
    </row>
    <row r="586" customFormat="false" ht="15" hidden="false" customHeight="false" outlineLevel="0" collapsed="false">
      <c r="A586" s="9" t="s">
        <v>2563</v>
      </c>
      <c r="B586" s="9" t="s">
        <v>1676</v>
      </c>
      <c r="C586" s="9" t="s">
        <v>415</v>
      </c>
      <c r="D586" s="9" t="s">
        <v>414</v>
      </c>
      <c r="E586" s="9" t="s">
        <v>146</v>
      </c>
      <c r="F586" s="9" t="s">
        <v>152</v>
      </c>
      <c r="G586" s="9" t="s">
        <v>1510</v>
      </c>
      <c r="H586" s="9" t="n">
        <v>19</v>
      </c>
      <c r="I586" s="9" t="s">
        <v>117</v>
      </c>
    </row>
    <row r="587" customFormat="false" ht="15" hidden="false" customHeight="false" outlineLevel="0" collapsed="false">
      <c r="A587" s="9" t="s">
        <v>2564</v>
      </c>
      <c r="B587" s="9" t="s">
        <v>2565</v>
      </c>
      <c r="C587" s="9" t="s">
        <v>417</v>
      </c>
      <c r="D587" s="9" t="s">
        <v>416</v>
      </c>
      <c r="E587" s="9" t="s">
        <v>133</v>
      </c>
      <c r="F587" s="9" t="s">
        <v>134</v>
      </c>
      <c r="G587" s="9"/>
      <c r="H587" s="9" t="n">
        <v>1</v>
      </c>
      <c r="I587" s="9" t="s">
        <v>135</v>
      </c>
    </row>
    <row r="588" customFormat="false" ht="15" hidden="false" customHeight="false" outlineLevel="0" collapsed="false">
      <c r="A588" s="9" t="s">
        <v>2566</v>
      </c>
      <c r="B588" s="9" t="s">
        <v>2567</v>
      </c>
      <c r="C588" s="9" t="s">
        <v>417</v>
      </c>
      <c r="D588" s="9" t="s">
        <v>416</v>
      </c>
      <c r="E588" s="9" t="s">
        <v>133</v>
      </c>
      <c r="F588" s="9" t="s">
        <v>134</v>
      </c>
      <c r="G588" s="9"/>
      <c r="H588" s="9" t="n">
        <v>7</v>
      </c>
      <c r="I588" s="9" t="s">
        <v>135</v>
      </c>
    </row>
    <row r="589" customFormat="false" ht="15" hidden="false" customHeight="false" outlineLevel="0" collapsed="false">
      <c r="A589" s="9" t="s">
        <v>2568</v>
      </c>
      <c r="B589" s="9" t="s">
        <v>2569</v>
      </c>
      <c r="C589" s="9" t="s">
        <v>417</v>
      </c>
      <c r="D589" s="9" t="s">
        <v>416</v>
      </c>
      <c r="E589" s="9" t="s">
        <v>133</v>
      </c>
      <c r="F589" s="9" t="s">
        <v>134</v>
      </c>
      <c r="G589" s="9"/>
      <c r="H589" s="9" t="n">
        <v>9</v>
      </c>
      <c r="I589" s="9" t="s">
        <v>135</v>
      </c>
    </row>
    <row r="590" customFormat="false" ht="15" hidden="false" customHeight="false" outlineLevel="0" collapsed="false">
      <c r="A590" s="9" t="s">
        <v>1019</v>
      </c>
      <c r="B590" s="9" t="s">
        <v>2570</v>
      </c>
      <c r="C590" s="9" t="s">
        <v>420</v>
      </c>
      <c r="D590" s="9" t="s">
        <v>419</v>
      </c>
      <c r="E590" s="9" t="s">
        <v>146</v>
      </c>
      <c r="F590" s="9" t="s">
        <v>116</v>
      </c>
      <c r="G590" s="9"/>
      <c r="H590" s="9" t="n">
        <v>4</v>
      </c>
      <c r="I590" s="9" t="s">
        <v>117</v>
      </c>
    </row>
    <row r="591" customFormat="false" ht="15" hidden="false" customHeight="false" outlineLevel="0" collapsed="false">
      <c r="A591" s="9" t="s">
        <v>2571</v>
      </c>
      <c r="B591" s="9" t="s">
        <v>2572</v>
      </c>
      <c r="C591" s="9" t="s">
        <v>420</v>
      </c>
      <c r="D591" s="9" t="s">
        <v>419</v>
      </c>
      <c r="E591" s="9" t="s">
        <v>146</v>
      </c>
      <c r="F591" s="9" t="s">
        <v>116</v>
      </c>
      <c r="G591" s="9" t="s">
        <v>1510</v>
      </c>
      <c r="H591" s="9" t="n">
        <v>7</v>
      </c>
      <c r="I591" s="9" t="s">
        <v>117</v>
      </c>
    </row>
    <row r="592" customFormat="false" ht="15" hidden="false" customHeight="false" outlineLevel="0" collapsed="false">
      <c r="A592" s="9" t="s">
        <v>1620</v>
      </c>
      <c r="B592" s="9" t="s">
        <v>2573</v>
      </c>
      <c r="C592" s="9" t="s">
        <v>422</v>
      </c>
      <c r="D592" s="9" t="s">
        <v>421</v>
      </c>
      <c r="E592" s="9" t="s">
        <v>216</v>
      </c>
      <c r="F592" s="9" t="s">
        <v>125</v>
      </c>
      <c r="G592" s="9"/>
      <c r="H592" s="9" t="n">
        <v>3</v>
      </c>
      <c r="I592" s="9" t="s">
        <v>135</v>
      </c>
    </row>
    <row r="593" customFormat="false" ht="15" hidden="false" customHeight="false" outlineLevel="0" collapsed="false">
      <c r="A593" s="9" t="s">
        <v>2428</v>
      </c>
      <c r="B593" s="9" t="s">
        <v>2574</v>
      </c>
      <c r="C593" s="9" t="s">
        <v>422</v>
      </c>
      <c r="D593" s="9" t="s">
        <v>421</v>
      </c>
      <c r="E593" s="9" t="s">
        <v>216</v>
      </c>
      <c r="F593" s="9" t="s">
        <v>125</v>
      </c>
      <c r="G593" s="9"/>
      <c r="H593" s="9" t="n">
        <v>4</v>
      </c>
      <c r="I593" s="9" t="s">
        <v>135</v>
      </c>
    </row>
    <row r="594" customFormat="false" ht="15" hidden="false" customHeight="false" outlineLevel="0" collapsed="false">
      <c r="A594" s="9" t="s">
        <v>2575</v>
      </c>
      <c r="B594" s="9" t="s">
        <v>1649</v>
      </c>
      <c r="C594" s="9" t="s">
        <v>422</v>
      </c>
      <c r="D594" s="9" t="s">
        <v>421</v>
      </c>
      <c r="E594" s="9" t="s">
        <v>216</v>
      </c>
      <c r="F594" s="9" t="s">
        <v>125</v>
      </c>
      <c r="G594" s="9" t="s">
        <v>1543</v>
      </c>
      <c r="H594" s="9" t="n">
        <v>9</v>
      </c>
      <c r="I594" s="9" t="s">
        <v>135</v>
      </c>
    </row>
    <row r="595" customFormat="false" ht="15" hidden="false" customHeight="false" outlineLevel="0" collapsed="false">
      <c r="A595" s="9" t="s">
        <v>2576</v>
      </c>
      <c r="B595" s="9" t="s">
        <v>2577</v>
      </c>
      <c r="C595" s="9" t="s">
        <v>424</v>
      </c>
      <c r="D595" s="9" t="s">
        <v>423</v>
      </c>
      <c r="E595" s="9" t="s">
        <v>120</v>
      </c>
      <c r="F595" s="9" t="s">
        <v>152</v>
      </c>
      <c r="G595" s="9"/>
      <c r="H595" s="9" t="n">
        <v>5</v>
      </c>
      <c r="I595" s="9" t="s">
        <v>117</v>
      </c>
    </row>
    <row r="596" customFormat="false" ht="15" hidden="false" customHeight="false" outlineLevel="0" collapsed="false">
      <c r="A596" s="9" t="s">
        <v>2578</v>
      </c>
      <c r="B596" s="9" t="s">
        <v>2579</v>
      </c>
      <c r="C596" s="9" t="s">
        <v>424</v>
      </c>
      <c r="D596" s="9" t="s">
        <v>423</v>
      </c>
      <c r="E596" s="9" t="s">
        <v>120</v>
      </c>
      <c r="F596" s="9" t="s">
        <v>152</v>
      </c>
      <c r="G596" s="9"/>
      <c r="H596" s="9" t="n">
        <v>11</v>
      </c>
      <c r="I596" s="9" t="s">
        <v>117</v>
      </c>
    </row>
    <row r="597" customFormat="false" ht="15" hidden="false" customHeight="false" outlineLevel="0" collapsed="false">
      <c r="A597" s="9" t="s">
        <v>2580</v>
      </c>
      <c r="B597" s="9" t="s">
        <v>2540</v>
      </c>
      <c r="C597" s="9" t="s">
        <v>424</v>
      </c>
      <c r="D597" s="9" t="s">
        <v>423</v>
      </c>
      <c r="E597" s="9" t="s">
        <v>120</v>
      </c>
      <c r="F597" s="9" t="s">
        <v>152</v>
      </c>
      <c r="G597" s="9"/>
      <c r="H597" s="9" t="n">
        <v>12</v>
      </c>
      <c r="I597" s="9" t="s">
        <v>117</v>
      </c>
    </row>
    <row r="598" customFormat="false" ht="15" hidden="false" customHeight="false" outlineLevel="0" collapsed="false">
      <c r="A598" s="9" t="s">
        <v>2581</v>
      </c>
      <c r="B598" s="9" t="s">
        <v>2582</v>
      </c>
      <c r="C598" s="9" t="s">
        <v>424</v>
      </c>
      <c r="D598" s="9" t="s">
        <v>423</v>
      </c>
      <c r="E598" s="9" t="s">
        <v>120</v>
      </c>
      <c r="F598" s="9" t="s">
        <v>152</v>
      </c>
      <c r="G598" s="9" t="s">
        <v>1510</v>
      </c>
      <c r="H598" s="9" t="n">
        <v>15</v>
      </c>
      <c r="I598" s="9" t="s">
        <v>117</v>
      </c>
    </row>
    <row r="599" customFormat="false" ht="15" hidden="false" customHeight="false" outlineLevel="0" collapsed="false">
      <c r="A599" s="9" t="s">
        <v>2583</v>
      </c>
      <c r="B599" s="9" t="s">
        <v>2584</v>
      </c>
      <c r="C599" s="9" t="s">
        <v>424</v>
      </c>
      <c r="D599" s="9" t="s">
        <v>423</v>
      </c>
      <c r="E599" s="9" t="s">
        <v>120</v>
      </c>
      <c r="F599" s="9" t="s">
        <v>152</v>
      </c>
      <c r="G599" s="9"/>
      <c r="H599" s="9" t="n">
        <v>16</v>
      </c>
      <c r="I599" s="9" t="s">
        <v>117</v>
      </c>
    </row>
    <row r="600" customFormat="false" ht="15" hidden="false" customHeight="false" outlineLevel="0" collapsed="false">
      <c r="A600" s="9" t="s">
        <v>2585</v>
      </c>
      <c r="B600" s="9" t="s">
        <v>2586</v>
      </c>
      <c r="C600" s="9" t="s">
        <v>424</v>
      </c>
      <c r="D600" s="9" t="s">
        <v>423</v>
      </c>
      <c r="E600" s="9" t="s">
        <v>120</v>
      </c>
      <c r="F600" s="9" t="s">
        <v>152</v>
      </c>
      <c r="G600" s="9"/>
      <c r="H600" s="9" t="n">
        <v>19</v>
      </c>
      <c r="I600" s="9" t="s">
        <v>117</v>
      </c>
    </row>
    <row r="601" customFormat="false" ht="15" hidden="false" customHeight="false" outlineLevel="0" collapsed="false">
      <c r="A601" s="9" t="s">
        <v>2587</v>
      </c>
      <c r="B601" s="9" t="s">
        <v>2588</v>
      </c>
      <c r="C601" s="9" t="s">
        <v>424</v>
      </c>
      <c r="D601" s="9" t="s">
        <v>423</v>
      </c>
      <c r="E601" s="9" t="s">
        <v>120</v>
      </c>
      <c r="F601" s="9" t="s">
        <v>152</v>
      </c>
      <c r="G601" s="9"/>
      <c r="H601" s="9" t="n">
        <v>21</v>
      </c>
      <c r="I601" s="9" t="s">
        <v>117</v>
      </c>
    </row>
    <row r="602" customFormat="false" ht="15" hidden="false" customHeight="false" outlineLevel="0" collapsed="false">
      <c r="A602" s="9" t="s">
        <v>2006</v>
      </c>
      <c r="B602" s="9" t="s">
        <v>2589</v>
      </c>
      <c r="C602" s="9" t="s">
        <v>424</v>
      </c>
      <c r="D602" s="9" t="s">
        <v>423</v>
      </c>
      <c r="E602" s="9" t="s">
        <v>120</v>
      </c>
      <c r="F602" s="9" t="s">
        <v>152</v>
      </c>
      <c r="G602" s="9" t="s">
        <v>1510</v>
      </c>
      <c r="H602" s="9" t="n">
        <v>29</v>
      </c>
      <c r="I602" s="9" t="s">
        <v>117</v>
      </c>
    </row>
    <row r="603" customFormat="false" ht="15" hidden="false" customHeight="false" outlineLevel="0" collapsed="false">
      <c r="A603" s="9" t="s">
        <v>2590</v>
      </c>
      <c r="B603" s="9" t="s">
        <v>2591</v>
      </c>
      <c r="C603" s="9" t="s">
        <v>424</v>
      </c>
      <c r="D603" s="9" t="s">
        <v>423</v>
      </c>
      <c r="E603" s="9" t="s">
        <v>120</v>
      </c>
      <c r="F603" s="9" t="s">
        <v>152</v>
      </c>
      <c r="G603" s="9" t="s">
        <v>1510</v>
      </c>
      <c r="H603" s="9" t="n">
        <v>36</v>
      </c>
      <c r="I603" s="9" t="s">
        <v>117</v>
      </c>
    </row>
    <row r="604" customFormat="false" ht="15" hidden="false" customHeight="false" outlineLevel="0" collapsed="false">
      <c r="A604" s="9" t="s">
        <v>2592</v>
      </c>
      <c r="B604" s="9" t="s">
        <v>2593</v>
      </c>
      <c r="C604" s="9" t="s">
        <v>424</v>
      </c>
      <c r="D604" s="9" t="s">
        <v>423</v>
      </c>
      <c r="E604" s="9" t="s">
        <v>120</v>
      </c>
      <c r="F604" s="9" t="s">
        <v>152</v>
      </c>
      <c r="G604" s="9" t="s">
        <v>1510</v>
      </c>
      <c r="H604" s="9" t="n">
        <v>37</v>
      </c>
      <c r="I604" s="9" t="s">
        <v>117</v>
      </c>
    </row>
    <row r="605" customFormat="false" ht="15" hidden="false" customHeight="false" outlineLevel="0" collapsed="false">
      <c r="A605" s="9" t="s">
        <v>2594</v>
      </c>
      <c r="B605" s="9" t="s">
        <v>2595</v>
      </c>
      <c r="C605" s="9" t="s">
        <v>424</v>
      </c>
      <c r="D605" s="9" t="s">
        <v>423</v>
      </c>
      <c r="E605" s="9" t="s">
        <v>120</v>
      </c>
      <c r="F605" s="9" t="s">
        <v>152</v>
      </c>
      <c r="G605" s="9" t="s">
        <v>1510</v>
      </c>
      <c r="H605" s="9" t="n">
        <v>40</v>
      </c>
      <c r="I605" s="9" t="s">
        <v>117</v>
      </c>
    </row>
    <row r="606" customFormat="false" ht="15" hidden="false" customHeight="false" outlineLevel="0" collapsed="false">
      <c r="A606" s="9" t="s">
        <v>2596</v>
      </c>
      <c r="B606" s="9" t="s">
        <v>2597</v>
      </c>
      <c r="C606" s="9" t="s">
        <v>426</v>
      </c>
      <c r="D606" s="9" t="s">
        <v>425</v>
      </c>
      <c r="E606" s="9" t="s">
        <v>100</v>
      </c>
      <c r="F606" s="9" t="s">
        <v>102</v>
      </c>
      <c r="G606" s="9"/>
      <c r="H606" s="9" t="n">
        <v>1</v>
      </c>
      <c r="I606" s="9" t="s">
        <v>143</v>
      </c>
    </row>
    <row r="607" customFormat="false" ht="15" hidden="false" customHeight="false" outlineLevel="0" collapsed="false">
      <c r="A607" s="9" t="s">
        <v>1625</v>
      </c>
      <c r="B607" s="9" t="s">
        <v>1609</v>
      </c>
      <c r="C607" s="9" t="s">
        <v>426</v>
      </c>
      <c r="D607" s="9" t="s">
        <v>425</v>
      </c>
      <c r="E607" s="9" t="s">
        <v>100</v>
      </c>
      <c r="F607" s="9" t="s">
        <v>102</v>
      </c>
      <c r="G607" s="9"/>
      <c r="H607" s="9" t="n">
        <v>2</v>
      </c>
      <c r="I607" s="9" t="s">
        <v>143</v>
      </c>
    </row>
    <row r="608" customFormat="false" ht="15" hidden="false" customHeight="false" outlineLevel="0" collapsed="false">
      <c r="A608" s="9" t="s">
        <v>2598</v>
      </c>
      <c r="B608" s="9" t="s">
        <v>2599</v>
      </c>
      <c r="C608" s="9" t="s">
        <v>428</v>
      </c>
      <c r="D608" s="9" t="s">
        <v>427</v>
      </c>
      <c r="E608" s="9" t="s">
        <v>428</v>
      </c>
      <c r="F608" s="9" t="s">
        <v>125</v>
      </c>
      <c r="G608" s="9" t="s">
        <v>1543</v>
      </c>
      <c r="H608" s="9" t="n">
        <v>1</v>
      </c>
      <c r="I608" s="9" t="s">
        <v>117</v>
      </c>
    </row>
    <row r="609" customFormat="false" ht="15" hidden="false" customHeight="false" outlineLevel="0" collapsed="false">
      <c r="A609" s="9" t="s">
        <v>2600</v>
      </c>
      <c r="B609" s="9" t="s">
        <v>2601</v>
      </c>
      <c r="C609" s="9" t="s">
        <v>428</v>
      </c>
      <c r="D609" s="9" t="s">
        <v>427</v>
      </c>
      <c r="E609" s="9" t="s">
        <v>428</v>
      </c>
      <c r="F609" s="9" t="s">
        <v>125</v>
      </c>
      <c r="G609" s="9"/>
      <c r="H609" s="9" t="n">
        <v>7</v>
      </c>
      <c r="I609" s="9" t="s">
        <v>117</v>
      </c>
    </row>
    <row r="610" customFormat="false" ht="15" hidden="false" customHeight="false" outlineLevel="0" collapsed="false">
      <c r="A610" s="9" t="s">
        <v>2602</v>
      </c>
      <c r="B610" s="9" t="s">
        <v>2603</v>
      </c>
      <c r="C610" s="9" t="s">
        <v>428</v>
      </c>
      <c r="D610" s="9" t="s">
        <v>427</v>
      </c>
      <c r="E610" s="9" t="s">
        <v>428</v>
      </c>
      <c r="F610" s="9" t="s">
        <v>125</v>
      </c>
      <c r="G610" s="9"/>
      <c r="H610" s="9" t="n">
        <v>11</v>
      </c>
      <c r="I610" s="9" t="s">
        <v>117</v>
      </c>
    </row>
    <row r="611" customFormat="false" ht="15" hidden="false" customHeight="false" outlineLevel="0" collapsed="false">
      <c r="A611" s="9" t="s">
        <v>2604</v>
      </c>
      <c r="B611" s="9" t="s">
        <v>2605</v>
      </c>
      <c r="C611" s="9" t="s">
        <v>428</v>
      </c>
      <c r="D611" s="9" t="s">
        <v>427</v>
      </c>
      <c r="E611" s="9" t="s">
        <v>428</v>
      </c>
      <c r="F611" s="9" t="s">
        <v>125</v>
      </c>
      <c r="G611" s="9"/>
      <c r="H611" s="9" t="n">
        <v>12</v>
      </c>
      <c r="I611" s="9" t="s">
        <v>117</v>
      </c>
    </row>
    <row r="612" customFormat="false" ht="15" hidden="false" customHeight="false" outlineLevel="0" collapsed="false">
      <c r="A612" s="9" t="s">
        <v>2606</v>
      </c>
      <c r="B612" s="9" t="s">
        <v>2607</v>
      </c>
      <c r="C612" s="9" t="s">
        <v>428</v>
      </c>
      <c r="D612" s="9" t="s">
        <v>427</v>
      </c>
      <c r="E612" s="9" t="s">
        <v>428</v>
      </c>
      <c r="F612" s="9" t="s">
        <v>125</v>
      </c>
      <c r="G612" s="9"/>
      <c r="H612" s="9" t="n">
        <v>17</v>
      </c>
      <c r="I612" s="9" t="s">
        <v>117</v>
      </c>
    </row>
    <row r="613" customFormat="false" ht="15" hidden="false" customHeight="false" outlineLevel="0" collapsed="false">
      <c r="A613" s="9" t="s">
        <v>2608</v>
      </c>
      <c r="B613" s="9" t="s">
        <v>2609</v>
      </c>
      <c r="C613" s="9" t="s">
        <v>428</v>
      </c>
      <c r="D613" s="9" t="s">
        <v>427</v>
      </c>
      <c r="E613" s="9" t="s">
        <v>428</v>
      </c>
      <c r="F613" s="9" t="s">
        <v>125</v>
      </c>
      <c r="G613" s="9" t="s">
        <v>1510</v>
      </c>
      <c r="H613" s="9" t="n">
        <v>23</v>
      </c>
      <c r="I613" s="9" t="s">
        <v>117</v>
      </c>
    </row>
    <row r="614" customFormat="false" ht="15" hidden="false" customHeight="false" outlineLevel="0" collapsed="false">
      <c r="A614" s="9" t="s">
        <v>2610</v>
      </c>
      <c r="B614" s="9" t="s">
        <v>2611</v>
      </c>
      <c r="C614" s="9" t="s">
        <v>428</v>
      </c>
      <c r="D614" s="9" t="s">
        <v>427</v>
      </c>
      <c r="E614" s="9" t="s">
        <v>428</v>
      </c>
      <c r="F614" s="9" t="s">
        <v>125</v>
      </c>
      <c r="G614" s="9" t="s">
        <v>1510</v>
      </c>
      <c r="H614" s="9" t="n">
        <v>24</v>
      </c>
      <c r="I614" s="9" t="s">
        <v>117</v>
      </c>
    </row>
    <row r="615" customFormat="false" ht="15" hidden="false" customHeight="false" outlineLevel="0" collapsed="false">
      <c r="A615" s="9" t="s">
        <v>2612</v>
      </c>
      <c r="B615" s="9" t="s">
        <v>2613</v>
      </c>
      <c r="C615" s="9" t="s">
        <v>428</v>
      </c>
      <c r="D615" s="9" t="s">
        <v>427</v>
      </c>
      <c r="E615" s="9" t="s">
        <v>428</v>
      </c>
      <c r="F615" s="9" t="s">
        <v>125</v>
      </c>
      <c r="G615" s="9" t="s">
        <v>1510</v>
      </c>
      <c r="H615" s="9" t="n">
        <v>26</v>
      </c>
      <c r="I615" s="9" t="s">
        <v>117</v>
      </c>
    </row>
    <row r="616" customFormat="false" ht="15" hidden="false" customHeight="false" outlineLevel="0" collapsed="false">
      <c r="A616" s="9" t="s">
        <v>2614</v>
      </c>
      <c r="B616" s="9" t="s">
        <v>2615</v>
      </c>
      <c r="C616" s="9" t="s">
        <v>428</v>
      </c>
      <c r="D616" s="9" t="s">
        <v>427</v>
      </c>
      <c r="E616" s="9" t="s">
        <v>428</v>
      </c>
      <c r="F616" s="9" t="s">
        <v>125</v>
      </c>
      <c r="G616" s="9" t="s">
        <v>1510</v>
      </c>
      <c r="H616" s="9" t="n">
        <v>28</v>
      </c>
      <c r="I616" s="9" t="s">
        <v>117</v>
      </c>
    </row>
    <row r="617" customFormat="false" ht="15" hidden="false" customHeight="false" outlineLevel="0" collapsed="false">
      <c r="A617" s="9" t="s">
        <v>2616</v>
      </c>
      <c r="B617" s="9" t="s">
        <v>2617</v>
      </c>
      <c r="C617" s="9" t="s">
        <v>430</v>
      </c>
      <c r="D617" s="9" t="s">
        <v>429</v>
      </c>
      <c r="E617" s="9" t="s">
        <v>106</v>
      </c>
      <c r="F617" s="9" t="s">
        <v>102</v>
      </c>
      <c r="G617" s="9" t="s">
        <v>1510</v>
      </c>
      <c r="H617" s="9" t="n">
        <v>3</v>
      </c>
      <c r="I617" s="9" t="s">
        <v>143</v>
      </c>
    </row>
    <row r="618" customFormat="false" ht="15" hidden="false" customHeight="false" outlineLevel="0" collapsed="false">
      <c r="A618" s="9" t="s">
        <v>2618</v>
      </c>
      <c r="B618" s="9" t="s">
        <v>2619</v>
      </c>
      <c r="C618" s="9" t="s">
        <v>434</v>
      </c>
      <c r="D618" s="9" t="s">
        <v>433</v>
      </c>
      <c r="E618" s="9" t="s">
        <v>115</v>
      </c>
      <c r="F618" s="9" t="s">
        <v>116</v>
      </c>
      <c r="G618" s="9"/>
      <c r="H618" s="9" t="n">
        <v>3</v>
      </c>
      <c r="I618" s="9" t="s">
        <v>117</v>
      </c>
    </row>
    <row r="619" customFormat="false" ht="15" hidden="false" customHeight="false" outlineLevel="0" collapsed="false">
      <c r="A619" s="9" t="s">
        <v>2184</v>
      </c>
      <c r="B619" s="9" t="s">
        <v>2620</v>
      </c>
      <c r="C619" s="9" t="s">
        <v>434</v>
      </c>
      <c r="D619" s="9" t="s">
        <v>433</v>
      </c>
      <c r="E619" s="9" t="s">
        <v>115</v>
      </c>
      <c r="F619" s="9" t="s">
        <v>116</v>
      </c>
      <c r="G619" s="9" t="s">
        <v>1510</v>
      </c>
      <c r="H619" s="9" t="n">
        <v>9</v>
      </c>
      <c r="I619" s="9" t="s">
        <v>117</v>
      </c>
    </row>
    <row r="620" customFormat="false" ht="15" hidden="false" customHeight="false" outlineLevel="0" collapsed="false">
      <c r="A620" s="9" t="s">
        <v>1671</v>
      </c>
      <c r="B620" s="9" t="s">
        <v>2621</v>
      </c>
      <c r="C620" s="9" t="s">
        <v>434</v>
      </c>
      <c r="D620" s="9" t="s">
        <v>433</v>
      </c>
      <c r="E620" s="9" t="s">
        <v>115</v>
      </c>
      <c r="F620" s="9" t="s">
        <v>116</v>
      </c>
      <c r="G620" s="9" t="s">
        <v>1510</v>
      </c>
      <c r="H620" s="9" t="n">
        <v>14</v>
      </c>
      <c r="I620" s="9" t="s">
        <v>117</v>
      </c>
    </row>
    <row r="621" customFormat="false" ht="15" hidden="false" customHeight="false" outlineLevel="0" collapsed="false">
      <c r="A621" s="9" t="s">
        <v>1677</v>
      </c>
      <c r="B621" s="9" t="s">
        <v>2622</v>
      </c>
      <c r="C621" s="9" t="s">
        <v>436</v>
      </c>
      <c r="D621" s="9" t="s">
        <v>435</v>
      </c>
      <c r="E621" s="9" t="s">
        <v>216</v>
      </c>
      <c r="F621" s="9" t="s">
        <v>125</v>
      </c>
      <c r="G621" s="9"/>
      <c r="H621" s="9" t="n">
        <v>1</v>
      </c>
      <c r="I621" s="9" t="s">
        <v>135</v>
      </c>
    </row>
    <row r="622" customFormat="false" ht="15" hidden="false" customHeight="false" outlineLevel="0" collapsed="false">
      <c r="A622" s="9" t="s">
        <v>2623</v>
      </c>
      <c r="B622" s="9" t="s">
        <v>2624</v>
      </c>
      <c r="C622" s="9" t="s">
        <v>436</v>
      </c>
      <c r="D622" s="9" t="s">
        <v>435</v>
      </c>
      <c r="E622" s="9" t="s">
        <v>216</v>
      </c>
      <c r="F622" s="9" t="s">
        <v>125</v>
      </c>
      <c r="G622" s="9"/>
      <c r="H622" s="9" t="n">
        <v>2</v>
      </c>
      <c r="I622" s="9" t="s">
        <v>135</v>
      </c>
    </row>
    <row r="623" customFormat="false" ht="15" hidden="false" customHeight="false" outlineLevel="0" collapsed="false">
      <c r="A623" s="9" t="s">
        <v>2625</v>
      </c>
      <c r="B623" s="9" t="s">
        <v>1763</v>
      </c>
      <c r="C623" s="9" t="s">
        <v>151</v>
      </c>
      <c r="D623" s="9" t="s">
        <v>437</v>
      </c>
      <c r="E623" s="9" t="s">
        <v>151</v>
      </c>
      <c r="F623" s="9" t="s">
        <v>152</v>
      </c>
      <c r="G623" s="9"/>
      <c r="H623" s="9" t="n">
        <v>3</v>
      </c>
      <c r="I623" s="9" t="s">
        <v>117</v>
      </c>
    </row>
    <row r="624" customFormat="false" ht="15" hidden="false" customHeight="false" outlineLevel="0" collapsed="false">
      <c r="A624" s="9" t="s">
        <v>2626</v>
      </c>
      <c r="B624" s="9" t="s">
        <v>2627</v>
      </c>
      <c r="C624" s="9" t="s">
        <v>151</v>
      </c>
      <c r="D624" s="9" t="s">
        <v>437</v>
      </c>
      <c r="E624" s="9" t="s">
        <v>151</v>
      </c>
      <c r="F624" s="9" t="s">
        <v>152</v>
      </c>
      <c r="G624" s="9"/>
      <c r="H624" s="9" t="n">
        <v>4</v>
      </c>
      <c r="I624" s="9" t="s">
        <v>117</v>
      </c>
    </row>
    <row r="625" customFormat="false" ht="15" hidden="false" customHeight="false" outlineLevel="0" collapsed="false">
      <c r="A625" s="9" t="s">
        <v>2628</v>
      </c>
      <c r="B625" s="9" t="s">
        <v>2629</v>
      </c>
      <c r="C625" s="9" t="s">
        <v>151</v>
      </c>
      <c r="D625" s="9" t="s">
        <v>437</v>
      </c>
      <c r="E625" s="9" t="s">
        <v>151</v>
      </c>
      <c r="F625" s="9" t="s">
        <v>152</v>
      </c>
      <c r="G625" s="9"/>
      <c r="H625" s="9" t="n">
        <v>5</v>
      </c>
      <c r="I625" s="9" t="s">
        <v>117</v>
      </c>
    </row>
    <row r="626" customFormat="false" ht="15" hidden="false" customHeight="false" outlineLevel="0" collapsed="false">
      <c r="A626" s="9" t="s">
        <v>2630</v>
      </c>
      <c r="B626" s="9" t="s">
        <v>2631</v>
      </c>
      <c r="C626" s="9" t="s">
        <v>151</v>
      </c>
      <c r="D626" s="9" t="s">
        <v>437</v>
      </c>
      <c r="E626" s="9" t="s">
        <v>151</v>
      </c>
      <c r="F626" s="9" t="s">
        <v>152</v>
      </c>
      <c r="G626" s="9"/>
      <c r="H626" s="9" t="n">
        <v>7</v>
      </c>
      <c r="I626" s="9" t="s">
        <v>117</v>
      </c>
    </row>
    <row r="627" customFormat="false" ht="15" hidden="false" customHeight="false" outlineLevel="0" collapsed="false">
      <c r="A627" s="9" t="s">
        <v>2632</v>
      </c>
      <c r="B627" s="9" t="s">
        <v>2633</v>
      </c>
      <c r="C627" s="9" t="s">
        <v>151</v>
      </c>
      <c r="D627" s="9" t="s">
        <v>437</v>
      </c>
      <c r="E627" s="9" t="s">
        <v>151</v>
      </c>
      <c r="F627" s="9" t="s">
        <v>152</v>
      </c>
      <c r="G627" s="9"/>
      <c r="H627" s="9" t="n">
        <v>11</v>
      </c>
      <c r="I627" s="9" t="s">
        <v>117</v>
      </c>
    </row>
    <row r="628" customFormat="false" ht="15" hidden="false" customHeight="false" outlineLevel="0" collapsed="false">
      <c r="A628" s="9" t="s">
        <v>2634</v>
      </c>
      <c r="B628" s="9" t="s">
        <v>2635</v>
      </c>
      <c r="C628" s="9" t="s">
        <v>151</v>
      </c>
      <c r="D628" s="9" t="s">
        <v>437</v>
      </c>
      <c r="E628" s="9" t="s">
        <v>151</v>
      </c>
      <c r="F628" s="9" t="s">
        <v>152</v>
      </c>
      <c r="G628" s="9"/>
      <c r="H628" s="9" t="n">
        <v>12</v>
      </c>
      <c r="I628" s="9" t="s">
        <v>117</v>
      </c>
    </row>
    <row r="629" customFormat="false" ht="15" hidden="false" customHeight="false" outlineLevel="0" collapsed="false">
      <c r="A629" s="9" t="s">
        <v>2636</v>
      </c>
      <c r="B629" s="9" t="s">
        <v>2637</v>
      </c>
      <c r="C629" s="9" t="s">
        <v>151</v>
      </c>
      <c r="D629" s="9" t="s">
        <v>437</v>
      </c>
      <c r="E629" s="9" t="s">
        <v>151</v>
      </c>
      <c r="F629" s="9" t="s">
        <v>152</v>
      </c>
      <c r="G629" s="9"/>
      <c r="H629" s="9" t="n">
        <v>15</v>
      </c>
      <c r="I629" s="9" t="s">
        <v>117</v>
      </c>
    </row>
    <row r="630" customFormat="false" ht="15" hidden="false" customHeight="false" outlineLevel="0" collapsed="false">
      <c r="A630" s="9" t="s">
        <v>2638</v>
      </c>
      <c r="B630" s="9" t="s">
        <v>2639</v>
      </c>
      <c r="C630" s="9" t="s">
        <v>151</v>
      </c>
      <c r="D630" s="9" t="s">
        <v>437</v>
      </c>
      <c r="E630" s="9" t="s">
        <v>151</v>
      </c>
      <c r="F630" s="9" t="s">
        <v>152</v>
      </c>
      <c r="G630" s="9" t="s">
        <v>1543</v>
      </c>
      <c r="H630" s="9" t="n">
        <v>16</v>
      </c>
      <c r="I630" s="9" t="s">
        <v>117</v>
      </c>
    </row>
    <row r="631" customFormat="false" ht="15" hidden="false" customHeight="false" outlineLevel="0" collapsed="false">
      <c r="A631" s="9" t="s">
        <v>2640</v>
      </c>
      <c r="B631" s="9" t="s">
        <v>2641</v>
      </c>
      <c r="C631" s="9" t="s">
        <v>151</v>
      </c>
      <c r="D631" s="9" t="s">
        <v>437</v>
      </c>
      <c r="E631" s="9" t="s">
        <v>151</v>
      </c>
      <c r="F631" s="9" t="s">
        <v>152</v>
      </c>
      <c r="G631" s="9"/>
      <c r="H631" s="9" t="n">
        <v>17</v>
      </c>
      <c r="I631" s="9" t="s">
        <v>117</v>
      </c>
    </row>
    <row r="632" customFormat="false" ht="15" hidden="false" customHeight="false" outlineLevel="0" collapsed="false">
      <c r="A632" s="9" t="s">
        <v>2642</v>
      </c>
      <c r="B632" s="9" t="s">
        <v>2643</v>
      </c>
      <c r="C632" s="9" t="s">
        <v>151</v>
      </c>
      <c r="D632" s="9" t="s">
        <v>437</v>
      </c>
      <c r="E632" s="9" t="s">
        <v>151</v>
      </c>
      <c r="F632" s="9" t="s">
        <v>152</v>
      </c>
      <c r="G632" s="9"/>
      <c r="H632" s="9" t="n">
        <v>18</v>
      </c>
      <c r="I632" s="9" t="s">
        <v>117</v>
      </c>
    </row>
    <row r="633" customFormat="false" ht="15" hidden="false" customHeight="false" outlineLevel="0" collapsed="false">
      <c r="A633" s="9" t="s">
        <v>2644</v>
      </c>
      <c r="B633" s="9" t="s">
        <v>2645</v>
      </c>
      <c r="C633" s="9" t="s">
        <v>151</v>
      </c>
      <c r="D633" s="9" t="s">
        <v>437</v>
      </c>
      <c r="E633" s="9" t="s">
        <v>151</v>
      </c>
      <c r="F633" s="9" t="s">
        <v>152</v>
      </c>
      <c r="G633" s="9"/>
      <c r="H633" s="9" t="n">
        <v>20</v>
      </c>
      <c r="I633" s="9" t="s">
        <v>117</v>
      </c>
    </row>
    <row r="634" customFormat="false" ht="15" hidden="false" customHeight="false" outlineLevel="0" collapsed="false">
      <c r="A634" s="9" t="s">
        <v>2646</v>
      </c>
      <c r="B634" s="9" t="s">
        <v>2647</v>
      </c>
      <c r="C634" s="9" t="s">
        <v>315</v>
      </c>
      <c r="D634" s="9" t="s">
        <v>314</v>
      </c>
      <c r="E634" s="9" t="s">
        <v>182</v>
      </c>
      <c r="F634" s="9" t="s">
        <v>125</v>
      </c>
      <c r="G634" s="9"/>
      <c r="H634" s="9" t="n">
        <v>2</v>
      </c>
      <c r="I634" s="9" t="s">
        <v>135</v>
      </c>
    </row>
    <row r="635" customFormat="false" ht="15" hidden="false" customHeight="false" outlineLevel="0" collapsed="false">
      <c r="A635" s="9" t="s">
        <v>2648</v>
      </c>
      <c r="B635" s="9" t="s">
        <v>2649</v>
      </c>
      <c r="C635" s="9" t="s">
        <v>315</v>
      </c>
      <c r="D635" s="9" t="s">
        <v>314</v>
      </c>
      <c r="E635" s="9" t="s">
        <v>182</v>
      </c>
      <c r="F635" s="9" t="s">
        <v>125</v>
      </c>
      <c r="G635" s="9"/>
      <c r="H635" s="9" t="n">
        <v>4</v>
      </c>
      <c r="I635" s="9" t="s">
        <v>135</v>
      </c>
    </row>
    <row r="636" customFormat="false" ht="15" hidden="false" customHeight="false" outlineLevel="0" collapsed="false">
      <c r="A636" s="9" t="s">
        <v>1576</v>
      </c>
      <c r="B636" s="9" t="s">
        <v>2650</v>
      </c>
      <c r="C636" s="9" t="s">
        <v>443</v>
      </c>
      <c r="D636" s="9" t="s">
        <v>442</v>
      </c>
      <c r="E636" s="9" t="s">
        <v>100</v>
      </c>
      <c r="F636" s="9" t="s">
        <v>102</v>
      </c>
      <c r="G636" s="9"/>
      <c r="H636" s="9" t="n">
        <v>3</v>
      </c>
      <c r="I636" s="9" t="s">
        <v>143</v>
      </c>
    </row>
    <row r="637" customFormat="false" ht="15" hidden="false" customHeight="false" outlineLevel="0" collapsed="false">
      <c r="A637" s="9" t="s">
        <v>2651</v>
      </c>
      <c r="B637" s="9" t="s">
        <v>1854</v>
      </c>
      <c r="C637" s="9" t="s">
        <v>443</v>
      </c>
      <c r="D637" s="9" t="s">
        <v>442</v>
      </c>
      <c r="E637" s="9" t="s">
        <v>100</v>
      </c>
      <c r="F637" s="9" t="s">
        <v>102</v>
      </c>
      <c r="G637" s="9"/>
      <c r="H637" s="9" t="n">
        <v>6</v>
      </c>
      <c r="I637" s="9" t="s">
        <v>143</v>
      </c>
    </row>
    <row r="638" customFormat="false" ht="15" hidden="false" customHeight="false" outlineLevel="0" collapsed="false">
      <c r="A638" s="9" t="s">
        <v>2652</v>
      </c>
      <c r="B638" s="9" t="s">
        <v>1775</v>
      </c>
      <c r="C638" s="9" t="s">
        <v>445</v>
      </c>
      <c r="D638" s="9" t="s">
        <v>444</v>
      </c>
      <c r="E638" s="9" t="s">
        <v>100</v>
      </c>
      <c r="F638" s="9" t="s">
        <v>128</v>
      </c>
      <c r="G638" s="9"/>
      <c r="H638" s="9" t="n">
        <v>1</v>
      </c>
      <c r="I638" s="9" t="s">
        <v>103</v>
      </c>
    </row>
    <row r="639" customFormat="false" ht="15" hidden="false" customHeight="false" outlineLevel="0" collapsed="false">
      <c r="A639" s="9" t="s">
        <v>2653</v>
      </c>
      <c r="B639" s="9" t="s">
        <v>2654</v>
      </c>
      <c r="C639" s="9" t="s">
        <v>445</v>
      </c>
      <c r="D639" s="9" t="s">
        <v>444</v>
      </c>
      <c r="E639" s="9" t="s">
        <v>100</v>
      </c>
      <c r="F639" s="9" t="s">
        <v>128</v>
      </c>
      <c r="G639" s="9"/>
      <c r="H639" s="9" t="n">
        <v>2</v>
      </c>
      <c r="I639" s="9" t="s">
        <v>103</v>
      </c>
    </row>
    <row r="640" customFormat="false" ht="15" hidden="false" customHeight="false" outlineLevel="0" collapsed="false">
      <c r="A640" s="9" t="s">
        <v>1766</v>
      </c>
      <c r="B640" s="9" t="s">
        <v>2655</v>
      </c>
      <c r="C640" s="9" t="s">
        <v>447</v>
      </c>
      <c r="D640" s="9" t="s">
        <v>446</v>
      </c>
      <c r="E640" s="9" t="s">
        <v>140</v>
      </c>
      <c r="F640" s="9" t="s">
        <v>128</v>
      </c>
      <c r="G640" s="9"/>
      <c r="H640" s="9" t="n">
        <v>3</v>
      </c>
      <c r="I640" s="9" t="s">
        <v>135</v>
      </c>
    </row>
    <row r="641" customFormat="false" ht="15" hidden="false" customHeight="false" outlineLevel="0" collapsed="false">
      <c r="A641" s="9" t="s">
        <v>2656</v>
      </c>
      <c r="B641" s="9" t="s">
        <v>2657</v>
      </c>
      <c r="C641" s="9" t="s">
        <v>447</v>
      </c>
      <c r="D641" s="9" t="s">
        <v>446</v>
      </c>
      <c r="E641" s="9" t="s">
        <v>140</v>
      </c>
      <c r="F641" s="9" t="s">
        <v>128</v>
      </c>
      <c r="G641" s="9"/>
      <c r="H641" s="9" t="n">
        <v>4</v>
      </c>
      <c r="I641" s="9" t="s">
        <v>135</v>
      </c>
    </row>
    <row r="642" customFormat="false" ht="15" hidden="false" customHeight="false" outlineLevel="0" collapsed="false">
      <c r="A642" s="9" t="s">
        <v>2658</v>
      </c>
      <c r="B642" s="9" t="s">
        <v>2659</v>
      </c>
      <c r="C642" s="9" t="s">
        <v>106</v>
      </c>
      <c r="D642" s="9" t="s">
        <v>450</v>
      </c>
      <c r="E642" s="9" t="s">
        <v>106</v>
      </c>
      <c r="F642" s="9" t="s">
        <v>173</v>
      </c>
      <c r="G642" s="9"/>
      <c r="H642" s="9" t="n">
        <v>6</v>
      </c>
      <c r="I642" s="9" t="s">
        <v>117</v>
      </c>
    </row>
    <row r="643" customFormat="false" ht="15" hidden="false" customHeight="false" outlineLevel="0" collapsed="false">
      <c r="A643" s="9" t="s">
        <v>2660</v>
      </c>
      <c r="B643" s="9" t="s">
        <v>2661</v>
      </c>
      <c r="C643" s="9" t="s">
        <v>106</v>
      </c>
      <c r="D643" s="9" t="s">
        <v>450</v>
      </c>
      <c r="E643" s="9" t="s">
        <v>106</v>
      </c>
      <c r="F643" s="9" t="s">
        <v>173</v>
      </c>
      <c r="G643" s="9"/>
      <c r="H643" s="9" t="n">
        <v>8</v>
      </c>
      <c r="I643" s="9" t="s">
        <v>117</v>
      </c>
    </row>
    <row r="644" customFormat="false" ht="15" hidden="false" customHeight="false" outlineLevel="0" collapsed="false">
      <c r="A644" s="9" t="s">
        <v>2662</v>
      </c>
      <c r="B644" s="9" t="s">
        <v>2663</v>
      </c>
      <c r="C644" s="9" t="s">
        <v>106</v>
      </c>
      <c r="D644" s="9" t="s">
        <v>450</v>
      </c>
      <c r="E644" s="9" t="s">
        <v>106</v>
      </c>
      <c r="F644" s="9" t="s">
        <v>173</v>
      </c>
      <c r="G644" s="9" t="s">
        <v>1510</v>
      </c>
      <c r="H644" s="9" t="n">
        <v>10</v>
      </c>
      <c r="I644" s="9" t="s">
        <v>117</v>
      </c>
    </row>
    <row r="645" customFormat="false" ht="15" hidden="false" customHeight="false" outlineLevel="0" collapsed="false">
      <c r="A645" s="9" t="s">
        <v>2664</v>
      </c>
      <c r="B645" s="9" t="s">
        <v>2665</v>
      </c>
      <c r="C645" s="9" t="s">
        <v>106</v>
      </c>
      <c r="D645" s="9" t="s">
        <v>450</v>
      </c>
      <c r="E645" s="9" t="s">
        <v>106</v>
      </c>
      <c r="F645" s="9" t="s">
        <v>173</v>
      </c>
      <c r="G645" s="9"/>
      <c r="H645" s="9" t="n">
        <v>13</v>
      </c>
      <c r="I645" s="9" t="s">
        <v>117</v>
      </c>
    </row>
    <row r="646" customFormat="false" ht="15" hidden="false" customHeight="false" outlineLevel="0" collapsed="false">
      <c r="A646" s="9" t="s">
        <v>2666</v>
      </c>
      <c r="B646" s="9" t="s">
        <v>2667</v>
      </c>
      <c r="C646" s="9" t="s">
        <v>106</v>
      </c>
      <c r="D646" s="9" t="s">
        <v>450</v>
      </c>
      <c r="E646" s="9" t="s">
        <v>106</v>
      </c>
      <c r="F646" s="9" t="s">
        <v>173</v>
      </c>
      <c r="G646" s="9"/>
      <c r="H646" s="9" t="n">
        <v>14</v>
      </c>
      <c r="I646" s="9" t="s">
        <v>117</v>
      </c>
    </row>
    <row r="647" customFormat="false" ht="15" hidden="false" customHeight="false" outlineLevel="0" collapsed="false">
      <c r="A647" s="9" t="s">
        <v>2668</v>
      </c>
      <c r="B647" s="9" t="s">
        <v>2669</v>
      </c>
      <c r="C647" s="9" t="s">
        <v>106</v>
      </c>
      <c r="D647" s="9" t="s">
        <v>450</v>
      </c>
      <c r="E647" s="9" t="s">
        <v>106</v>
      </c>
      <c r="F647" s="9" t="s">
        <v>173</v>
      </c>
      <c r="G647" s="9"/>
      <c r="H647" s="9" t="n">
        <v>15</v>
      </c>
      <c r="I647" s="9" t="s">
        <v>117</v>
      </c>
    </row>
    <row r="648" customFormat="false" ht="15" hidden="false" customHeight="false" outlineLevel="0" collapsed="false">
      <c r="A648" s="9" t="s">
        <v>2670</v>
      </c>
      <c r="B648" s="9" t="s">
        <v>2671</v>
      </c>
      <c r="C648" s="9" t="s">
        <v>106</v>
      </c>
      <c r="D648" s="9" t="s">
        <v>450</v>
      </c>
      <c r="E648" s="9" t="s">
        <v>106</v>
      </c>
      <c r="F648" s="9" t="s">
        <v>173</v>
      </c>
      <c r="G648" s="9" t="s">
        <v>1631</v>
      </c>
      <c r="H648" s="9" t="n">
        <v>20</v>
      </c>
      <c r="I648" s="9" t="s">
        <v>117</v>
      </c>
    </row>
    <row r="649" customFormat="false" ht="15" hidden="false" customHeight="false" outlineLevel="0" collapsed="false">
      <c r="A649" s="9" t="s">
        <v>1987</v>
      </c>
      <c r="B649" s="9" t="s">
        <v>2672</v>
      </c>
      <c r="C649" s="9" t="s">
        <v>469</v>
      </c>
      <c r="D649" s="9" t="s">
        <v>468</v>
      </c>
      <c r="E649" s="9" t="s">
        <v>216</v>
      </c>
      <c r="F649" s="9" t="s">
        <v>125</v>
      </c>
      <c r="G649" s="9"/>
      <c r="H649" s="9" t="n">
        <v>1</v>
      </c>
      <c r="I649" s="9" t="s">
        <v>143</v>
      </c>
    </row>
    <row r="650" customFormat="false" ht="15" hidden="false" customHeight="false" outlineLevel="0" collapsed="false">
      <c r="A650" s="9" t="s">
        <v>2673</v>
      </c>
      <c r="B650" s="9" t="s">
        <v>2674</v>
      </c>
      <c r="C650" s="9" t="s">
        <v>452</v>
      </c>
      <c r="D650" s="9" t="s">
        <v>451</v>
      </c>
      <c r="E650" s="9" t="s">
        <v>133</v>
      </c>
      <c r="F650" s="9" t="s">
        <v>134</v>
      </c>
      <c r="G650" s="9"/>
      <c r="H650" s="9" t="n">
        <v>1</v>
      </c>
      <c r="I650" s="9" t="s">
        <v>135</v>
      </c>
    </row>
    <row r="651" customFormat="false" ht="15" hidden="false" customHeight="false" outlineLevel="0" collapsed="false">
      <c r="A651" s="9" t="s">
        <v>2675</v>
      </c>
      <c r="B651" s="9" t="s">
        <v>1781</v>
      </c>
      <c r="C651" s="9" t="s">
        <v>452</v>
      </c>
      <c r="D651" s="9" t="s">
        <v>451</v>
      </c>
      <c r="E651" s="9" t="s">
        <v>133</v>
      </c>
      <c r="F651" s="9" t="s">
        <v>134</v>
      </c>
      <c r="G651" s="9"/>
      <c r="H651" s="9" t="n">
        <v>2</v>
      </c>
      <c r="I651" s="9" t="s">
        <v>135</v>
      </c>
    </row>
    <row r="652" customFormat="false" ht="15" hidden="false" customHeight="false" outlineLevel="0" collapsed="false">
      <c r="A652" s="9" t="s">
        <v>2676</v>
      </c>
      <c r="B652" s="9" t="s">
        <v>2677</v>
      </c>
      <c r="C652" s="9" t="s">
        <v>452</v>
      </c>
      <c r="D652" s="9" t="s">
        <v>451</v>
      </c>
      <c r="E652" s="9" t="s">
        <v>133</v>
      </c>
      <c r="F652" s="9" t="s">
        <v>134</v>
      </c>
      <c r="G652" s="9"/>
      <c r="H652" s="9" t="n">
        <v>5</v>
      </c>
      <c r="I652" s="9" t="s">
        <v>135</v>
      </c>
    </row>
    <row r="653" customFormat="false" ht="15" hidden="false" customHeight="false" outlineLevel="0" collapsed="false">
      <c r="A653" s="9" t="s">
        <v>2678</v>
      </c>
      <c r="B653" s="9" t="s">
        <v>2679</v>
      </c>
      <c r="C653" s="9" t="s">
        <v>452</v>
      </c>
      <c r="D653" s="9" t="s">
        <v>451</v>
      </c>
      <c r="E653" s="9" t="s">
        <v>133</v>
      </c>
      <c r="F653" s="9" t="s">
        <v>134</v>
      </c>
      <c r="G653" s="9"/>
      <c r="H653" s="9" t="n">
        <v>6</v>
      </c>
      <c r="I653" s="9" t="s">
        <v>135</v>
      </c>
    </row>
    <row r="654" customFormat="false" ht="15" hidden="false" customHeight="false" outlineLevel="0" collapsed="false">
      <c r="A654" s="9" t="s">
        <v>2680</v>
      </c>
      <c r="B654" s="9" t="s">
        <v>2681</v>
      </c>
      <c r="C654" s="9" t="s">
        <v>452</v>
      </c>
      <c r="D654" s="9" t="s">
        <v>451</v>
      </c>
      <c r="E654" s="9" t="s">
        <v>133</v>
      </c>
      <c r="F654" s="9" t="s">
        <v>134</v>
      </c>
      <c r="G654" s="9"/>
      <c r="H654" s="9" t="n">
        <v>10</v>
      </c>
      <c r="I654" s="9" t="s">
        <v>135</v>
      </c>
    </row>
    <row r="655" customFormat="false" ht="15" hidden="false" customHeight="false" outlineLevel="0" collapsed="false">
      <c r="A655" s="9" t="s">
        <v>1629</v>
      </c>
      <c r="B655" s="9" t="s">
        <v>2682</v>
      </c>
      <c r="C655" s="9" t="s">
        <v>454</v>
      </c>
      <c r="D655" s="9" t="s">
        <v>453</v>
      </c>
      <c r="E655" s="9" t="s">
        <v>106</v>
      </c>
      <c r="F655" s="9" t="s">
        <v>108</v>
      </c>
      <c r="G655" s="9"/>
      <c r="H655" s="9" t="n">
        <v>1</v>
      </c>
      <c r="I655" s="9" t="s">
        <v>103</v>
      </c>
    </row>
    <row r="656" customFormat="false" ht="15" hidden="false" customHeight="false" outlineLevel="0" collapsed="false">
      <c r="A656" s="9" t="s">
        <v>1570</v>
      </c>
      <c r="B656" s="9" t="s">
        <v>2683</v>
      </c>
      <c r="C656" s="9" t="s">
        <v>456</v>
      </c>
      <c r="D656" s="9" t="s">
        <v>455</v>
      </c>
      <c r="E656" s="9" t="s">
        <v>106</v>
      </c>
      <c r="F656" s="9" t="s">
        <v>102</v>
      </c>
      <c r="G656" s="9" t="s">
        <v>1631</v>
      </c>
      <c r="H656" s="9" t="n">
        <v>1</v>
      </c>
      <c r="I656" s="9" t="s">
        <v>143</v>
      </c>
    </row>
    <row r="657" customFormat="false" ht="15" hidden="false" customHeight="false" outlineLevel="0" collapsed="false">
      <c r="A657" s="9" t="s">
        <v>2398</v>
      </c>
      <c r="B657" s="9" t="s">
        <v>2684</v>
      </c>
      <c r="C657" s="9" t="s">
        <v>456</v>
      </c>
      <c r="D657" s="9" t="s">
        <v>455</v>
      </c>
      <c r="E657" s="9" t="s">
        <v>106</v>
      </c>
      <c r="F657" s="9" t="s">
        <v>102</v>
      </c>
      <c r="G657" s="9"/>
      <c r="H657" s="9" t="n">
        <v>2</v>
      </c>
      <c r="I657" s="9" t="s">
        <v>143</v>
      </c>
    </row>
    <row r="658" customFormat="false" ht="15" hidden="false" customHeight="false" outlineLevel="0" collapsed="false">
      <c r="A658" s="9" t="s">
        <v>2685</v>
      </c>
      <c r="B658" s="9" t="s">
        <v>2686</v>
      </c>
      <c r="C658" s="9" t="s">
        <v>456</v>
      </c>
      <c r="D658" s="9" t="s">
        <v>455</v>
      </c>
      <c r="E658" s="9" t="s">
        <v>106</v>
      </c>
      <c r="F658" s="9" t="s">
        <v>102</v>
      </c>
      <c r="G658" s="9"/>
      <c r="H658" s="9" t="n">
        <v>3</v>
      </c>
      <c r="I658" s="9" t="s">
        <v>143</v>
      </c>
    </row>
    <row r="659" customFormat="false" ht="15" hidden="false" customHeight="false" outlineLevel="0" collapsed="false">
      <c r="A659" s="9" t="s">
        <v>2398</v>
      </c>
      <c r="B659" s="9" t="s">
        <v>2687</v>
      </c>
      <c r="C659" s="9" t="s">
        <v>458</v>
      </c>
      <c r="D659" s="9" t="s">
        <v>457</v>
      </c>
      <c r="E659" s="9" t="s">
        <v>133</v>
      </c>
      <c r="F659" s="9" t="s">
        <v>134</v>
      </c>
      <c r="G659" s="9"/>
      <c r="H659" s="9" t="n">
        <v>1</v>
      </c>
      <c r="I659" s="9" t="s">
        <v>143</v>
      </c>
    </row>
    <row r="660" customFormat="false" ht="15" hidden="false" customHeight="false" outlineLevel="0" collapsed="false">
      <c r="A660" s="9" t="s">
        <v>2688</v>
      </c>
      <c r="B660" s="9" t="s">
        <v>2689</v>
      </c>
      <c r="C660" s="9" t="s">
        <v>458</v>
      </c>
      <c r="D660" s="9" t="s">
        <v>457</v>
      </c>
      <c r="E660" s="9" t="s">
        <v>133</v>
      </c>
      <c r="F660" s="9" t="s">
        <v>134</v>
      </c>
      <c r="G660" s="9" t="s">
        <v>1510</v>
      </c>
      <c r="H660" s="9" t="n">
        <v>3</v>
      </c>
      <c r="I660" s="9" t="s">
        <v>143</v>
      </c>
    </row>
    <row r="661" customFormat="false" ht="15" hidden="false" customHeight="false" outlineLevel="0" collapsed="false">
      <c r="A661" s="9" t="s">
        <v>2690</v>
      </c>
      <c r="B661" s="9" t="s">
        <v>2691</v>
      </c>
      <c r="C661" s="9" t="s">
        <v>458</v>
      </c>
      <c r="D661" s="9" t="s">
        <v>457</v>
      </c>
      <c r="E661" s="9" t="s">
        <v>133</v>
      </c>
      <c r="F661" s="9" t="s">
        <v>134</v>
      </c>
      <c r="G661" s="9"/>
      <c r="H661" s="9" t="n">
        <v>4</v>
      </c>
      <c r="I661" s="9" t="s">
        <v>143</v>
      </c>
    </row>
    <row r="662" customFormat="false" ht="15" hidden="false" customHeight="false" outlineLevel="0" collapsed="false">
      <c r="A662" s="9" t="s">
        <v>1774</v>
      </c>
      <c r="B662" s="9" t="s">
        <v>2692</v>
      </c>
      <c r="C662" s="9" t="s">
        <v>462</v>
      </c>
      <c r="D662" s="9" t="s">
        <v>461</v>
      </c>
      <c r="E662" s="9" t="s">
        <v>106</v>
      </c>
      <c r="F662" s="9" t="s">
        <v>108</v>
      </c>
      <c r="G662" s="9"/>
      <c r="H662" s="9" t="n">
        <v>1</v>
      </c>
      <c r="I662" s="9" t="s">
        <v>103</v>
      </c>
    </row>
    <row r="663" customFormat="false" ht="15" hidden="false" customHeight="false" outlineLevel="0" collapsed="false">
      <c r="A663" s="9" t="s">
        <v>2600</v>
      </c>
      <c r="B663" s="9" t="s">
        <v>2693</v>
      </c>
      <c r="C663" s="9" t="s">
        <v>182</v>
      </c>
      <c r="D663" s="9" t="s">
        <v>465</v>
      </c>
      <c r="E663" s="9" t="s">
        <v>182</v>
      </c>
      <c r="F663" s="9" t="s">
        <v>125</v>
      </c>
      <c r="G663" s="9"/>
      <c r="H663" s="9" t="n">
        <v>2</v>
      </c>
      <c r="I663" s="9" t="s">
        <v>117</v>
      </c>
    </row>
    <row r="664" customFormat="false" ht="15" hidden="false" customHeight="false" outlineLevel="0" collapsed="false">
      <c r="A664" s="9" t="s">
        <v>2694</v>
      </c>
      <c r="B664" s="9" t="s">
        <v>2695</v>
      </c>
      <c r="C664" s="9" t="s">
        <v>182</v>
      </c>
      <c r="D664" s="9" t="s">
        <v>465</v>
      </c>
      <c r="E664" s="9" t="s">
        <v>182</v>
      </c>
      <c r="F664" s="9" t="s">
        <v>125</v>
      </c>
      <c r="G664" s="9"/>
      <c r="H664" s="9" t="n">
        <v>5</v>
      </c>
      <c r="I664" s="9" t="s">
        <v>117</v>
      </c>
    </row>
    <row r="665" customFormat="false" ht="15" hidden="false" customHeight="false" outlineLevel="0" collapsed="false">
      <c r="A665" s="9" t="s">
        <v>2696</v>
      </c>
      <c r="B665" s="9" t="s">
        <v>2697</v>
      </c>
      <c r="C665" s="9" t="s">
        <v>182</v>
      </c>
      <c r="D665" s="9" t="s">
        <v>465</v>
      </c>
      <c r="E665" s="9" t="s">
        <v>182</v>
      </c>
      <c r="F665" s="9" t="s">
        <v>125</v>
      </c>
      <c r="G665" s="9"/>
      <c r="H665" s="9" t="n">
        <v>6</v>
      </c>
      <c r="I665" s="9" t="s">
        <v>117</v>
      </c>
    </row>
    <row r="666" customFormat="false" ht="15" hidden="false" customHeight="false" outlineLevel="0" collapsed="false">
      <c r="A666" s="9" t="s">
        <v>2698</v>
      </c>
      <c r="B666" s="9" t="s">
        <v>2699</v>
      </c>
      <c r="C666" s="9" t="s">
        <v>182</v>
      </c>
      <c r="D666" s="9" t="s">
        <v>465</v>
      </c>
      <c r="E666" s="9" t="s">
        <v>182</v>
      </c>
      <c r="F666" s="9" t="s">
        <v>125</v>
      </c>
      <c r="G666" s="9"/>
      <c r="H666" s="9" t="n">
        <v>8</v>
      </c>
      <c r="I666" s="9" t="s">
        <v>117</v>
      </c>
    </row>
    <row r="667" customFormat="false" ht="15" hidden="false" customHeight="false" outlineLevel="0" collapsed="false">
      <c r="A667" s="9" t="s">
        <v>2700</v>
      </c>
      <c r="B667" s="9" t="s">
        <v>2701</v>
      </c>
      <c r="C667" s="9" t="s">
        <v>182</v>
      </c>
      <c r="D667" s="9" t="s">
        <v>465</v>
      </c>
      <c r="E667" s="9" t="s">
        <v>182</v>
      </c>
      <c r="F667" s="9" t="s">
        <v>125</v>
      </c>
      <c r="G667" s="9"/>
      <c r="H667" s="9" t="n">
        <v>9</v>
      </c>
      <c r="I667" s="9" t="s">
        <v>117</v>
      </c>
    </row>
    <row r="668" customFormat="false" ht="15" hidden="false" customHeight="false" outlineLevel="0" collapsed="false">
      <c r="A668" s="9" t="s">
        <v>2702</v>
      </c>
      <c r="B668" s="9" t="s">
        <v>2703</v>
      </c>
      <c r="C668" s="9" t="s">
        <v>182</v>
      </c>
      <c r="D668" s="9" t="s">
        <v>465</v>
      </c>
      <c r="E668" s="9" t="s">
        <v>182</v>
      </c>
      <c r="F668" s="9" t="s">
        <v>125</v>
      </c>
      <c r="G668" s="9" t="s">
        <v>1510</v>
      </c>
      <c r="H668" s="9" t="n">
        <v>14</v>
      </c>
      <c r="I668" s="9" t="s">
        <v>117</v>
      </c>
    </row>
    <row r="669" customFormat="false" ht="15" hidden="false" customHeight="false" outlineLevel="0" collapsed="false">
      <c r="A669" s="9" t="s">
        <v>2704</v>
      </c>
      <c r="B669" s="9" t="s">
        <v>1833</v>
      </c>
      <c r="C669" s="9" t="s">
        <v>182</v>
      </c>
      <c r="D669" s="9" t="s">
        <v>465</v>
      </c>
      <c r="E669" s="9" t="s">
        <v>182</v>
      </c>
      <c r="F669" s="9" t="s">
        <v>125</v>
      </c>
      <c r="G669" s="9" t="s">
        <v>1510</v>
      </c>
      <c r="H669" s="9" t="n">
        <v>15</v>
      </c>
      <c r="I669" s="9" t="s">
        <v>117</v>
      </c>
    </row>
    <row r="670" customFormat="false" ht="15" hidden="false" customHeight="false" outlineLevel="0" collapsed="false">
      <c r="A670" s="9" t="s">
        <v>2705</v>
      </c>
      <c r="B670" s="9" t="s">
        <v>2706</v>
      </c>
      <c r="C670" s="9" t="s">
        <v>182</v>
      </c>
      <c r="D670" s="9" t="s">
        <v>465</v>
      </c>
      <c r="E670" s="9" t="s">
        <v>182</v>
      </c>
      <c r="F670" s="9" t="s">
        <v>125</v>
      </c>
      <c r="G670" s="9"/>
      <c r="H670" s="9" t="n">
        <v>17</v>
      </c>
      <c r="I670" s="9" t="s">
        <v>117</v>
      </c>
    </row>
    <row r="671" customFormat="false" ht="15" hidden="false" customHeight="false" outlineLevel="0" collapsed="false">
      <c r="A671" s="9" t="s">
        <v>2707</v>
      </c>
      <c r="B671" s="9" t="s">
        <v>2708</v>
      </c>
      <c r="C671" s="9" t="s">
        <v>182</v>
      </c>
      <c r="D671" s="9" t="s">
        <v>465</v>
      </c>
      <c r="E671" s="9" t="s">
        <v>182</v>
      </c>
      <c r="F671" s="9" t="s">
        <v>125</v>
      </c>
      <c r="G671" s="9" t="s">
        <v>1510</v>
      </c>
      <c r="H671" s="9" t="n">
        <v>18</v>
      </c>
      <c r="I671" s="9" t="s">
        <v>117</v>
      </c>
    </row>
    <row r="672" customFormat="false" ht="15" hidden="false" customHeight="false" outlineLevel="0" collapsed="false">
      <c r="A672" s="9" t="s">
        <v>2709</v>
      </c>
      <c r="B672" s="9" t="s">
        <v>1837</v>
      </c>
      <c r="C672" s="9" t="s">
        <v>182</v>
      </c>
      <c r="D672" s="9" t="s">
        <v>465</v>
      </c>
      <c r="E672" s="9" t="s">
        <v>182</v>
      </c>
      <c r="F672" s="9" t="s">
        <v>125</v>
      </c>
      <c r="G672" s="9" t="s">
        <v>1510</v>
      </c>
      <c r="H672" s="9" t="n">
        <v>24</v>
      </c>
      <c r="I672" s="9" t="s">
        <v>117</v>
      </c>
    </row>
    <row r="673" customFormat="false" ht="15" hidden="false" customHeight="false" outlineLevel="0" collapsed="false">
      <c r="A673" s="9" t="s">
        <v>2710</v>
      </c>
      <c r="B673" s="9" t="s">
        <v>2711</v>
      </c>
      <c r="C673" s="9" t="s">
        <v>182</v>
      </c>
      <c r="D673" s="9" t="s">
        <v>465</v>
      </c>
      <c r="E673" s="9" t="s">
        <v>182</v>
      </c>
      <c r="F673" s="9" t="s">
        <v>125</v>
      </c>
      <c r="G673" s="9" t="s">
        <v>1510</v>
      </c>
      <c r="H673" s="9" t="n">
        <v>28</v>
      </c>
      <c r="I673" s="9" t="s">
        <v>117</v>
      </c>
    </row>
    <row r="674" customFormat="false" ht="15" hidden="false" customHeight="false" outlineLevel="0" collapsed="false">
      <c r="A674" s="9" t="s">
        <v>2712</v>
      </c>
      <c r="B674" s="9" t="s">
        <v>2713</v>
      </c>
      <c r="C674" s="9" t="s">
        <v>182</v>
      </c>
      <c r="D674" s="9" t="s">
        <v>465</v>
      </c>
      <c r="E674" s="9" t="s">
        <v>182</v>
      </c>
      <c r="F674" s="9" t="s">
        <v>125</v>
      </c>
      <c r="G674" s="9" t="s">
        <v>1510</v>
      </c>
      <c r="H674" s="9" t="n">
        <v>30</v>
      </c>
      <c r="I674" s="9" t="s">
        <v>117</v>
      </c>
    </row>
    <row r="675" customFormat="false" ht="15" hidden="false" customHeight="false" outlineLevel="0" collapsed="false">
      <c r="A675" s="9" t="s">
        <v>2714</v>
      </c>
      <c r="B675" s="9" t="s">
        <v>2715</v>
      </c>
      <c r="C675" s="9" t="s">
        <v>182</v>
      </c>
      <c r="D675" s="9" t="s">
        <v>465</v>
      </c>
      <c r="E675" s="9" t="s">
        <v>182</v>
      </c>
      <c r="F675" s="9" t="s">
        <v>125</v>
      </c>
      <c r="G675" s="9" t="s">
        <v>1510</v>
      </c>
      <c r="H675" s="9" t="n">
        <v>32</v>
      </c>
      <c r="I675" s="9" t="s">
        <v>117</v>
      </c>
    </row>
    <row r="676" customFormat="false" ht="15" hidden="false" customHeight="false" outlineLevel="0" collapsed="false">
      <c r="A676" s="9" t="s">
        <v>2716</v>
      </c>
      <c r="B676" s="9" t="s">
        <v>2717</v>
      </c>
      <c r="C676" s="9" t="s">
        <v>182</v>
      </c>
      <c r="D676" s="9" t="s">
        <v>465</v>
      </c>
      <c r="E676" s="9" t="s">
        <v>182</v>
      </c>
      <c r="F676" s="9" t="s">
        <v>125</v>
      </c>
      <c r="G676" s="9" t="s">
        <v>1510</v>
      </c>
      <c r="H676" s="9" t="n">
        <v>34</v>
      </c>
      <c r="I676" s="9" t="s">
        <v>117</v>
      </c>
    </row>
    <row r="677" customFormat="false" ht="15" hidden="false" customHeight="false" outlineLevel="0" collapsed="false">
      <c r="A677" s="9" t="s">
        <v>2718</v>
      </c>
      <c r="B677" s="9" t="s">
        <v>2719</v>
      </c>
      <c r="C677" s="9" t="s">
        <v>182</v>
      </c>
      <c r="D677" s="9" t="s">
        <v>465</v>
      </c>
      <c r="E677" s="9" t="s">
        <v>182</v>
      </c>
      <c r="F677" s="9" t="s">
        <v>125</v>
      </c>
      <c r="G677" s="9" t="s">
        <v>1510</v>
      </c>
      <c r="H677" s="9" t="n">
        <v>36</v>
      </c>
      <c r="I677" s="9" t="s">
        <v>117</v>
      </c>
    </row>
    <row r="678" customFormat="false" ht="15" hidden="false" customHeight="false" outlineLevel="0" collapsed="false">
      <c r="A678" s="9" t="s">
        <v>2720</v>
      </c>
      <c r="B678" s="9" t="s">
        <v>2703</v>
      </c>
      <c r="C678" s="9" t="s">
        <v>182</v>
      </c>
      <c r="D678" s="9" t="s">
        <v>465</v>
      </c>
      <c r="E678" s="9" t="s">
        <v>182</v>
      </c>
      <c r="F678" s="9" t="s">
        <v>125</v>
      </c>
      <c r="G678" s="9" t="s">
        <v>1510</v>
      </c>
      <c r="H678" s="9" t="n">
        <v>37</v>
      </c>
      <c r="I678" s="9" t="s">
        <v>117</v>
      </c>
    </row>
    <row r="679" customFormat="false" ht="15" hidden="false" customHeight="false" outlineLevel="0" collapsed="false">
      <c r="A679" s="9" t="s">
        <v>1517</v>
      </c>
      <c r="B679" s="9" t="s">
        <v>2721</v>
      </c>
      <c r="C679" s="9" t="s">
        <v>467</v>
      </c>
      <c r="D679" s="9" t="s">
        <v>466</v>
      </c>
      <c r="E679" s="9" t="s">
        <v>133</v>
      </c>
      <c r="F679" s="9" t="s">
        <v>134</v>
      </c>
      <c r="G679" s="9"/>
      <c r="H679" s="9" t="n">
        <v>2</v>
      </c>
      <c r="I679" s="9" t="s">
        <v>103</v>
      </c>
    </row>
    <row r="680" customFormat="false" ht="15" hidden="false" customHeight="false" outlineLevel="0" collapsed="false">
      <c r="A680" s="9" t="s">
        <v>2722</v>
      </c>
      <c r="B680" s="9" t="s">
        <v>2723</v>
      </c>
      <c r="C680" s="9" t="s">
        <v>473</v>
      </c>
      <c r="D680" s="9" t="s">
        <v>472</v>
      </c>
      <c r="E680" s="9" t="s">
        <v>106</v>
      </c>
      <c r="F680" s="9" t="s">
        <v>108</v>
      </c>
      <c r="G680" s="9"/>
      <c r="H680" s="9" t="n">
        <v>1</v>
      </c>
      <c r="I680" s="9" t="s">
        <v>103</v>
      </c>
    </row>
    <row r="681" customFormat="false" ht="15" hidden="false" customHeight="false" outlineLevel="0" collapsed="false">
      <c r="A681" s="9" t="s">
        <v>2724</v>
      </c>
      <c r="B681" s="9" t="s">
        <v>2725</v>
      </c>
      <c r="C681" s="9" t="s">
        <v>473</v>
      </c>
      <c r="D681" s="9" t="s">
        <v>472</v>
      </c>
      <c r="E681" s="9" t="s">
        <v>106</v>
      </c>
      <c r="F681" s="9" t="s">
        <v>108</v>
      </c>
      <c r="G681" s="9"/>
      <c r="H681" s="9" t="n">
        <v>2</v>
      </c>
      <c r="I681" s="9" t="s">
        <v>103</v>
      </c>
    </row>
    <row r="682" customFormat="false" ht="15" hidden="false" customHeight="false" outlineLevel="0" collapsed="false">
      <c r="A682" s="9" t="s">
        <v>1746</v>
      </c>
      <c r="B682" s="9" t="s">
        <v>2726</v>
      </c>
      <c r="C682" s="9" t="s">
        <v>99</v>
      </c>
      <c r="D682" s="9" t="s">
        <v>98</v>
      </c>
      <c r="E682" s="9" t="s">
        <v>100</v>
      </c>
      <c r="F682" s="9" t="s">
        <v>102</v>
      </c>
      <c r="G682" s="9"/>
      <c r="H682" s="9" t="n">
        <v>1</v>
      </c>
      <c r="I682" s="9" t="s">
        <v>103</v>
      </c>
    </row>
    <row r="683" customFormat="false" ht="15" hidden="false" customHeight="false" outlineLevel="0" collapsed="false">
      <c r="A683" s="9" t="s">
        <v>2727</v>
      </c>
      <c r="B683" s="9" t="s">
        <v>2468</v>
      </c>
      <c r="C683" s="9" t="s">
        <v>99</v>
      </c>
      <c r="D683" s="9" t="s">
        <v>98</v>
      </c>
      <c r="E683" s="9" t="s">
        <v>100</v>
      </c>
      <c r="F683" s="9" t="s">
        <v>102</v>
      </c>
      <c r="G683" s="9"/>
      <c r="H683" s="9" t="n">
        <v>4</v>
      </c>
      <c r="I683" s="9" t="s">
        <v>103</v>
      </c>
    </row>
    <row r="684" customFormat="false" ht="15" hidden="false" customHeight="false" outlineLevel="0" collapsed="false">
      <c r="A684" s="9" t="s">
        <v>2728</v>
      </c>
      <c r="B684" s="9" t="s">
        <v>2729</v>
      </c>
      <c r="C684" s="9" t="s">
        <v>142</v>
      </c>
      <c r="D684" s="9" t="s">
        <v>141</v>
      </c>
      <c r="E684" s="9" t="s">
        <v>106</v>
      </c>
      <c r="F684" s="9" t="s">
        <v>102</v>
      </c>
      <c r="G684" s="9"/>
      <c r="H684" s="9" t="n">
        <v>4</v>
      </c>
      <c r="I684" s="9" t="s">
        <v>143</v>
      </c>
    </row>
    <row r="685" customFormat="false" ht="15" hidden="false" customHeight="false" outlineLevel="0" collapsed="false">
      <c r="A685" s="9" t="s">
        <v>2730</v>
      </c>
      <c r="B685" s="9" t="s">
        <v>2731</v>
      </c>
      <c r="C685" s="9" t="s">
        <v>142</v>
      </c>
      <c r="D685" s="9" t="s">
        <v>141</v>
      </c>
      <c r="E685" s="9" t="s">
        <v>106</v>
      </c>
      <c r="F685" s="9" t="s">
        <v>102</v>
      </c>
      <c r="G685" s="9" t="s">
        <v>1510</v>
      </c>
      <c r="H685" s="9" t="n">
        <v>6</v>
      </c>
      <c r="I685" s="9" t="s">
        <v>143</v>
      </c>
    </row>
    <row r="686" customFormat="false" ht="15" hidden="false" customHeight="false" outlineLevel="0" collapsed="false">
      <c r="A686" s="9" t="s">
        <v>2732</v>
      </c>
      <c r="B686" s="9" t="s">
        <v>2733</v>
      </c>
      <c r="C686" s="9" t="s">
        <v>142</v>
      </c>
      <c r="D686" s="9" t="s">
        <v>141</v>
      </c>
      <c r="E686" s="9" t="s">
        <v>106</v>
      </c>
      <c r="F686" s="9" t="s">
        <v>102</v>
      </c>
      <c r="G686" s="9"/>
      <c r="H686" s="9" t="n">
        <v>1</v>
      </c>
      <c r="I686" s="9" t="s">
        <v>143</v>
      </c>
    </row>
    <row r="687" customFormat="false" ht="15" hidden="false" customHeight="false" outlineLevel="0" collapsed="false">
      <c r="A687" s="9" t="s">
        <v>1800</v>
      </c>
      <c r="B687" s="9" t="s">
        <v>1628</v>
      </c>
      <c r="C687" s="9" t="s">
        <v>301</v>
      </c>
      <c r="D687" s="9" t="s">
        <v>300</v>
      </c>
      <c r="E687" s="9" t="s">
        <v>106</v>
      </c>
      <c r="F687" s="9" t="s">
        <v>102</v>
      </c>
      <c r="G687" s="9"/>
      <c r="H687" s="9" t="n">
        <v>1</v>
      </c>
      <c r="I687" s="9" t="s">
        <v>103</v>
      </c>
    </row>
    <row r="688" customFormat="false" ht="15" hidden="false" customHeight="false" outlineLevel="0" collapsed="false">
      <c r="A688" s="9" t="s">
        <v>1800</v>
      </c>
      <c r="B688" s="9" t="s">
        <v>2734</v>
      </c>
      <c r="C688" s="9" t="s">
        <v>165</v>
      </c>
      <c r="D688" s="9" t="s">
        <v>164</v>
      </c>
      <c r="E688" s="9" t="s">
        <v>100</v>
      </c>
      <c r="F688" s="9" t="s">
        <v>102</v>
      </c>
      <c r="G688" s="9"/>
      <c r="H688" s="9" t="n">
        <v>1</v>
      </c>
      <c r="I688" s="9" t="s">
        <v>103</v>
      </c>
    </row>
    <row r="689" customFormat="false" ht="15" hidden="false" customHeight="false" outlineLevel="0" collapsed="false">
      <c r="A689" s="9" t="s">
        <v>2735</v>
      </c>
      <c r="B689" s="9" t="s">
        <v>1849</v>
      </c>
      <c r="C689" s="9" t="s">
        <v>175</v>
      </c>
      <c r="D689" s="9" t="s">
        <v>174</v>
      </c>
      <c r="E689" s="9" t="s">
        <v>100</v>
      </c>
      <c r="F689" s="9" t="s">
        <v>102</v>
      </c>
      <c r="G689" s="9"/>
      <c r="H689" s="9" t="n">
        <v>3</v>
      </c>
      <c r="I689" s="9" t="s">
        <v>135</v>
      </c>
    </row>
    <row r="690" customFormat="false" ht="15" hidden="false" customHeight="false" outlineLevel="0" collapsed="false">
      <c r="A690" s="9" t="s">
        <v>2736</v>
      </c>
      <c r="B690" s="9" t="s">
        <v>1781</v>
      </c>
      <c r="C690" s="9" t="s">
        <v>175</v>
      </c>
      <c r="D690" s="9" t="s">
        <v>174</v>
      </c>
      <c r="E690" s="9" t="s">
        <v>100</v>
      </c>
      <c r="F690" s="9" t="s">
        <v>102</v>
      </c>
      <c r="G690" s="9"/>
      <c r="H690" s="9" t="n">
        <v>7</v>
      </c>
      <c r="I690" s="9" t="s">
        <v>135</v>
      </c>
    </row>
    <row r="691" customFormat="false" ht="15" hidden="false" customHeight="false" outlineLevel="0" collapsed="false">
      <c r="A691" s="9" t="s">
        <v>1576</v>
      </c>
      <c r="B691" s="9" t="s">
        <v>2737</v>
      </c>
      <c r="C691" s="9" t="s">
        <v>190</v>
      </c>
      <c r="D691" s="9" t="s">
        <v>189</v>
      </c>
      <c r="E691" s="9" t="s">
        <v>100</v>
      </c>
      <c r="F691" s="9" t="s">
        <v>102</v>
      </c>
      <c r="G691" s="9"/>
      <c r="H691" s="9" t="n">
        <v>1</v>
      </c>
      <c r="I691" s="9" t="s">
        <v>103</v>
      </c>
    </row>
    <row r="692" customFormat="false" ht="15" hidden="false" customHeight="false" outlineLevel="0" collapsed="false">
      <c r="A692" s="9" t="s">
        <v>2738</v>
      </c>
      <c r="B692" s="9" t="s">
        <v>2739</v>
      </c>
      <c r="C692" s="9" t="s">
        <v>190</v>
      </c>
      <c r="D692" s="9" t="s">
        <v>189</v>
      </c>
      <c r="E692" s="9" t="s">
        <v>100</v>
      </c>
      <c r="F692" s="9" t="s">
        <v>102</v>
      </c>
      <c r="G692" s="9"/>
      <c r="H692" s="9" t="n">
        <v>2</v>
      </c>
      <c r="I692" s="9" t="s">
        <v>103</v>
      </c>
    </row>
    <row r="693" customFormat="false" ht="15" hidden="false" customHeight="false" outlineLevel="0" collapsed="false">
      <c r="A693" s="9" t="s">
        <v>2740</v>
      </c>
      <c r="B693" s="9" t="s">
        <v>2741</v>
      </c>
      <c r="C693" s="9" t="s">
        <v>206</v>
      </c>
      <c r="D693" s="9" t="s">
        <v>205</v>
      </c>
      <c r="E693" s="9" t="s">
        <v>100</v>
      </c>
      <c r="F693" s="9" t="s">
        <v>102</v>
      </c>
      <c r="G693" s="9"/>
      <c r="H693" s="9" t="n">
        <v>3</v>
      </c>
      <c r="I693" s="9" t="s">
        <v>143</v>
      </c>
    </row>
    <row r="694" customFormat="false" ht="15" hidden="false" customHeight="false" outlineLevel="0" collapsed="false">
      <c r="A694" s="9" t="s">
        <v>1855</v>
      </c>
      <c r="B694" s="9" t="s">
        <v>2742</v>
      </c>
      <c r="C694" s="9" t="s">
        <v>206</v>
      </c>
      <c r="D694" s="9" t="s">
        <v>205</v>
      </c>
      <c r="E694" s="9" t="s">
        <v>100</v>
      </c>
      <c r="F694" s="9" t="s">
        <v>102</v>
      </c>
      <c r="G694" s="9"/>
      <c r="H694" s="9" t="n">
        <v>5</v>
      </c>
      <c r="I694" s="9" t="s">
        <v>143</v>
      </c>
    </row>
    <row r="695" customFormat="false" ht="15" hidden="false" customHeight="false" outlineLevel="0" collapsed="false">
      <c r="A695" s="9" t="s">
        <v>2743</v>
      </c>
      <c r="B695" s="9" t="s">
        <v>2122</v>
      </c>
      <c r="C695" s="9" t="s">
        <v>224</v>
      </c>
      <c r="D695" s="9" t="s">
        <v>223</v>
      </c>
      <c r="E695" s="9" t="s">
        <v>106</v>
      </c>
      <c r="F695" s="9" t="s">
        <v>102</v>
      </c>
      <c r="G695" s="9"/>
      <c r="H695" s="9" t="n">
        <v>3</v>
      </c>
      <c r="I695" s="9" t="s">
        <v>103</v>
      </c>
    </row>
    <row r="696" customFormat="false" ht="15" hidden="false" customHeight="false" outlineLevel="0" collapsed="false">
      <c r="A696" s="9" t="s">
        <v>2744</v>
      </c>
      <c r="B696" s="9" t="s">
        <v>2745</v>
      </c>
      <c r="C696" s="9" t="s">
        <v>224</v>
      </c>
      <c r="D696" s="9" t="s">
        <v>223</v>
      </c>
      <c r="E696" s="9" t="s">
        <v>106</v>
      </c>
      <c r="F696" s="9" t="s">
        <v>102</v>
      </c>
      <c r="G696" s="9" t="s">
        <v>1510</v>
      </c>
      <c r="H696" s="9" t="n">
        <v>4</v>
      </c>
      <c r="I696" s="9" t="s">
        <v>103</v>
      </c>
    </row>
    <row r="697" customFormat="false" ht="15" hidden="false" customHeight="false" outlineLevel="0" collapsed="false">
      <c r="A697" s="9" t="s">
        <v>1774</v>
      </c>
      <c r="B697" s="9" t="s">
        <v>1628</v>
      </c>
      <c r="C697" s="9" t="s">
        <v>224</v>
      </c>
      <c r="D697" s="9" t="s">
        <v>223</v>
      </c>
      <c r="E697" s="9" t="s">
        <v>106</v>
      </c>
      <c r="F697" s="9" t="s">
        <v>102</v>
      </c>
      <c r="G697" s="9"/>
      <c r="H697" s="9" t="n">
        <v>1</v>
      </c>
      <c r="I697" s="9" t="s">
        <v>103</v>
      </c>
    </row>
    <row r="698" customFormat="false" ht="15" hidden="false" customHeight="false" outlineLevel="0" collapsed="false">
      <c r="A698" s="9" t="s">
        <v>2746</v>
      </c>
      <c r="B698" s="9" t="s">
        <v>2737</v>
      </c>
      <c r="C698" s="9" t="s">
        <v>231</v>
      </c>
      <c r="D698" s="9" t="s">
        <v>230</v>
      </c>
      <c r="E698" s="9" t="s">
        <v>100</v>
      </c>
      <c r="F698" s="9" t="s">
        <v>102</v>
      </c>
      <c r="G698" s="9"/>
      <c r="H698" s="9" t="n">
        <v>1</v>
      </c>
      <c r="I698" s="9" t="s">
        <v>143</v>
      </c>
    </row>
    <row r="699" customFormat="false" ht="15" hidden="false" customHeight="false" outlineLevel="0" collapsed="false">
      <c r="A699" s="9" t="s">
        <v>1766</v>
      </c>
      <c r="B699" s="9" t="s">
        <v>2747</v>
      </c>
      <c r="C699" s="9" t="s">
        <v>231</v>
      </c>
      <c r="D699" s="9" t="s">
        <v>230</v>
      </c>
      <c r="E699" s="9" t="s">
        <v>100</v>
      </c>
      <c r="F699" s="9" t="s">
        <v>102</v>
      </c>
      <c r="G699" s="9"/>
      <c r="H699" s="9" t="n">
        <v>3</v>
      </c>
      <c r="I699" s="9" t="s">
        <v>143</v>
      </c>
    </row>
    <row r="700" customFormat="false" ht="15" hidden="false" customHeight="false" outlineLevel="0" collapsed="false">
      <c r="A700" s="9" t="s">
        <v>2748</v>
      </c>
      <c r="B700" s="9" t="s">
        <v>2749</v>
      </c>
      <c r="C700" s="9" t="s">
        <v>231</v>
      </c>
      <c r="D700" s="9" t="s">
        <v>230</v>
      </c>
      <c r="E700" s="9" t="s">
        <v>100</v>
      </c>
      <c r="F700" s="9" t="s">
        <v>102</v>
      </c>
      <c r="G700" s="9"/>
      <c r="H700" s="9" t="n">
        <v>5</v>
      </c>
      <c r="I700" s="9" t="s">
        <v>143</v>
      </c>
    </row>
    <row r="701" customFormat="false" ht="15" hidden="false" customHeight="false" outlineLevel="0" collapsed="false">
      <c r="A701" s="9" t="s">
        <v>2096</v>
      </c>
      <c r="B701" s="9" t="s">
        <v>2749</v>
      </c>
      <c r="C701" s="9" t="s">
        <v>231</v>
      </c>
      <c r="D701" s="9" t="s">
        <v>230</v>
      </c>
      <c r="E701" s="9" t="s">
        <v>100</v>
      </c>
      <c r="F701" s="9" t="s">
        <v>102</v>
      </c>
      <c r="G701" s="9"/>
      <c r="H701" s="9" t="n">
        <v>6</v>
      </c>
      <c r="I701" s="9" t="s">
        <v>143</v>
      </c>
    </row>
    <row r="702" customFormat="false" ht="15" hidden="false" customHeight="false" outlineLevel="0" collapsed="false">
      <c r="A702" s="9" t="s">
        <v>2750</v>
      </c>
      <c r="B702" s="9" t="s">
        <v>2751</v>
      </c>
      <c r="C702" s="9" t="s">
        <v>233</v>
      </c>
      <c r="D702" s="9" t="s">
        <v>232</v>
      </c>
      <c r="E702" s="9" t="s">
        <v>100</v>
      </c>
      <c r="F702" s="9" t="s">
        <v>102</v>
      </c>
      <c r="G702" s="9"/>
      <c r="H702" s="9" t="n">
        <v>2</v>
      </c>
      <c r="I702" s="9" t="s">
        <v>103</v>
      </c>
    </row>
    <row r="703" customFormat="false" ht="15" hidden="false" customHeight="false" outlineLevel="0" collapsed="false">
      <c r="A703" s="9" t="s">
        <v>2752</v>
      </c>
      <c r="B703" s="9" t="s">
        <v>1880</v>
      </c>
      <c r="C703" s="9" t="s">
        <v>119</v>
      </c>
      <c r="D703" s="9" t="s">
        <v>118</v>
      </c>
      <c r="E703" s="9" t="s">
        <v>120</v>
      </c>
      <c r="F703" s="9" t="s">
        <v>121</v>
      </c>
      <c r="G703" s="9" t="s">
        <v>1510</v>
      </c>
      <c r="H703" s="9" t="n">
        <v>1</v>
      </c>
      <c r="I703" s="9" t="s">
        <v>117</v>
      </c>
    </row>
    <row r="704" customFormat="false" ht="15" hidden="false" customHeight="false" outlineLevel="0" collapsed="false">
      <c r="A704" s="9" t="s">
        <v>2753</v>
      </c>
      <c r="B704" s="9" t="s">
        <v>2754</v>
      </c>
      <c r="C704" s="9" t="s">
        <v>119</v>
      </c>
      <c r="D704" s="9" t="s">
        <v>118</v>
      </c>
      <c r="E704" s="9" t="s">
        <v>120</v>
      </c>
      <c r="F704" s="9" t="s">
        <v>121</v>
      </c>
      <c r="G704" s="9" t="s">
        <v>1510</v>
      </c>
      <c r="H704" s="9" t="n">
        <v>5</v>
      </c>
      <c r="I704" s="9" t="s">
        <v>117</v>
      </c>
    </row>
    <row r="705" customFormat="false" ht="15" hidden="false" customHeight="false" outlineLevel="0" collapsed="false">
      <c r="A705" s="9" t="s">
        <v>2755</v>
      </c>
      <c r="B705" s="9" t="s">
        <v>2756</v>
      </c>
      <c r="C705" s="9" t="s">
        <v>119</v>
      </c>
      <c r="D705" s="9" t="s">
        <v>118</v>
      </c>
      <c r="E705" s="9" t="s">
        <v>120</v>
      </c>
      <c r="F705" s="9" t="s">
        <v>121</v>
      </c>
      <c r="G705" s="9"/>
      <c r="H705" s="9" t="n">
        <v>8</v>
      </c>
      <c r="I705" s="9" t="s">
        <v>117</v>
      </c>
    </row>
    <row r="706" customFormat="false" ht="15" hidden="false" customHeight="false" outlineLevel="0" collapsed="false">
      <c r="A706" s="9" t="s">
        <v>2757</v>
      </c>
      <c r="B706" s="9" t="s">
        <v>2758</v>
      </c>
      <c r="C706" s="9" t="s">
        <v>119</v>
      </c>
      <c r="D706" s="9" t="s">
        <v>118</v>
      </c>
      <c r="E706" s="9" t="s">
        <v>120</v>
      </c>
      <c r="F706" s="9" t="s">
        <v>121</v>
      </c>
      <c r="G706" s="9"/>
      <c r="H706" s="9" t="n">
        <v>10</v>
      </c>
      <c r="I706" s="9" t="s">
        <v>117</v>
      </c>
    </row>
    <row r="707" customFormat="false" ht="15" hidden="false" customHeight="false" outlineLevel="0" collapsed="false">
      <c r="A707" s="9" t="s">
        <v>2759</v>
      </c>
      <c r="B707" s="9" t="s">
        <v>2760</v>
      </c>
      <c r="C707" s="9" t="s">
        <v>119</v>
      </c>
      <c r="D707" s="9" t="s">
        <v>118</v>
      </c>
      <c r="E707" s="9" t="s">
        <v>120</v>
      </c>
      <c r="F707" s="9" t="s">
        <v>121</v>
      </c>
      <c r="G707" s="9"/>
      <c r="H707" s="9" t="n">
        <v>12</v>
      </c>
      <c r="I707" s="9" t="s">
        <v>117</v>
      </c>
    </row>
    <row r="708" customFormat="false" ht="15" hidden="false" customHeight="false" outlineLevel="0" collapsed="false">
      <c r="A708" s="9" t="s">
        <v>2761</v>
      </c>
      <c r="B708" s="9" t="s">
        <v>2762</v>
      </c>
      <c r="C708" s="9" t="s">
        <v>119</v>
      </c>
      <c r="D708" s="9" t="s">
        <v>118</v>
      </c>
      <c r="E708" s="9" t="s">
        <v>120</v>
      </c>
      <c r="F708" s="9" t="s">
        <v>121</v>
      </c>
      <c r="G708" s="9"/>
      <c r="H708" s="9" t="n">
        <v>14</v>
      </c>
      <c r="I708" s="9" t="s">
        <v>117</v>
      </c>
    </row>
    <row r="709" customFormat="false" ht="15" hidden="false" customHeight="false" outlineLevel="0" collapsed="false">
      <c r="A709" s="9" t="s">
        <v>2763</v>
      </c>
      <c r="B709" s="9" t="s">
        <v>2764</v>
      </c>
      <c r="C709" s="9" t="s">
        <v>119</v>
      </c>
      <c r="D709" s="9" t="s">
        <v>118</v>
      </c>
      <c r="E709" s="9" t="s">
        <v>120</v>
      </c>
      <c r="F709" s="9" t="s">
        <v>121</v>
      </c>
      <c r="G709" s="9"/>
      <c r="H709" s="9" t="n">
        <v>15</v>
      </c>
      <c r="I709" s="9" t="s">
        <v>117</v>
      </c>
    </row>
    <row r="710" customFormat="false" ht="15" hidden="false" customHeight="false" outlineLevel="0" collapsed="false">
      <c r="A710" s="9" t="s">
        <v>2765</v>
      </c>
      <c r="B710" s="9" t="s">
        <v>2766</v>
      </c>
      <c r="C710" s="9" t="s">
        <v>119</v>
      </c>
      <c r="D710" s="9" t="s">
        <v>118</v>
      </c>
      <c r="E710" s="9" t="s">
        <v>120</v>
      </c>
      <c r="F710" s="9" t="s">
        <v>121</v>
      </c>
      <c r="G710" s="9"/>
      <c r="H710" s="9" t="n">
        <v>17</v>
      </c>
      <c r="I710" s="9" t="s">
        <v>117</v>
      </c>
    </row>
    <row r="711" customFormat="false" ht="15" hidden="false" customHeight="false" outlineLevel="0" collapsed="false">
      <c r="A711" s="9" t="s">
        <v>2767</v>
      </c>
      <c r="B711" s="9" t="s">
        <v>2768</v>
      </c>
      <c r="C711" s="9" t="s">
        <v>119</v>
      </c>
      <c r="D711" s="9" t="s">
        <v>118</v>
      </c>
      <c r="E711" s="9" t="s">
        <v>120</v>
      </c>
      <c r="F711" s="9" t="s">
        <v>121</v>
      </c>
      <c r="G711" s="9"/>
      <c r="H711" s="9" t="n">
        <v>18</v>
      </c>
      <c r="I711" s="9" t="s">
        <v>117</v>
      </c>
    </row>
    <row r="712" customFormat="false" ht="15" hidden="false" customHeight="false" outlineLevel="0" collapsed="false">
      <c r="A712" s="9" t="s">
        <v>2769</v>
      </c>
      <c r="B712" s="9" t="s">
        <v>2770</v>
      </c>
      <c r="C712" s="9" t="s">
        <v>119</v>
      </c>
      <c r="D712" s="9" t="s">
        <v>118</v>
      </c>
      <c r="E712" s="9" t="s">
        <v>120</v>
      </c>
      <c r="F712" s="9" t="s">
        <v>121</v>
      </c>
      <c r="G712" s="9"/>
      <c r="H712" s="9" t="n">
        <v>19</v>
      </c>
      <c r="I712" s="9" t="s">
        <v>117</v>
      </c>
    </row>
    <row r="713" customFormat="false" ht="15" hidden="false" customHeight="false" outlineLevel="0" collapsed="false">
      <c r="A713" s="9" t="s">
        <v>2771</v>
      </c>
      <c r="B713" s="9" t="s">
        <v>2772</v>
      </c>
      <c r="C713" s="9" t="s">
        <v>119</v>
      </c>
      <c r="D713" s="9" t="s">
        <v>118</v>
      </c>
      <c r="E713" s="9" t="s">
        <v>120</v>
      </c>
      <c r="F713" s="9" t="s">
        <v>121</v>
      </c>
      <c r="G713" s="9"/>
      <c r="H713" s="9" t="n">
        <v>21</v>
      </c>
      <c r="I713" s="9" t="s">
        <v>117</v>
      </c>
    </row>
    <row r="714" customFormat="false" ht="15" hidden="false" customHeight="false" outlineLevel="0" collapsed="false">
      <c r="A714" s="9" t="s">
        <v>2773</v>
      </c>
      <c r="B714" s="9" t="s">
        <v>2774</v>
      </c>
      <c r="C714" s="9" t="s">
        <v>119</v>
      </c>
      <c r="D714" s="9" t="s">
        <v>118</v>
      </c>
      <c r="E714" s="9" t="s">
        <v>120</v>
      </c>
      <c r="F714" s="9" t="s">
        <v>121</v>
      </c>
      <c r="G714" s="9" t="s">
        <v>1543</v>
      </c>
      <c r="H714" s="9" t="n">
        <v>22</v>
      </c>
      <c r="I714" s="9" t="s">
        <v>117</v>
      </c>
    </row>
    <row r="715" customFormat="false" ht="15" hidden="false" customHeight="false" outlineLevel="0" collapsed="false">
      <c r="A715" s="9" t="s">
        <v>2775</v>
      </c>
      <c r="B715" s="9" t="s">
        <v>2776</v>
      </c>
      <c r="C715" s="9" t="s">
        <v>119</v>
      </c>
      <c r="D715" s="9" t="s">
        <v>118</v>
      </c>
      <c r="E715" s="9" t="s">
        <v>120</v>
      </c>
      <c r="F715" s="9" t="s">
        <v>121</v>
      </c>
      <c r="G715" s="9"/>
      <c r="H715" s="9" t="n">
        <v>23</v>
      </c>
      <c r="I715" s="9" t="s">
        <v>117</v>
      </c>
    </row>
    <row r="716" customFormat="false" ht="15" hidden="false" customHeight="false" outlineLevel="0" collapsed="false">
      <c r="A716" s="9" t="s">
        <v>2777</v>
      </c>
      <c r="B716" s="9" t="s">
        <v>2778</v>
      </c>
      <c r="C716" s="9" t="s">
        <v>119</v>
      </c>
      <c r="D716" s="9" t="s">
        <v>118</v>
      </c>
      <c r="E716" s="9" t="s">
        <v>120</v>
      </c>
      <c r="F716" s="9" t="s">
        <v>121</v>
      </c>
      <c r="G716" s="9"/>
      <c r="H716" s="9" t="n">
        <v>29</v>
      </c>
      <c r="I716" s="9" t="s">
        <v>117</v>
      </c>
    </row>
    <row r="717" customFormat="false" ht="15" hidden="false" customHeight="false" outlineLevel="0" collapsed="false">
      <c r="A717" s="9" t="s">
        <v>2779</v>
      </c>
      <c r="B717" s="9" t="s">
        <v>2780</v>
      </c>
      <c r="C717" s="9" t="s">
        <v>119</v>
      </c>
      <c r="D717" s="9" t="s">
        <v>118</v>
      </c>
      <c r="E717" s="9" t="s">
        <v>120</v>
      </c>
      <c r="F717" s="9" t="s">
        <v>121</v>
      </c>
      <c r="G717" s="9"/>
      <c r="H717" s="9" t="n">
        <v>31</v>
      </c>
      <c r="I717" s="9" t="s">
        <v>117</v>
      </c>
    </row>
    <row r="718" customFormat="false" ht="15" hidden="false" customHeight="false" outlineLevel="0" collapsed="false">
      <c r="A718" s="9" t="s">
        <v>2781</v>
      </c>
      <c r="B718" s="9" t="s">
        <v>2782</v>
      </c>
      <c r="C718" s="9" t="s">
        <v>119</v>
      </c>
      <c r="D718" s="9" t="s">
        <v>118</v>
      </c>
      <c r="E718" s="9" t="s">
        <v>120</v>
      </c>
      <c r="F718" s="9" t="s">
        <v>121</v>
      </c>
      <c r="G718" s="9"/>
      <c r="H718" s="9" t="n">
        <v>35</v>
      </c>
      <c r="I718" s="9" t="s">
        <v>117</v>
      </c>
    </row>
    <row r="719" customFormat="false" ht="15" hidden="false" customHeight="false" outlineLevel="0" collapsed="false">
      <c r="A719" s="9" t="s">
        <v>2783</v>
      </c>
      <c r="B719" s="9" t="s">
        <v>2784</v>
      </c>
      <c r="C719" s="9" t="s">
        <v>119</v>
      </c>
      <c r="D719" s="9" t="s">
        <v>118</v>
      </c>
      <c r="E719" s="9" t="s">
        <v>120</v>
      </c>
      <c r="F719" s="9" t="s">
        <v>121</v>
      </c>
      <c r="G719" s="9"/>
      <c r="H719" s="9" t="n">
        <v>39</v>
      </c>
      <c r="I719" s="9" t="s">
        <v>117</v>
      </c>
    </row>
    <row r="720" customFormat="false" ht="15" hidden="false" customHeight="false" outlineLevel="0" collapsed="false">
      <c r="A720" s="9" t="s">
        <v>2785</v>
      </c>
      <c r="B720" s="9" t="s">
        <v>2786</v>
      </c>
      <c r="C720" s="9" t="s">
        <v>119</v>
      </c>
      <c r="D720" s="9" t="s">
        <v>118</v>
      </c>
      <c r="E720" s="9" t="s">
        <v>120</v>
      </c>
      <c r="F720" s="9" t="s">
        <v>121</v>
      </c>
      <c r="G720" s="9" t="s">
        <v>1631</v>
      </c>
      <c r="H720" s="9" t="n">
        <v>42</v>
      </c>
      <c r="I720" s="9" t="s">
        <v>117</v>
      </c>
    </row>
    <row r="721" customFormat="false" ht="15" hidden="false" customHeight="false" outlineLevel="0" collapsed="false">
      <c r="A721" s="9" t="s">
        <v>2787</v>
      </c>
      <c r="B721" s="9" t="s">
        <v>2788</v>
      </c>
      <c r="C721" s="9" t="s">
        <v>119</v>
      </c>
      <c r="D721" s="9" t="s">
        <v>118</v>
      </c>
      <c r="E721" s="9" t="s">
        <v>120</v>
      </c>
      <c r="F721" s="9" t="s">
        <v>121</v>
      </c>
      <c r="G721" s="9"/>
      <c r="H721" s="9" t="n">
        <v>50</v>
      </c>
      <c r="I721" s="9" t="s">
        <v>117</v>
      </c>
    </row>
    <row r="722" customFormat="false" ht="15" hidden="false" customHeight="false" outlineLevel="0" collapsed="false">
      <c r="A722" s="9" t="s">
        <v>2383</v>
      </c>
      <c r="B722" s="9" t="s">
        <v>2789</v>
      </c>
      <c r="C722" s="9" t="s">
        <v>119</v>
      </c>
      <c r="D722" s="9" t="s">
        <v>118</v>
      </c>
      <c r="E722" s="9" t="s">
        <v>120</v>
      </c>
      <c r="F722" s="9" t="s">
        <v>121</v>
      </c>
      <c r="G722" s="9"/>
      <c r="H722" s="9" t="n">
        <v>51</v>
      </c>
      <c r="I722" s="9" t="s">
        <v>117</v>
      </c>
    </row>
    <row r="723" customFormat="false" ht="15" hidden="false" customHeight="false" outlineLevel="0" collapsed="false">
      <c r="A723" s="9" t="s">
        <v>2790</v>
      </c>
      <c r="B723" s="9" t="s">
        <v>2791</v>
      </c>
      <c r="C723" s="9" t="s">
        <v>119</v>
      </c>
      <c r="D723" s="9" t="s">
        <v>118</v>
      </c>
      <c r="E723" s="9" t="s">
        <v>120</v>
      </c>
      <c r="F723" s="9" t="s">
        <v>121</v>
      </c>
      <c r="G723" s="9" t="s">
        <v>1510</v>
      </c>
      <c r="H723" s="9" t="n">
        <v>52</v>
      </c>
      <c r="I723" s="9" t="s">
        <v>117</v>
      </c>
    </row>
    <row r="724" customFormat="false" ht="15" hidden="false" customHeight="false" outlineLevel="0" collapsed="false">
      <c r="A724" s="9" t="s">
        <v>2792</v>
      </c>
      <c r="B724" s="9" t="s">
        <v>2793</v>
      </c>
      <c r="C724" s="9" t="s">
        <v>119</v>
      </c>
      <c r="D724" s="9" t="s">
        <v>118</v>
      </c>
      <c r="E724" s="9" t="s">
        <v>120</v>
      </c>
      <c r="F724" s="9" t="s">
        <v>121</v>
      </c>
      <c r="G724" s="9"/>
      <c r="H724" s="9" t="n">
        <v>56</v>
      </c>
      <c r="I724" s="9" t="s">
        <v>117</v>
      </c>
    </row>
    <row r="725" customFormat="false" ht="15" hidden="false" customHeight="false" outlineLevel="0" collapsed="false">
      <c r="A725" s="9" t="s">
        <v>2794</v>
      </c>
      <c r="B725" s="9" t="s">
        <v>2795</v>
      </c>
      <c r="C725" s="9" t="s">
        <v>119</v>
      </c>
      <c r="D725" s="9" t="s">
        <v>118</v>
      </c>
      <c r="E725" s="9" t="s">
        <v>120</v>
      </c>
      <c r="F725" s="9" t="s">
        <v>121</v>
      </c>
      <c r="G725" s="9" t="s">
        <v>1510</v>
      </c>
      <c r="H725" s="9" t="n">
        <v>67</v>
      </c>
      <c r="I725" s="9" t="s">
        <v>117</v>
      </c>
    </row>
    <row r="726" customFormat="false" ht="15" hidden="false" customHeight="false" outlineLevel="0" collapsed="false">
      <c r="A726" s="9" t="s">
        <v>2796</v>
      </c>
      <c r="B726" s="9" t="s">
        <v>2797</v>
      </c>
      <c r="C726" s="9" t="s">
        <v>119</v>
      </c>
      <c r="D726" s="9" t="s">
        <v>118</v>
      </c>
      <c r="E726" s="9" t="s">
        <v>120</v>
      </c>
      <c r="F726" s="9" t="s">
        <v>121</v>
      </c>
      <c r="G726" s="9" t="s">
        <v>1510</v>
      </c>
      <c r="H726" s="9" t="n">
        <v>69</v>
      </c>
      <c r="I726" s="9" t="s">
        <v>117</v>
      </c>
    </row>
    <row r="727" customFormat="false" ht="15" hidden="false" customHeight="false" outlineLevel="0" collapsed="false">
      <c r="A727" s="9" t="s">
        <v>2798</v>
      </c>
      <c r="B727" s="9" t="s">
        <v>2799</v>
      </c>
      <c r="C727" s="9" t="s">
        <v>123</v>
      </c>
      <c r="D727" s="9" t="s">
        <v>122</v>
      </c>
      <c r="E727" s="9" t="s">
        <v>124</v>
      </c>
      <c r="F727" s="9" t="s">
        <v>125</v>
      </c>
      <c r="G727" s="9" t="s">
        <v>1631</v>
      </c>
      <c r="H727" s="9" t="n">
        <v>1</v>
      </c>
      <c r="I727" s="9" t="s">
        <v>117</v>
      </c>
    </row>
    <row r="728" customFormat="false" ht="15" hidden="false" customHeight="false" outlineLevel="0" collapsed="false">
      <c r="A728" s="9" t="s">
        <v>1798</v>
      </c>
      <c r="B728" s="9" t="s">
        <v>2800</v>
      </c>
      <c r="C728" s="9" t="s">
        <v>123</v>
      </c>
      <c r="D728" s="9" t="s">
        <v>122</v>
      </c>
      <c r="E728" s="9" t="s">
        <v>124</v>
      </c>
      <c r="F728" s="9" t="s">
        <v>125</v>
      </c>
      <c r="G728" s="9"/>
      <c r="H728" s="9" t="n">
        <v>2</v>
      </c>
      <c r="I728" s="9" t="s">
        <v>117</v>
      </c>
    </row>
    <row r="729" customFormat="false" ht="15" hidden="false" customHeight="false" outlineLevel="0" collapsed="false">
      <c r="A729" s="9" t="s">
        <v>2801</v>
      </c>
      <c r="B729" s="9" t="s">
        <v>2802</v>
      </c>
      <c r="C729" s="9" t="s">
        <v>123</v>
      </c>
      <c r="D729" s="9" t="s">
        <v>122</v>
      </c>
      <c r="E729" s="9" t="s">
        <v>124</v>
      </c>
      <c r="F729" s="9" t="s">
        <v>125</v>
      </c>
      <c r="G729" s="9" t="s">
        <v>1510</v>
      </c>
      <c r="H729" s="9" t="n">
        <v>7</v>
      </c>
      <c r="I729" s="9" t="s">
        <v>117</v>
      </c>
    </row>
    <row r="730" customFormat="false" ht="15" hidden="false" customHeight="false" outlineLevel="0" collapsed="false">
      <c r="A730" s="9" t="s">
        <v>2803</v>
      </c>
      <c r="B730" s="9" t="s">
        <v>2804</v>
      </c>
      <c r="C730" s="9" t="s">
        <v>123</v>
      </c>
      <c r="D730" s="9" t="s">
        <v>122</v>
      </c>
      <c r="E730" s="9" t="s">
        <v>124</v>
      </c>
      <c r="F730" s="9" t="s">
        <v>125</v>
      </c>
      <c r="G730" s="9" t="s">
        <v>1510</v>
      </c>
      <c r="H730" s="9" t="n">
        <v>13</v>
      </c>
      <c r="I730" s="9" t="s">
        <v>117</v>
      </c>
    </row>
    <row r="731" customFormat="false" ht="15" hidden="false" customHeight="false" outlineLevel="0" collapsed="false">
      <c r="A731" s="9" t="s">
        <v>1985</v>
      </c>
      <c r="B731" s="9" t="s">
        <v>2805</v>
      </c>
      <c r="C731" s="9" t="s">
        <v>123</v>
      </c>
      <c r="D731" s="9" t="s">
        <v>122</v>
      </c>
      <c r="E731" s="9" t="s">
        <v>124</v>
      </c>
      <c r="F731" s="9" t="s">
        <v>125</v>
      </c>
      <c r="G731" s="9" t="s">
        <v>1510</v>
      </c>
      <c r="H731" s="9" t="n">
        <v>14</v>
      </c>
      <c r="I731" s="9" t="s">
        <v>117</v>
      </c>
    </row>
    <row r="732" customFormat="false" ht="15" hidden="false" customHeight="false" outlineLevel="0" collapsed="false">
      <c r="A732" s="9" t="s">
        <v>2806</v>
      </c>
      <c r="B732" s="9" t="s">
        <v>2807</v>
      </c>
      <c r="C732" s="9" t="s">
        <v>123</v>
      </c>
      <c r="D732" s="9" t="s">
        <v>122</v>
      </c>
      <c r="E732" s="9" t="s">
        <v>124</v>
      </c>
      <c r="F732" s="9" t="s">
        <v>125</v>
      </c>
      <c r="G732" s="9" t="s">
        <v>1510</v>
      </c>
      <c r="H732" s="9" t="n">
        <v>15</v>
      </c>
      <c r="I732" s="9" t="s">
        <v>117</v>
      </c>
    </row>
    <row r="733" customFormat="false" ht="15" hidden="false" customHeight="false" outlineLevel="0" collapsed="false">
      <c r="A733" s="9" t="s">
        <v>1677</v>
      </c>
      <c r="B733" s="9" t="s">
        <v>2808</v>
      </c>
      <c r="C733" s="9" t="s">
        <v>177</v>
      </c>
      <c r="D733" s="9" t="s">
        <v>176</v>
      </c>
      <c r="E733" s="9" t="s">
        <v>124</v>
      </c>
      <c r="F733" s="9" t="s">
        <v>125</v>
      </c>
      <c r="G733" s="9" t="s">
        <v>1631</v>
      </c>
      <c r="H733" s="9" t="n">
        <v>1</v>
      </c>
      <c r="I733" s="9" t="s">
        <v>117</v>
      </c>
    </row>
    <row r="734" customFormat="false" ht="15" hidden="false" customHeight="false" outlineLevel="0" collapsed="false">
      <c r="A734" s="9" t="s">
        <v>2220</v>
      </c>
      <c r="B734" s="9" t="s">
        <v>2809</v>
      </c>
      <c r="C734" s="9" t="s">
        <v>181</v>
      </c>
      <c r="D734" s="9" t="s">
        <v>180</v>
      </c>
      <c r="E734" s="9" t="s">
        <v>182</v>
      </c>
      <c r="F734" s="9" t="s">
        <v>125</v>
      </c>
      <c r="G734" s="9"/>
      <c r="H734" s="9" t="n">
        <v>1</v>
      </c>
      <c r="I734" s="9" t="s">
        <v>103</v>
      </c>
    </row>
    <row r="735" customFormat="false" ht="15" hidden="false" customHeight="false" outlineLevel="0" collapsed="false">
      <c r="A735" s="9" t="s">
        <v>2810</v>
      </c>
      <c r="B735" s="9" t="s">
        <v>2811</v>
      </c>
      <c r="C735" s="9" t="s">
        <v>475</v>
      </c>
      <c r="D735" s="9" t="s">
        <v>474</v>
      </c>
      <c r="E735" s="9" t="s">
        <v>133</v>
      </c>
      <c r="F735" s="9" t="s">
        <v>125</v>
      </c>
      <c r="G735" s="9" t="s">
        <v>1510</v>
      </c>
      <c r="H735" s="9" t="n">
        <v>3</v>
      </c>
      <c r="I735" s="9" t="s">
        <v>117</v>
      </c>
    </row>
    <row r="736" customFormat="false" ht="15" hidden="false" customHeight="false" outlineLevel="0" collapsed="false">
      <c r="A736" s="9" t="s">
        <v>2812</v>
      </c>
      <c r="B736" s="9" t="s">
        <v>2813</v>
      </c>
      <c r="C736" s="9" t="s">
        <v>475</v>
      </c>
      <c r="D736" s="9" t="s">
        <v>474</v>
      </c>
      <c r="E736" s="9" t="s">
        <v>133</v>
      </c>
      <c r="F736" s="9" t="s">
        <v>125</v>
      </c>
      <c r="G736" s="9"/>
      <c r="H736" s="9" t="n">
        <v>7</v>
      </c>
      <c r="I736" s="9" t="s">
        <v>117</v>
      </c>
    </row>
    <row r="737" customFormat="false" ht="15" hidden="false" customHeight="false" outlineLevel="0" collapsed="false">
      <c r="A737" s="9" t="s">
        <v>2814</v>
      </c>
      <c r="B737" s="9" t="s">
        <v>2815</v>
      </c>
      <c r="C737" s="9" t="s">
        <v>475</v>
      </c>
      <c r="D737" s="9" t="s">
        <v>474</v>
      </c>
      <c r="E737" s="9" t="s">
        <v>133</v>
      </c>
      <c r="F737" s="9" t="s">
        <v>125</v>
      </c>
      <c r="G737" s="9"/>
      <c r="H737" s="9" t="n">
        <v>8</v>
      </c>
      <c r="I737" s="9" t="s">
        <v>117</v>
      </c>
    </row>
    <row r="738" customFormat="false" ht="15" hidden="false" customHeight="false" outlineLevel="0" collapsed="false">
      <c r="A738" s="9" t="s">
        <v>2816</v>
      </c>
      <c r="B738" s="9" t="s">
        <v>2817</v>
      </c>
      <c r="C738" s="9" t="s">
        <v>475</v>
      </c>
      <c r="D738" s="9" t="s">
        <v>474</v>
      </c>
      <c r="E738" s="9" t="s">
        <v>133</v>
      </c>
      <c r="F738" s="9" t="s">
        <v>125</v>
      </c>
      <c r="G738" s="9"/>
      <c r="H738" s="9" t="n">
        <v>12</v>
      </c>
      <c r="I738" s="9" t="s">
        <v>117</v>
      </c>
    </row>
    <row r="739" customFormat="false" ht="15" hidden="false" customHeight="false" outlineLevel="0" collapsed="false">
      <c r="A739" s="9" t="s">
        <v>2531</v>
      </c>
      <c r="B739" s="9" t="s">
        <v>2818</v>
      </c>
      <c r="C739" s="9" t="s">
        <v>475</v>
      </c>
      <c r="D739" s="9" t="s">
        <v>474</v>
      </c>
      <c r="E739" s="9" t="s">
        <v>133</v>
      </c>
      <c r="F739" s="9" t="s">
        <v>125</v>
      </c>
      <c r="G739" s="9"/>
      <c r="H739" s="9" t="n">
        <v>16</v>
      </c>
      <c r="I739" s="9" t="s">
        <v>117</v>
      </c>
    </row>
    <row r="740" customFormat="false" ht="15" hidden="false" customHeight="false" outlineLevel="0" collapsed="false">
      <c r="A740" s="9" t="s">
        <v>1576</v>
      </c>
      <c r="B740" s="9" t="s">
        <v>2819</v>
      </c>
      <c r="C740" s="9" t="s">
        <v>475</v>
      </c>
      <c r="D740" s="9" t="s">
        <v>474</v>
      </c>
      <c r="E740" s="9" t="s">
        <v>133</v>
      </c>
      <c r="F740" s="9" t="s">
        <v>125</v>
      </c>
      <c r="G740" s="9"/>
      <c r="H740" s="9" t="n">
        <v>17</v>
      </c>
      <c r="I740" s="9" t="s">
        <v>117</v>
      </c>
    </row>
    <row r="741" customFormat="false" ht="15" hidden="false" customHeight="false" outlineLevel="0" collapsed="false">
      <c r="A741" s="9" t="s">
        <v>1862</v>
      </c>
      <c r="B741" s="9" t="s">
        <v>2820</v>
      </c>
      <c r="C741" s="9" t="s">
        <v>169</v>
      </c>
      <c r="D741" s="9" t="s">
        <v>168</v>
      </c>
      <c r="E741" s="9" t="s">
        <v>120</v>
      </c>
      <c r="F741" s="9" t="s">
        <v>170</v>
      </c>
      <c r="G741" s="9"/>
      <c r="H741" s="9" t="n">
        <v>1</v>
      </c>
      <c r="I741" s="9" t="s">
        <v>117</v>
      </c>
    </row>
    <row r="742" customFormat="false" ht="15" hidden="false" customHeight="false" outlineLevel="0" collapsed="false">
      <c r="A742" s="9" t="s">
        <v>2821</v>
      </c>
      <c r="B742" s="9" t="s">
        <v>2822</v>
      </c>
      <c r="C742" s="9" t="s">
        <v>169</v>
      </c>
      <c r="D742" s="9" t="s">
        <v>168</v>
      </c>
      <c r="E742" s="9" t="s">
        <v>120</v>
      </c>
      <c r="F742" s="9" t="s">
        <v>170</v>
      </c>
      <c r="G742" s="9"/>
      <c r="H742" s="9" t="n">
        <v>4</v>
      </c>
      <c r="I742" s="9" t="s">
        <v>117</v>
      </c>
    </row>
    <row r="743" customFormat="false" ht="15" hidden="false" customHeight="false" outlineLevel="0" collapsed="false">
      <c r="A743" s="9" t="s">
        <v>2823</v>
      </c>
      <c r="B743" s="9" t="s">
        <v>2824</v>
      </c>
      <c r="C743" s="9" t="s">
        <v>169</v>
      </c>
      <c r="D743" s="9" t="s">
        <v>168</v>
      </c>
      <c r="E743" s="9" t="s">
        <v>120</v>
      </c>
      <c r="F743" s="9" t="s">
        <v>170</v>
      </c>
      <c r="G743" s="9"/>
      <c r="H743" s="9" t="n">
        <v>6</v>
      </c>
      <c r="I743" s="9" t="s">
        <v>117</v>
      </c>
    </row>
    <row r="744" customFormat="false" ht="15" hidden="false" customHeight="false" outlineLevel="0" collapsed="false">
      <c r="A744" s="9" t="s">
        <v>2825</v>
      </c>
      <c r="B744" s="9" t="s">
        <v>2826</v>
      </c>
      <c r="C744" s="9" t="s">
        <v>169</v>
      </c>
      <c r="D744" s="9" t="s">
        <v>168</v>
      </c>
      <c r="E744" s="9" t="s">
        <v>120</v>
      </c>
      <c r="F744" s="9" t="s">
        <v>170</v>
      </c>
      <c r="G744" s="9"/>
      <c r="H744" s="9" t="n">
        <v>7</v>
      </c>
      <c r="I744" s="9" t="s">
        <v>117</v>
      </c>
    </row>
    <row r="745" customFormat="false" ht="15" hidden="false" customHeight="false" outlineLevel="0" collapsed="false">
      <c r="A745" s="9" t="s">
        <v>2827</v>
      </c>
      <c r="B745" s="9" t="s">
        <v>2828</v>
      </c>
      <c r="C745" s="9" t="s">
        <v>169</v>
      </c>
      <c r="D745" s="9" t="s">
        <v>168</v>
      </c>
      <c r="E745" s="9" t="s">
        <v>120</v>
      </c>
      <c r="F745" s="9" t="s">
        <v>170</v>
      </c>
      <c r="G745" s="9"/>
      <c r="H745" s="9" t="n">
        <v>14</v>
      </c>
      <c r="I745" s="9" t="s">
        <v>117</v>
      </c>
    </row>
    <row r="746" customFormat="false" ht="15" hidden="false" customHeight="false" outlineLevel="0" collapsed="false">
      <c r="A746" s="9" t="s">
        <v>1828</v>
      </c>
      <c r="B746" s="9" t="s">
        <v>2829</v>
      </c>
      <c r="C746" s="9" t="s">
        <v>169</v>
      </c>
      <c r="D746" s="9" t="s">
        <v>168</v>
      </c>
      <c r="E746" s="9" t="s">
        <v>120</v>
      </c>
      <c r="F746" s="9" t="s">
        <v>170</v>
      </c>
      <c r="G746" s="9"/>
      <c r="H746" s="9" t="n">
        <v>15</v>
      </c>
      <c r="I746" s="9" t="s">
        <v>117</v>
      </c>
    </row>
    <row r="747" customFormat="false" ht="15" hidden="false" customHeight="false" outlineLevel="0" collapsed="false">
      <c r="A747" s="9" t="s">
        <v>2830</v>
      </c>
      <c r="B747" s="9" t="s">
        <v>2831</v>
      </c>
      <c r="C747" s="9" t="s">
        <v>169</v>
      </c>
      <c r="D747" s="9" t="s">
        <v>168</v>
      </c>
      <c r="E747" s="9" t="s">
        <v>120</v>
      </c>
      <c r="F747" s="9" t="s">
        <v>170</v>
      </c>
      <c r="G747" s="9"/>
      <c r="H747" s="9" t="n">
        <v>19</v>
      </c>
      <c r="I747" s="9" t="s">
        <v>117</v>
      </c>
    </row>
    <row r="748" customFormat="false" ht="15" hidden="false" customHeight="false" outlineLevel="0" collapsed="false">
      <c r="A748" s="9" t="s">
        <v>2096</v>
      </c>
      <c r="B748" s="9" t="s">
        <v>2832</v>
      </c>
      <c r="C748" s="9" t="s">
        <v>172</v>
      </c>
      <c r="D748" s="9" t="s">
        <v>171</v>
      </c>
      <c r="E748" s="9" t="s">
        <v>106</v>
      </c>
      <c r="F748" s="9" t="s">
        <v>173</v>
      </c>
      <c r="G748" s="9"/>
      <c r="H748" s="9" t="n">
        <v>2</v>
      </c>
      <c r="I748" s="9" t="s">
        <v>117</v>
      </c>
    </row>
    <row r="749" customFormat="false" ht="15" hidden="false" customHeight="false" outlineLevel="0" collapsed="false">
      <c r="A749" s="9" t="s">
        <v>2833</v>
      </c>
      <c r="B749" s="9" t="s">
        <v>2834</v>
      </c>
      <c r="C749" s="9" t="s">
        <v>172</v>
      </c>
      <c r="D749" s="9" t="s">
        <v>171</v>
      </c>
      <c r="E749" s="9" t="s">
        <v>106</v>
      </c>
      <c r="F749" s="9" t="s">
        <v>173</v>
      </c>
      <c r="G749" s="9"/>
      <c r="H749" s="9" t="n">
        <v>3</v>
      </c>
      <c r="I749" s="9" t="s">
        <v>117</v>
      </c>
    </row>
    <row r="750" customFormat="false" ht="15" hidden="false" customHeight="false" outlineLevel="0" collapsed="false">
      <c r="A750" s="9" t="s">
        <v>2835</v>
      </c>
      <c r="B750" s="9" t="s">
        <v>2836</v>
      </c>
      <c r="C750" s="9" t="s">
        <v>199</v>
      </c>
      <c r="D750" s="9" t="s">
        <v>198</v>
      </c>
      <c r="E750" s="9" t="s">
        <v>200</v>
      </c>
      <c r="F750" s="9" t="s">
        <v>173</v>
      </c>
      <c r="G750" s="9" t="s">
        <v>2837</v>
      </c>
      <c r="H750" s="9" t="n">
        <v>8</v>
      </c>
      <c r="I750" s="9" t="s">
        <v>117</v>
      </c>
    </row>
    <row r="751" customFormat="false" ht="15" hidden="false" customHeight="false" outlineLevel="0" collapsed="false">
      <c r="A751" s="9" t="s">
        <v>2838</v>
      </c>
      <c r="B751" s="9" t="s">
        <v>2839</v>
      </c>
      <c r="C751" s="9" t="s">
        <v>199</v>
      </c>
      <c r="D751" s="9" t="s">
        <v>198</v>
      </c>
      <c r="E751" s="9" t="s">
        <v>200</v>
      </c>
      <c r="F751" s="9" t="s">
        <v>173</v>
      </c>
      <c r="G751" s="9" t="s">
        <v>1510</v>
      </c>
      <c r="H751" s="9" t="n">
        <v>10</v>
      </c>
      <c r="I751" s="9" t="s">
        <v>117</v>
      </c>
    </row>
    <row r="752" customFormat="false" ht="15" hidden="false" customHeight="false" outlineLevel="0" collapsed="false">
      <c r="A752" s="9" t="s">
        <v>2840</v>
      </c>
      <c r="B752" s="9" t="s">
        <v>2841</v>
      </c>
      <c r="C752" s="9" t="s">
        <v>199</v>
      </c>
      <c r="D752" s="9" t="s">
        <v>198</v>
      </c>
      <c r="E752" s="9" t="s">
        <v>200</v>
      </c>
      <c r="F752" s="9" t="s">
        <v>173</v>
      </c>
      <c r="G752" s="9"/>
      <c r="H752" s="9" t="n">
        <v>20</v>
      </c>
      <c r="I752" s="9" t="s">
        <v>117</v>
      </c>
    </row>
    <row r="753" customFormat="false" ht="15" hidden="false" customHeight="false" outlineLevel="0" collapsed="false">
      <c r="A753" s="9" t="s">
        <v>2842</v>
      </c>
      <c r="B753" s="9" t="s">
        <v>2843</v>
      </c>
      <c r="C753" s="9" t="s">
        <v>199</v>
      </c>
      <c r="D753" s="9" t="s">
        <v>198</v>
      </c>
      <c r="E753" s="9" t="s">
        <v>200</v>
      </c>
      <c r="F753" s="9" t="s">
        <v>173</v>
      </c>
      <c r="G753" s="9" t="s">
        <v>1510</v>
      </c>
      <c r="H753" s="9" t="n">
        <v>21</v>
      </c>
      <c r="I753" s="9" t="s">
        <v>117</v>
      </c>
    </row>
    <row r="754" customFormat="false" ht="15" hidden="false" customHeight="false" outlineLevel="0" collapsed="false">
      <c r="A754" s="9" t="s">
        <v>2844</v>
      </c>
      <c r="B754" s="9" t="s">
        <v>2845</v>
      </c>
      <c r="C754" s="9" t="s">
        <v>199</v>
      </c>
      <c r="D754" s="9" t="s">
        <v>198</v>
      </c>
      <c r="E754" s="9" t="s">
        <v>200</v>
      </c>
      <c r="F754" s="9" t="s">
        <v>173</v>
      </c>
      <c r="G754" s="9" t="s">
        <v>1510</v>
      </c>
      <c r="H754" s="9" t="n">
        <v>23</v>
      </c>
      <c r="I754" s="9" t="s">
        <v>117</v>
      </c>
    </row>
    <row r="755" customFormat="false" ht="15" hidden="false" customHeight="false" outlineLevel="0" collapsed="false">
      <c r="A755" s="9" t="s">
        <v>2846</v>
      </c>
      <c r="B755" s="9" t="s">
        <v>2847</v>
      </c>
      <c r="C755" s="9" t="s">
        <v>199</v>
      </c>
      <c r="D755" s="9" t="s">
        <v>198</v>
      </c>
      <c r="E755" s="9" t="s">
        <v>200</v>
      </c>
      <c r="F755" s="9" t="s">
        <v>173</v>
      </c>
      <c r="G755" s="9" t="s">
        <v>1510</v>
      </c>
      <c r="H755" s="9" t="n">
        <v>27</v>
      </c>
      <c r="I755" s="9" t="s">
        <v>117</v>
      </c>
    </row>
    <row r="756" customFormat="false" ht="15" hidden="false" customHeight="false" outlineLevel="0" collapsed="false">
      <c r="A756" s="9" t="s">
        <v>2848</v>
      </c>
      <c r="B756" s="9" t="s">
        <v>2849</v>
      </c>
      <c r="C756" s="9" t="s">
        <v>199</v>
      </c>
      <c r="D756" s="9" t="s">
        <v>198</v>
      </c>
      <c r="E756" s="9" t="s">
        <v>200</v>
      </c>
      <c r="F756" s="9" t="s">
        <v>173</v>
      </c>
      <c r="G756" s="9"/>
      <c r="H756" s="9" t="n">
        <v>28</v>
      </c>
      <c r="I756" s="9" t="s">
        <v>117</v>
      </c>
    </row>
    <row r="757" customFormat="false" ht="15" hidden="false" customHeight="false" outlineLevel="0" collapsed="false">
      <c r="A757" s="9" t="s">
        <v>2850</v>
      </c>
      <c r="B757" s="9" t="s">
        <v>2851</v>
      </c>
      <c r="C757" s="9" t="s">
        <v>199</v>
      </c>
      <c r="D757" s="9" t="s">
        <v>198</v>
      </c>
      <c r="E757" s="9" t="s">
        <v>200</v>
      </c>
      <c r="F757" s="9" t="s">
        <v>173</v>
      </c>
      <c r="G757" s="9"/>
      <c r="H757" s="9" t="n">
        <v>29</v>
      </c>
      <c r="I757" s="9" t="s">
        <v>117</v>
      </c>
    </row>
    <row r="758" customFormat="false" ht="15" hidden="false" customHeight="false" outlineLevel="0" collapsed="false">
      <c r="A758" s="9" t="s">
        <v>2852</v>
      </c>
      <c r="B758" s="9" t="s">
        <v>2853</v>
      </c>
      <c r="C758" s="9" t="s">
        <v>199</v>
      </c>
      <c r="D758" s="9" t="s">
        <v>198</v>
      </c>
      <c r="E758" s="9" t="s">
        <v>200</v>
      </c>
      <c r="F758" s="9" t="s">
        <v>173</v>
      </c>
      <c r="G758" s="9" t="s">
        <v>1631</v>
      </c>
      <c r="H758" s="9" t="n">
        <v>30</v>
      </c>
      <c r="I758" s="9" t="s">
        <v>117</v>
      </c>
    </row>
    <row r="759" customFormat="false" ht="15" hidden="false" customHeight="false" outlineLevel="0" collapsed="false">
      <c r="A759" s="9" t="s">
        <v>2854</v>
      </c>
      <c r="B759" s="9" t="s">
        <v>2855</v>
      </c>
      <c r="C759" s="9" t="s">
        <v>199</v>
      </c>
      <c r="D759" s="9" t="s">
        <v>198</v>
      </c>
      <c r="E759" s="9" t="s">
        <v>200</v>
      </c>
      <c r="F759" s="9" t="s">
        <v>173</v>
      </c>
      <c r="G759" s="9" t="s">
        <v>1631</v>
      </c>
      <c r="H759" s="9" t="n">
        <v>31</v>
      </c>
      <c r="I759" s="9" t="s">
        <v>117</v>
      </c>
    </row>
    <row r="760" customFormat="false" ht="15" hidden="false" customHeight="false" outlineLevel="0" collapsed="false">
      <c r="A760" s="9" t="s">
        <v>2856</v>
      </c>
      <c r="B760" s="9" t="s">
        <v>2857</v>
      </c>
      <c r="C760" s="9" t="s">
        <v>199</v>
      </c>
      <c r="D760" s="9" t="s">
        <v>198</v>
      </c>
      <c r="E760" s="9" t="s">
        <v>200</v>
      </c>
      <c r="F760" s="9" t="s">
        <v>173</v>
      </c>
      <c r="G760" s="9"/>
      <c r="H760" s="9" t="n">
        <v>32</v>
      </c>
      <c r="I760" s="9" t="s">
        <v>117</v>
      </c>
    </row>
    <row r="761" customFormat="false" ht="15" hidden="false" customHeight="false" outlineLevel="0" collapsed="false">
      <c r="A761" s="9" t="s">
        <v>2858</v>
      </c>
      <c r="B761" s="9" t="s">
        <v>2859</v>
      </c>
      <c r="C761" s="9" t="s">
        <v>199</v>
      </c>
      <c r="D761" s="9" t="s">
        <v>198</v>
      </c>
      <c r="E761" s="9" t="s">
        <v>200</v>
      </c>
      <c r="F761" s="9" t="s">
        <v>173</v>
      </c>
      <c r="G761" s="9" t="s">
        <v>1631</v>
      </c>
      <c r="H761" s="9" t="n">
        <v>34</v>
      </c>
      <c r="I761" s="9" t="s">
        <v>117</v>
      </c>
    </row>
    <row r="762" customFormat="false" ht="15" hidden="false" customHeight="false" outlineLevel="0" collapsed="false">
      <c r="A762" s="9" t="s">
        <v>2860</v>
      </c>
      <c r="B762" s="9" t="s">
        <v>2851</v>
      </c>
      <c r="C762" s="9" t="s">
        <v>199</v>
      </c>
      <c r="D762" s="9" t="s">
        <v>198</v>
      </c>
      <c r="E762" s="9" t="s">
        <v>200</v>
      </c>
      <c r="F762" s="9" t="s">
        <v>173</v>
      </c>
      <c r="G762" s="9"/>
      <c r="H762" s="9" t="n">
        <v>38</v>
      </c>
      <c r="I762" s="9" t="s">
        <v>117</v>
      </c>
    </row>
    <row r="763" customFormat="false" ht="15" hidden="false" customHeight="false" outlineLevel="0" collapsed="false">
      <c r="A763" s="9" t="s">
        <v>2861</v>
      </c>
      <c r="B763" s="9" t="s">
        <v>2862</v>
      </c>
      <c r="C763" s="9" t="s">
        <v>199</v>
      </c>
      <c r="D763" s="9" t="s">
        <v>198</v>
      </c>
      <c r="E763" s="9" t="s">
        <v>200</v>
      </c>
      <c r="F763" s="9" t="s">
        <v>173</v>
      </c>
      <c r="G763" s="9"/>
      <c r="H763" s="9" t="n">
        <v>40</v>
      </c>
      <c r="I763" s="9" t="s">
        <v>117</v>
      </c>
    </row>
    <row r="764" customFormat="false" ht="15" hidden="false" customHeight="false" outlineLevel="0" collapsed="false">
      <c r="A764" s="9" t="s">
        <v>2863</v>
      </c>
      <c r="B764" s="9" t="s">
        <v>2864</v>
      </c>
      <c r="C764" s="9" t="s">
        <v>199</v>
      </c>
      <c r="D764" s="9" t="s">
        <v>198</v>
      </c>
      <c r="E764" s="9" t="s">
        <v>200</v>
      </c>
      <c r="F764" s="9" t="s">
        <v>173</v>
      </c>
      <c r="G764" s="9" t="s">
        <v>1631</v>
      </c>
      <c r="H764" s="9" t="n">
        <v>41</v>
      </c>
      <c r="I764" s="9" t="s">
        <v>117</v>
      </c>
    </row>
    <row r="765" customFormat="false" ht="15" hidden="false" customHeight="false" outlineLevel="0" collapsed="false">
      <c r="A765" s="9" t="s">
        <v>2865</v>
      </c>
      <c r="B765" s="9" t="s">
        <v>2866</v>
      </c>
      <c r="C765" s="9" t="s">
        <v>199</v>
      </c>
      <c r="D765" s="9" t="s">
        <v>198</v>
      </c>
      <c r="E765" s="9" t="s">
        <v>200</v>
      </c>
      <c r="F765" s="9" t="s">
        <v>173</v>
      </c>
      <c r="G765" s="9"/>
      <c r="H765" s="9" t="n">
        <v>42</v>
      </c>
      <c r="I765" s="9" t="s">
        <v>117</v>
      </c>
    </row>
    <row r="766" customFormat="false" ht="15" hidden="false" customHeight="false" outlineLevel="0" collapsed="false">
      <c r="A766" s="9" t="s">
        <v>2867</v>
      </c>
      <c r="B766" s="9" t="s">
        <v>2868</v>
      </c>
      <c r="C766" s="9" t="s">
        <v>199</v>
      </c>
      <c r="D766" s="9" t="s">
        <v>198</v>
      </c>
      <c r="E766" s="9" t="s">
        <v>200</v>
      </c>
      <c r="F766" s="9" t="s">
        <v>173</v>
      </c>
      <c r="G766" s="9"/>
      <c r="H766" s="9" t="n">
        <v>44</v>
      </c>
      <c r="I766" s="9" t="s">
        <v>117</v>
      </c>
    </row>
    <row r="767" customFormat="false" ht="15" hidden="false" customHeight="false" outlineLevel="0" collapsed="false">
      <c r="A767" s="9" t="s">
        <v>2869</v>
      </c>
      <c r="B767" s="9" t="s">
        <v>2870</v>
      </c>
      <c r="C767" s="9" t="s">
        <v>199</v>
      </c>
      <c r="D767" s="9" t="s">
        <v>198</v>
      </c>
      <c r="E767" s="9" t="s">
        <v>200</v>
      </c>
      <c r="F767" s="9" t="s">
        <v>173</v>
      </c>
      <c r="G767" s="9"/>
      <c r="H767" s="9" t="n">
        <v>46</v>
      </c>
      <c r="I767" s="9" t="s">
        <v>117</v>
      </c>
    </row>
    <row r="768" customFormat="false" ht="15" hidden="false" customHeight="false" outlineLevel="0" collapsed="false">
      <c r="A768" s="9" t="s">
        <v>2871</v>
      </c>
      <c r="B768" s="9" t="s">
        <v>2872</v>
      </c>
      <c r="C768" s="9" t="s">
        <v>199</v>
      </c>
      <c r="D768" s="9" t="s">
        <v>198</v>
      </c>
      <c r="E768" s="9" t="s">
        <v>200</v>
      </c>
      <c r="F768" s="9" t="s">
        <v>173</v>
      </c>
      <c r="G768" s="9" t="s">
        <v>1510</v>
      </c>
      <c r="H768" s="9" t="n">
        <v>47</v>
      </c>
      <c r="I768" s="9" t="s">
        <v>117</v>
      </c>
    </row>
    <row r="769" customFormat="false" ht="15" hidden="false" customHeight="false" outlineLevel="0" collapsed="false">
      <c r="A769" s="9" t="s">
        <v>2873</v>
      </c>
      <c r="B769" s="9" t="s">
        <v>2874</v>
      </c>
      <c r="C769" s="9" t="s">
        <v>199</v>
      </c>
      <c r="D769" s="9" t="s">
        <v>198</v>
      </c>
      <c r="E769" s="9" t="s">
        <v>200</v>
      </c>
      <c r="F769" s="9" t="s">
        <v>173</v>
      </c>
      <c r="G769" s="9" t="s">
        <v>1510</v>
      </c>
      <c r="H769" s="9" t="n">
        <v>48</v>
      </c>
      <c r="I769" s="9" t="s">
        <v>117</v>
      </c>
    </row>
    <row r="770" customFormat="false" ht="15" hidden="false" customHeight="false" outlineLevel="0" collapsed="false">
      <c r="A770" s="9" t="s">
        <v>2875</v>
      </c>
      <c r="B770" s="9" t="s">
        <v>2876</v>
      </c>
      <c r="C770" s="9" t="s">
        <v>199</v>
      </c>
      <c r="D770" s="9" t="s">
        <v>198</v>
      </c>
      <c r="E770" s="9" t="s">
        <v>200</v>
      </c>
      <c r="F770" s="9" t="s">
        <v>173</v>
      </c>
      <c r="G770" s="9"/>
      <c r="H770" s="9" t="n">
        <v>49</v>
      </c>
      <c r="I770" s="9" t="s">
        <v>117</v>
      </c>
    </row>
    <row r="771" customFormat="false" ht="15" hidden="false" customHeight="false" outlineLevel="0" collapsed="false">
      <c r="A771" s="9" t="s">
        <v>2877</v>
      </c>
      <c r="B771" s="9" t="s">
        <v>2878</v>
      </c>
      <c r="C771" s="9" t="s">
        <v>199</v>
      </c>
      <c r="D771" s="9" t="s">
        <v>198</v>
      </c>
      <c r="E771" s="9" t="s">
        <v>200</v>
      </c>
      <c r="F771" s="9" t="s">
        <v>173</v>
      </c>
      <c r="G771" s="9"/>
      <c r="H771" s="9" t="n">
        <v>51</v>
      </c>
      <c r="I771" s="9" t="s">
        <v>117</v>
      </c>
    </row>
    <row r="772" customFormat="false" ht="15" hidden="false" customHeight="false" outlineLevel="0" collapsed="false">
      <c r="A772" s="9" t="s">
        <v>2879</v>
      </c>
      <c r="B772" s="9" t="s">
        <v>2880</v>
      </c>
      <c r="C772" s="9" t="s">
        <v>199</v>
      </c>
      <c r="D772" s="9" t="s">
        <v>198</v>
      </c>
      <c r="E772" s="9" t="s">
        <v>200</v>
      </c>
      <c r="F772" s="9" t="s">
        <v>173</v>
      </c>
      <c r="G772" s="9"/>
      <c r="H772" s="9" t="n">
        <v>52</v>
      </c>
      <c r="I772" s="9" t="s">
        <v>117</v>
      </c>
    </row>
    <row r="773" customFormat="false" ht="15" hidden="false" customHeight="false" outlineLevel="0" collapsed="false">
      <c r="A773" s="9" t="s">
        <v>2881</v>
      </c>
      <c r="B773" s="9" t="s">
        <v>2882</v>
      </c>
      <c r="C773" s="9" t="s">
        <v>199</v>
      </c>
      <c r="D773" s="9" t="s">
        <v>198</v>
      </c>
      <c r="E773" s="9" t="s">
        <v>200</v>
      </c>
      <c r="F773" s="9" t="s">
        <v>173</v>
      </c>
      <c r="G773" s="9"/>
      <c r="H773" s="9" t="n">
        <v>57</v>
      </c>
      <c r="I773" s="9" t="s">
        <v>117</v>
      </c>
    </row>
    <row r="774" customFormat="false" ht="15" hidden="false" customHeight="false" outlineLevel="0" collapsed="false">
      <c r="A774" s="9" t="s">
        <v>1506</v>
      </c>
      <c r="B774" s="9" t="s">
        <v>2883</v>
      </c>
      <c r="C774" s="9" t="s">
        <v>199</v>
      </c>
      <c r="D774" s="9" t="s">
        <v>198</v>
      </c>
      <c r="E774" s="9" t="s">
        <v>200</v>
      </c>
      <c r="F774" s="9" t="s">
        <v>173</v>
      </c>
      <c r="G774" s="9"/>
      <c r="H774" s="9" t="n">
        <v>62</v>
      </c>
      <c r="I774" s="9" t="s">
        <v>117</v>
      </c>
    </row>
    <row r="775" customFormat="false" ht="15" hidden="false" customHeight="false" outlineLevel="0" collapsed="false">
      <c r="A775" s="9" t="s">
        <v>2884</v>
      </c>
      <c r="B775" s="9" t="s">
        <v>2885</v>
      </c>
      <c r="C775" s="9" t="s">
        <v>199</v>
      </c>
      <c r="D775" s="9" t="s">
        <v>198</v>
      </c>
      <c r="E775" s="9" t="s">
        <v>200</v>
      </c>
      <c r="F775" s="9" t="s">
        <v>173</v>
      </c>
      <c r="G775" s="9" t="s">
        <v>1510</v>
      </c>
      <c r="H775" s="9" t="n">
        <v>64</v>
      </c>
      <c r="I775" s="9" t="s">
        <v>117</v>
      </c>
    </row>
    <row r="776" customFormat="false" ht="15" hidden="false" customHeight="false" outlineLevel="0" collapsed="false">
      <c r="A776" s="9" t="s">
        <v>1506</v>
      </c>
      <c r="B776" s="9" t="s">
        <v>2886</v>
      </c>
      <c r="C776" s="9" t="s">
        <v>199</v>
      </c>
      <c r="D776" s="9" t="s">
        <v>198</v>
      </c>
      <c r="E776" s="9" t="s">
        <v>200</v>
      </c>
      <c r="F776" s="9" t="s">
        <v>173</v>
      </c>
      <c r="G776" s="9"/>
      <c r="H776" s="9" t="n">
        <v>65</v>
      </c>
      <c r="I776" s="9" t="s">
        <v>117</v>
      </c>
    </row>
    <row r="777" customFormat="false" ht="15" hidden="false" customHeight="false" outlineLevel="0" collapsed="false">
      <c r="A777" s="9" t="s">
        <v>2887</v>
      </c>
      <c r="B777" s="9" t="s">
        <v>2888</v>
      </c>
      <c r="C777" s="9" t="s">
        <v>235</v>
      </c>
      <c r="D777" s="9" t="s">
        <v>234</v>
      </c>
      <c r="E777" s="9" t="s">
        <v>106</v>
      </c>
      <c r="F777" s="9" t="s">
        <v>173</v>
      </c>
      <c r="G777" s="9" t="s">
        <v>1631</v>
      </c>
      <c r="H777" s="9" t="n">
        <v>1</v>
      </c>
      <c r="I777" s="9" t="s">
        <v>117</v>
      </c>
    </row>
    <row r="778" customFormat="false" ht="15" hidden="false" customHeight="false" outlineLevel="0" collapsed="false">
      <c r="A778" s="9" t="s">
        <v>1800</v>
      </c>
      <c r="B778" s="9" t="s">
        <v>1852</v>
      </c>
      <c r="C778" s="9" t="s">
        <v>235</v>
      </c>
      <c r="D778" s="9" t="s">
        <v>234</v>
      </c>
      <c r="E778" s="9" t="s">
        <v>106</v>
      </c>
      <c r="F778" s="9" t="s">
        <v>173</v>
      </c>
      <c r="G778" s="9"/>
      <c r="H778" s="9" t="n">
        <v>2</v>
      </c>
      <c r="I778" s="9" t="s">
        <v>117</v>
      </c>
    </row>
    <row r="779" customFormat="false" ht="15" hidden="false" customHeight="false" outlineLevel="0" collapsed="false">
      <c r="A779" s="9" t="s">
        <v>2889</v>
      </c>
      <c r="B779" s="9" t="s">
        <v>2890</v>
      </c>
      <c r="C779" s="9" t="s">
        <v>235</v>
      </c>
      <c r="D779" s="9" t="s">
        <v>234</v>
      </c>
      <c r="E779" s="9" t="s">
        <v>106</v>
      </c>
      <c r="F779" s="9" t="s">
        <v>173</v>
      </c>
      <c r="G779" s="9" t="s">
        <v>1510</v>
      </c>
      <c r="H779" s="9" t="n">
        <v>5</v>
      </c>
      <c r="I779" s="9" t="s">
        <v>117</v>
      </c>
    </row>
    <row r="780" customFormat="false" ht="15" hidden="false" customHeight="false" outlineLevel="0" collapsed="false">
      <c r="A780" s="9" t="s">
        <v>1625</v>
      </c>
      <c r="B780" s="9" t="s">
        <v>2891</v>
      </c>
      <c r="C780" s="9" t="s">
        <v>105</v>
      </c>
      <c r="D780" s="9" t="s">
        <v>104</v>
      </c>
      <c r="E780" s="9" t="s">
        <v>106</v>
      </c>
      <c r="F780" s="9" t="s">
        <v>108</v>
      </c>
      <c r="G780" s="9"/>
      <c r="H780" s="9" t="n">
        <v>2</v>
      </c>
      <c r="I780" s="9" t="s">
        <v>103</v>
      </c>
    </row>
    <row r="781" customFormat="false" ht="15" hidden="false" customHeight="false" outlineLevel="0" collapsed="false">
      <c r="A781" s="9" t="s">
        <v>2892</v>
      </c>
      <c r="B781" s="9" t="s">
        <v>2893</v>
      </c>
      <c r="C781" s="9" t="s">
        <v>105</v>
      </c>
      <c r="D781" s="9" t="s">
        <v>104</v>
      </c>
      <c r="E781" s="9" t="s">
        <v>106</v>
      </c>
      <c r="F781" s="9" t="s">
        <v>108</v>
      </c>
      <c r="G781" s="9" t="s">
        <v>1510</v>
      </c>
      <c r="H781" s="9" t="n">
        <v>3</v>
      </c>
      <c r="I781" s="9" t="s">
        <v>103</v>
      </c>
    </row>
    <row r="782" customFormat="false" ht="15" hidden="false" customHeight="false" outlineLevel="0" collapsed="false">
      <c r="A782" s="9" t="s">
        <v>2894</v>
      </c>
      <c r="B782" s="9" t="s">
        <v>2895</v>
      </c>
      <c r="C782" s="9" t="s">
        <v>148</v>
      </c>
      <c r="D782" s="9" t="s">
        <v>147</v>
      </c>
      <c r="E782" s="9" t="s">
        <v>106</v>
      </c>
      <c r="F782" s="9" t="s">
        <v>108</v>
      </c>
      <c r="G782" s="9"/>
      <c r="H782" s="9" t="n">
        <v>1</v>
      </c>
      <c r="I782" s="9" t="s">
        <v>103</v>
      </c>
    </row>
    <row r="783" customFormat="false" ht="15" hidden="false" customHeight="false" outlineLevel="0" collapsed="false">
      <c r="A783" s="9" t="s">
        <v>2896</v>
      </c>
      <c r="B783" s="9" t="s">
        <v>2897</v>
      </c>
      <c r="C783" s="9" t="s">
        <v>184</v>
      </c>
      <c r="D783" s="9" t="s">
        <v>183</v>
      </c>
      <c r="E783" s="9" t="s">
        <v>106</v>
      </c>
      <c r="F783" s="9" t="s">
        <v>108</v>
      </c>
      <c r="G783" s="9" t="s">
        <v>1510</v>
      </c>
      <c r="H783" s="9" t="n">
        <v>4</v>
      </c>
      <c r="I783" s="9" t="s">
        <v>143</v>
      </c>
    </row>
    <row r="784" customFormat="false" ht="15" hidden="false" customHeight="false" outlineLevel="0" collapsed="false">
      <c r="A784" s="9" t="s">
        <v>2898</v>
      </c>
      <c r="B784" s="9" t="s">
        <v>1852</v>
      </c>
      <c r="C784" s="9" t="s">
        <v>192</v>
      </c>
      <c r="D784" s="9" t="s">
        <v>191</v>
      </c>
      <c r="E784" s="9" t="s">
        <v>106</v>
      </c>
      <c r="F784" s="9" t="s">
        <v>108</v>
      </c>
      <c r="G784" s="9"/>
      <c r="H784" s="9" t="n">
        <v>1</v>
      </c>
      <c r="I784" s="9" t="s">
        <v>103</v>
      </c>
    </row>
    <row r="785" customFormat="false" ht="15" hidden="false" customHeight="false" outlineLevel="0" collapsed="false">
      <c r="A785" s="9" t="s">
        <v>2899</v>
      </c>
      <c r="B785" s="9" t="s">
        <v>2900</v>
      </c>
      <c r="C785" s="9" t="s">
        <v>211</v>
      </c>
      <c r="D785" s="9" t="s">
        <v>210</v>
      </c>
      <c r="E785" s="9" t="s">
        <v>106</v>
      </c>
      <c r="F785" s="9" t="s">
        <v>108</v>
      </c>
      <c r="G785" s="9"/>
      <c r="H785" s="9" t="n">
        <v>5</v>
      </c>
      <c r="I785" s="9" t="s">
        <v>103</v>
      </c>
    </row>
    <row r="786" customFormat="false" ht="15" hidden="false" customHeight="false" outlineLevel="0" collapsed="false">
      <c r="A786" s="9" t="s">
        <v>1800</v>
      </c>
      <c r="B786" s="9" t="s">
        <v>2901</v>
      </c>
      <c r="C786" s="9" t="s">
        <v>220</v>
      </c>
      <c r="D786" s="9" t="s">
        <v>219</v>
      </c>
      <c r="E786" s="9" t="s">
        <v>106</v>
      </c>
      <c r="F786" s="9" t="s">
        <v>108</v>
      </c>
      <c r="G786" s="9"/>
      <c r="H786" s="9" t="n">
        <v>1</v>
      </c>
      <c r="I786" s="9" t="s">
        <v>103</v>
      </c>
    </row>
    <row r="787" customFormat="false" ht="15" hidden="false" customHeight="false" outlineLevel="0" collapsed="false">
      <c r="A787" s="9" t="s">
        <v>2902</v>
      </c>
      <c r="B787" s="9" t="s">
        <v>2903</v>
      </c>
      <c r="C787" s="9" t="s">
        <v>114</v>
      </c>
      <c r="D787" s="9" t="s">
        <v>113</v>
      </c>
      <c r="E787" s="9" t="s">
        <v>115</v>
      </c>
      <c r="F787" s="9" t="s">
        <v>116</v>
      </c>
      <c r="G787" s="9"/>
      <c r="H787" s="9" t="n">
        <v>4</v>
      </c>
      <c r="I787" s="9" t="s">
        <v>117</v>
      </c>
    </row>
    <row r="788" customFormat="false" ht="15" hidden="false" customHeight="false" outlineLevel="0" collapsed="false">
      <c r="A788" s="9" t="s">
        <v>1677</v>
      </c>
      <c r="B788" s="9" t="s">
        <v>1988</v>
      </c>
      <c r="C788" s="9" t="s">
        <v>137</v>
      </c>
      <c r="D788" s="9" t="s">
        <v>136</v>
      </c>
      <c r="E788" s="9" t="s">
        <v>133</v>
      </c>
      <c r="F788" s="9" t="s">
        <v>116</v>
      </c>
      <c r="G788" s="9" t="s">
        <v>1631</v>
      </c>
      <c r="H788" s="9" t="n">
        <v>3</v>
      </c>
      <c r="I788" s="9" t="s">
        <v>135</v>
      </c>
    </row>
    <row r="789" customFormat="false" ht="15" hidden="false" customHeight="false" outlineLevel="0" collapsed="false">
      <c r="A789" s="9" t="s">
        <v>2904</v>
      </c>
      <c r="B789" s="9" t="s">
        <v>1992</v>
      </c>
      <c r="C789" s="9" t="s">
        <v>179</v>
      </c>
      <c r="D789" s="9" t="s">
        <v>178</v>
      </c>
      <c r="E789" s="9" t="s">
        <v>146</v>
      </c>
      <c r="F789" s="9" t="s">
        <v>116</v>
      </c>
      <c r="G789" s="9"/>
      <c r="H789" s="9" t="n">
        <v>3</v>
      </c>
      <c r="I789" s="9" t="s">
        <v>117</v>
      </c>
    </row>
    <row r="790" customFormat="false" ht="15" hidden="false" customHeight="false" outlineLevel="0" collapsed="false">
      <c r="A790" s="9" t="s">
        <v>2905</v>
      </c>
      <c r="B790" s="9" t="s">
        <v>2906</v>
      </c>
      <c r="C790" s="9" t="s">
        <v>179</v>
      </c>
      <c r="D790" s="9" t="s">
        <v>178</v>
      </c>
      <c r="E790" s="9" t="s">
        <v>146</v>
      </c>
      <c r="F790" s="9" t="s">
        <v>116</v>
      </c>
      <c r="G790" s="9"/>
      <c r="H790" s="9" t="n">
        <v>4</v>
      </c>
      <c r="I790" s="9" t="s">
        <v>117</v>
      </c>
    </row>
    <row r="791" customFormat="false" ht="15" hidden="false" customHeight="false" outlineLevel="0" collapsed="false">
      <c r="A791" s="9" t="s">
        <v>2907</v>
      </c>
      <c r="B791" s="9" t="s">
        <v>2908</v>
      </c>
      <c r="C791" s="9" t="s">
        <v>179</v>
      </c>
      <c r="D791" s="9" t="s">
        <v>178</v>
      </c>
      <c r="E791" s="9" t="s">
        <v>146</v>
      </c>
      <c r="F791" s="9" t="s">
        <v>116</v>
      </c>
      <c r="G791" s="9"/>
      <c r="H791" s="9" t="n">
        <v>5</v>
      </c>
      <c r="I791" s="9" t="s">
        <v>117</v>
      </c>
    </row>
    <row r="792" customFormat="false" ht="15" hidden="false" customHeight="false" outlineLevel="0" collapsed="false">
      <c r="A792" s="9" t="s">
        <v>2909</v>
      </c>
      <c r="B792" s="9" t="s">
        <v>2910</v>
      </c>
      <c r="C792" s="9" t="s">
        <v>179</v>
      </c>
      <c r="D792" s="9" t="s">
        <v>178</v>
      </c>
      <c r="E792" s="9" t="s">
        <v>146</v>
      </c>
      <c r="F792" s="9" t="s">
        <v>116</v>
      </c>
      <c r="G792" s="9"/>
      <c r="H792" s="9" t="n">
        <v>6</v>
      </c>
      <c r="I792" s="9" t="s">
        <v>117</v>
      </c>
    </row>
    <row r="793" customFormat="false" ht="15" hidden="false" customHeight="false" outlineLevel="0" collapsed="false">
      <c r="A793" s="9" t="s">
        <v>2127</v>
      </c>
      <c r="B793" s="9" t="s">
        <v>2910</v>
      </c>
      <c r="C793" s="9" t="s">
        <v>179</v>
      </c>
      <c r="D793" s="9" t="s">
        <v>178</v>
      </c>
      <c r="E793" s="9" t="s">
        <v>146</v>
      </c>
      <c r="F793" s="9" t="s">
        <v>116</v>
      </c>
      <c r="G793" s="9"/>
      <c r="H793" s="9" t="n">
        <v>7</v>
      </c>
      <c r="I793" s="9" t="s">
        <v>117</v>
      </c>
    </row>
    <row r="794" customFormat="false" ht="15" hidden="false" customHeight="false" outlineLevel="0" collapsed="false">
      <c r="A794" s="9" t="s">
        <v>2911</v>
      </c>
      <c r="B794" s="9" t="s">
        <v>2912</v>
      </c>
      <c r="C794" s="9" t="s">
        <v>237</v>
      </c>
      <c r="D794" s="9" t="s">
        <v>236</v>
      </c>
      <c r="E794" s="9" t="s">
        <v>237</v>
      </c>
      <c r="F794" s="9" t="s">
        <v>116</v>
      </c>
      <c r="G794" s="9"/>
      <c r="H794" s="9" t="n">
        <v>1</v>
      </c>
      <c r="I794" s="9" t="s">
        <v>117</v>
      </c>
    </row>
    <row r="795" customFormat="false" ht="15" hidden="false" customHeight="false" outlineLevel="0" collapsed="false">
      <c r="A795" s="9" t="s">
        <v>1620</v>
      </c>
      <c r="B795" s="9" t="s">
        <v>2913</v>
      </c>
      <c r="C795" s="9" t="s">
        <v>237</v>
      </c>
      <c r="D795" s="9" t="s">
        <v>236</v>
      </c>
      <c r="E795" s="9" t="s">
        <v>237</v>
      </c>
      <c r="F795" s="9" t="s">
        <v>116</v>
      </c>
      <c r="G795" s="9"/>
      <c r="H795" s="9" t="n">
        <v>8</v>
      </c>
      <c r="I795" s="9" t="s">
        <v>117</v>
      </c>
    </row>
    <row r="796" customFormat="false" ht="15" hidden="false" customHeight="false" outlineLevel="0" collapsed="false">
      <c r="A796" s="9" t="s">
        <v>1716</v>
      </c>
      <c r="B796" s="9" t="s">
        <v>2914</v>
      </c>
      <c r="C796" s="9" t="s">
        <v>237</v>
      </c>
      <c r="D796" s="9" t="s">
        <v>236</v>
      </c>
      <c r="E796" s="9" t="s">
        <v>237</v>
      </c>
      <c r="F796" s="9" t="s">
        <v>116</v>
      </c>
      <c r="G796" s="9" t="s">
        <v>1510</v>
      </c>
      <c r="H796" s="9" t="n">
        <v>13</v>
      </c>
      <c r="I796" s="9" t="s">
        <v>117</v>
      </c>
    </row>
    <row r="797" customFormat="false" ht="15" hidden="false" customHeight="false" outlineLevel="0" collapsed="false">
      <c r="A797" s="9" t="s">
        <v>1662</v>
      </c>
      <c r="B797" s="9" t="s">
        <v>2915</v>
      </c>
      <c r="C797" s="9" t="s">
        <v>237</v>
      </c>
      <c r="D797" s="9" t="s">
        <v>236</v>
      </c>
      <c r="E797" s="9" t="s">
        <v>237</v>
      </c>
      <c r="F797" s="9" t="s">
        <v>116</v>
      </c>
      <c r="G797" s="9" t="s">
        <v>1510</v>
      </c>
      <c r="H797" s="9" t="n">
        <v>14</v>
      </c>
      <c r="I797" s="9" t="s">
        <v>117</v>
      </c>
    </row>
    <row r="798" customFormat="false" ht="15" hidden="false" customHeight="false" outlineLevel="0" collapsed="false">
      <c r="A798" s="9" t="s">
        <v>2916</v>
      </c>
      <c r="B798" s="9" t="s">
        <v>2917</v>
      </c>
      <c r="C798" s="9" t="s">
        <v>237</v>
      </c>
      <c r="D798" s="9" t="s">
        <v>236</v>
      </c>
      <c r="E798" s="9" t="s">
        <v>237</v>
      </c>
      <c r="F798" s="9" t="s">
        <v>116</v>
      </c>
      <c r="G798" s="9" t="s">
        <v>1510</v>
      </c>
      <c r="H798" s="9" t="n">
        <v>15</v>
      </c>
      <c r="I798" s="9" t="s">
        <v>117</v>
      </c>
    </row>
    <row r="799" customFormat="false" ht="15" hidden="false" customHeight="false" outlineLevel="0" collapsed="false">
      <c r="A799" s="9" t="s">
        <v>2918</v>
      </c>
      <c r="B799" s="9" t="s">
        <v>2919</v>
      </c>
      <c r="C799" s="9" t="s">
        <v>146</v>
      </c>
      <c r="D799" s="9" t="s">
        <v>238</v>
      </c>
      <c r="E799" s="9" t="s">
        <v>146</v>
      </c>
      <c r="F799" s="9" t="s">
        <v>116</v>
      </c>
      <c r="G799" s="9"/>
      <c r="H799" s="9" t="n">
        <v>4</v>
      </c>
      <c r="I799" s="9" t="s">
        <v>117</v>
      </c>
    </row>
    <row r="800" customFormat="false" ht="15" hidden="false" customHeight="false" outlineLevel="0" collapsed="false">
      <c r="A800" s="9" t="s">
        <v>2920</v>
      </c>
      <c r="B800" s="9" t="s">
        <v>2921</v>
      </c>
      <c r="C800" s="9" t="s">
        <v>146</v>
      </c>
      <c r="D800" s="9" t="s">
        <v>238</v>
      </c>
      <c r="E800" s="9" t="s">
        <v>146</v>
      </c>
      <c r="F800" s="9" t="s">
        <v>116</v>
      </c>
      <c r="G800" s="9"/>
      <c r="H800" s="9" t="n">
        <v>5</v>
      </c>
      <c r="I800" s="9" t="s">
        <v>117</v>
      </c>
    </row>
    <row r="801" customFormat="false" ht="15" hidden="false" customHeight="false" outlineLevel="0" collapsed="false">
      <c r="A801" s="9" t="s">
        <v>2922</v>
      </c>
      <c r="B801" s="9" t="s">
        <v>2923</v>
      </c>
      <c r="C801" s="9" t="s">
        <v>146</v>
      </c>
      <c r="D801" s="9" t="s">
        <v>238</v>
      </c>
      <c r="E801" s="9" t="s">
        <v>146</v>
      </c>
      <c r="F801" s="9" t="s">
        <v>116</v>
      </c>
      <c r="G801" s="9"/>
      <c r="H801" s="9" t="n">
        <v>11</v>
      </c>
      <c r="I801" s="9" t="s">
        <v>117</v>
      </c>
    </row>
    <row r="802" customFormat="false" ht="15" hidden="false" customHeight="false" outlineLevel="0" collapsed="false">
      <c r="A802" s="9" t="s">
        <v>2924</v>
      </c>
      <c r="B802" s="9" t="s">
        <v>2925</v>
      </c>
      <c r="C802" s="9" t="s">
        <v>146</v>
      </c>
      <c r="D802" s="9" t="s">
        <v>238</v>
      </c>
      <c r="E802" s="9" t="s">
        <v>146</v>
      </c>
      <c r="F802" s="9" t="s">
        <v>116</v>
      </c>
      <c r="G802" s="9"/>
      <c r="H802" s="9" t="n">
        <v>13</v>
      </c>
      <c r="I802" s="9" t="s">
        <v>117</v>
      </c>
    </row>
    <row r="803" customFormat="false" ht="15" hidden="false" customHeight="false" outlineLevel="0" collapsed="false">
      <c r="A803" s="9" t="s">
        <v>1592</v>
      </c>
      <c r="B803" s="9" t="s">
        <v>2926</v>
      </c>
      <c r="C803" s="9" t="s">
        <v>243</v>
      </c>
      <c r="D803" s="9" t="s">
        <v>242</v>
      </c>
      <c r="E803" s="9" t="s">
        <v>115</v>
      </c>
      <c r="F803" s="9" t="s">
        <v>116</v>
      </c>
      <c r="G803" s="9"/>
      <c r="H803" s="9" t="n">
        <v>1</v>
      </c>
      <c r="I803" s="9" t="s">
        <v>117</v>
      </c>
    </row>
    <row r="804" customFormat="false" ht="15" hidden="false" customHeight="false" outlineLevel="0" collapsed="false">
      <c r="A804" s="9" t="s">
        <v>2927</v>
      </c>
      <c r="B804" s="9" t="s">
        <v>2928</v>
      </c>
      <c r="C804" s="9" t="s">
        <v>243</v>
      </c>
      <c r="D804" s="9" t="s">
        <v>242</v>
      </c>
      <c r="E804" s="9" t="s">
        <v>115</v>
      </c>
      <c r="F804" s="9" t="s">
        <v>116</v>
      </c>
      <c r="G804" s="9"/>
      <c r="H804" s="9" t="n">
        <v>3</v>
      </c>
      <c r="I804" s="9" t="s">
        <v>117</v>
      </c>
    </row>
    <row r="805" customFormat="false" ht="15" hidden="false" customHeight="false" outlineLevel="0" collapsed="false">
      <c r="A805" s="9" t="s">
        <v>2929</v>
      </c>
      <c r="B805" s="9" t="s">
        <v>2930</v>
      </c>
      <c r="C805" s="9" t="s">
        <v>243</v>
      </c>
      <c r="D805" s="9" t="s">
        <v>242</v>
      </c>
      <c r="E805" s="9" t="s">
        <v>115</v>
      </c>
      <c r="F805" s="9" t="s">
        <v>116</v>
      </c>
      <c r="G805" s="9"/>
      <c r="H805" s="9" t="n">
        <v>4</v>
      </c>
      <c r="I805" s="9" t="s">
        <v>117</v>
      </c>
    </row>
    <row r="806" customFormat="false" ht="15" hidden="false" customHeight="false" outlineLevel="0" collapsed="false">
      <c r="A806" s="9" t="s">
        <v>2931</v>
      </c>
      <c r="B806" s="9" t="s">
        <v>2932</v>
      </c>
      <c r="C806" s="9" t="s">
        <v>243</v>
      </c>
      <c r="D806" s="9" t="s">
        <v>242</v>
      </c>
      <c r="E806" s="9" t="s">
        <v>115</v>
      </c>
      <c r="F806" s="9" t="s">
        <v>116</v>
      </c>
      <c r="G806" s="9"/>
      <c r="H806" s="9" t="n">
        <v>5</v>
      </c>
      <c r="I806" s="9" t="s">
        <v>117</v>
      </c>
    </row>
    <row r="807" customFormat="false" ht="15" hidden="false" customHeight="false" outlineLevel="0" collapsed="false">
      <c r="A807" s="9" t="s">
        <v>2933</v>
      </c>
      <c r="B807" s="9" t="s">
        <v>2934</v>
      </c>
      <c r="C807" s="9" t="s">
        <v>243</v>
      </c>
      <c r="D807" s="9" t="s">
        <v>242</v>
      </c>
      <c r="E807" s="9" t="s">
        <v>115</v>
      </c>
      <c r="F807" s="9" t="s">
        <v>116</v>
      </c>
      <c r="G807" s="9"/>
      <c r="H807" s="9" t="n">
        <v>7</v>
      </c>
      <c r="I807" s="9" t="s">
        <v>117</v>
      </c>
    </row>
    <row r="808" customFormat="false" ht="15" hidden="false" customHeight="false" outlineLevel="0" collapsed="false">
      <c r="A808" s="9" t="s">
        <v>2935</v>
      </c>
      <c r="B808" s="9" t="s">
        <v>2936</v>
      </c>
      <c r="C808" s="9" t="s">
        <v>243</v>
      </c>
      <c r="D808" s="9" t="s">
        <v>242</v>
      </c>
      <c r="E808" s="9" t="s">
        <v>115</v>
      </c>
      <c r="F808" s="9" t="s">
        <v>116</v>
      </c>
      <c r="G808" s="9"/>
      <c r="H808" s="9" t="n">
        <v>8</v>
      </c>
      <c r="I808" s="9" t="s">
        <v>117</v>
      </c>
    </row>
    <row r="809" customFormat="false" ht="15" hidden="false" customHeight="false" outlineLevel="0" collapsed="false">
      <c r="A809" s="9" t="s">
        <v>2937</v>
      </c>
      <c r="B809" s="9" t="s">
        <v>2938</v>
      </c>
      <c r="C809" s="9" t="s">
        <v>243</v>
      </c>
      <c r="D809" s="9" t="s">
        <v>242</v>
      </c>
      <c r="E809" s="9" t="s">
        <v>115</v>
      </c>
      <c r="F809" s="9" t="s">
        <v>116</v>
      </c>
      <c r="G809" s="9" t="s">
        <v>1510</v>
      </c>
      <c r="H809" s="9" t="n">
        <v>9</v>
      </c>
      <c r="I809" s="9" t="s">
        <v>117</v>
      </c>
    </row>
    <row r="810" customFormat="false" ht="15" hidden="false" customHeight="false" outlineLevel="0" collapsed="false">
      <c r="A810" s="9" t="s">
        <v>2939</v>
      </c>
      <c r="B810" s="9" t="s">
        <v>2940</v>
      </c>
      <c r="C810" s="9" t="s">
        <v>243</v>
      </c>
      <c r="D810" s="9" t="s">
        <v>242</v>
      </c>
      <c r="E810" s="9" t="s">
        <v>115</v>
      </c>
      <c r="F810" s="9" t="s">
        <v>116</v>
      </c>
      <c r="G810" s="9" t="s">
        <v>1510</v>
      </c>
      <c r="H810" s="9" t="n">
        <v>14</v>
      </c>
      <c r="I810" s="9" t="s">
        <v>117</v>
      </c>
    </row>
    <row r="811" customFormat="false" ht="15" hidden="false" customHeight="false" outlineLevel="0" collapsed="false">
      <c r="A811" s="9" t="s">
        <v>2941</v>
      </c>
      <c r="B811" s="9" t="s">
        <v>2942</v>
      </c>
      <c r="C811" s="9" t="s">
        <v>139</v>
      </c>
      <c r="D811" s="9" t="s">
        <v>138</v>
      </c>
      <c r="E811" s="9" t="s">
        <v>140</v>
      </c>
      <c r="F811" s="9" t="s">
        <v>128</v>
      </c>
      <c r="G811" s="9"/>
      <c r="H811" s="9" t="n">
        <v>3</v>
      </c>
      <c r="I811" s="9" t="s">
        <v>117</v>
      </c>
    </row>
    <row r="812" customFormat="false" ht="15" hidden="false" customHeight="false" outlineLevel="0" collapsed="false">
      <c r="A812" s="9" t="s">
        <v>2943</v>
      </c>
      <c r="B812" s="9" t="s">
        <v>2944</v>
      </c>
      <c r="C812" s="9" t="s">
        <v>139</v>
      </c>
      <c r="D812" s="9" t="s">
        <v>138</v>
      </c>
      <c r="E812" s="9" t="s">
        <v>140</v>
      </c>
      <c r="F812" s="9" t="s">
        <v>128</v>
      </c>
      <c r="G812" s="9" t="s">
        <v>1510</v>
      </c>
      <c r="H812" s="9" t="n">
        <v>6</v>
      </c>
      <c r="I812" s="9" t="s">
        <v>117</v>
      </c>
    </row>
    <row r="813" customFormat="false" ht="15" hidden="false" customHeight="false" outlineLevel="0" collapsed="false">
      <c r="A813" s="9" t="s">
        <v>2945</v>
      </c>
      <c r="B813" s="9" t="s">
        <v>2946</v>
      </c>
      <c r="C813" s="9" t="s">
        <v>139</v>
      </c>
      <c r="D813" s="9" t="s">
        <v>138</v>
      </c>
      <c r="E813" s="9" t="s">
        <v>140</v>
      </c>
      <c r="F813" s="9" t="s">
        <v>128</v>
      </c>
      <c r="G813" s="9"/>
      <c r="H813" s="9" t="n">
        <v>8</v>
      </c>
      <c r="I813" s="9" t="s">
        <v>117</v>
      </c>
    </row>
    <row r="814" customFormat="false" ht="15" hidden="false" customHeight="false" outlineLevel="0" collapsed="false">
      <c r="A814" s="9" t="s">
        <v>2947</v>
      </c>
      <c r="B814" s="9" t="s">
        <v>2029</v>
      </c>
      <c r="C814" s="9" t="s">
        <v>139</v>
      </c>
      <c r="D814" s="9" t="s">
        <v>138</v>
      </c>
      <c r="E814" s="9" t="s">
        <v>140</v>
      </c>
      <c r="F814" s="9" t="s">
        <v>128</v>
      </c>
      <c r="G814" s="9"/>
      <c r="H814" s="9" t="n">
        <v>12</v>
      </c>
      <c r="I814" s="9" t="s">
        <v>117</v>
      </c>
    </row>
    <row r="815" customFormat="false" ht="15" hidden="false" customHeight="false" outlineLevel="0" collapsed="false">
      <c r="A815" s="9" t="s">
        <v>2948</v>
      </c>
      <c r="B815" s="9" t="s">
        <v>2949</v>
      </c>
      <c r="C815" s="9" t="s">
        <v>245</v>
      </c>
      <c r="D815" s="9" t="s">
        <v>244</v>
      </c>
      <c r="E815" s="9" t="s">
        <v>100</v>
      </c>
      <c r="F815" s="9" t="s">
        <v>128</v>
      </c>
      <c r="G815" s="9"/>
      <c r="H815" s="9" t="n">
        <v>4</v>
      </c>
      <c r="I815" s="9" t="s">
        <v>117</v>
      </c>
    </row>
    <row r="816" customFormat="false" ht="15" hidden="false" customHeight="false" outlineLevel="0" collapsed="false">
      <c r="A816" s="9" t="s">
        <v>2950</v>
      </c>
      <c r="B816" s="9" t="s">
        <v>2951</v>
      </c>
      <c r="C816" s="9" t="s">
        <v>245</v>
      </c>
      <c r="D816" s="9" t="s">
        <v>244</v>
      </c>
      <c r="E816" s="9" t="s">
        <v>100</v>
      </c>
      <c r="F816" s="9" t="s">
        <v>128</v>
      </c>
      <c r="G816" s="9"/>
      <c r="H816" s="9" t="n">
        <v>5</v>
      </c>
      <c r="I816" s="9" t="s">
        <v>117</v>
      </c>
    </row>
    <row r="817" customFormat="false" ht="15" hidden="false" customHeight="false" outlineLevel="0" collapsed="false">
      <c r="A817" s="9" t="s">
        <v>2952</v>
      </c>
      <c r="B817" s="9" t="s">
        <v>1628</v>
      </c>
      <c r="C817" s="9" t="s">
        <v>132</v>
      </c>
      <c r="D817" s="9" t="s">
        <v>131</v>
      </c>
      <c r="E817" s="9" t="s">
        <v>133</v>
      </c>
      <c r="F817" s="9" t="s">
        <v>134</v>
      </c>
      <c r="G817" s="9"/>
      <c r="H817" s="9" t="n">
        <v>1</v>
      </c>
      <c r="I817" s="9" t="s">
        <v>135</v>
      </c>
    </row>
    <row r="818" customFormat="false" ht="15" hidden="false" customHeight="false" outlineLevel="0" collapsed="false">
      <c r="A818" s="9" t="s">
        <v>2953</v>
      </c>
      <c r="B818" s="9" t="s">
        <v>2954</v>
      </c>
      <c r="C818" s="9" t="s">
        <v>145</v>
      </c>
      <c r="D818" s="9" t="s">
        <v>144</v>
      </c>
      <c r="E818" s="9" t="s">
        <v>146</v>
      </c>
      <c r="F818" s="9" t="s">
        <v>134</v>
      </c>
      <c r="G818" s="9"/>
      <c r="H818" s="9" t="n">
        <v>1</v>
      </c>
      <c r="I818" s="9" t="s">
        <v>135</v>
      </c>
    </row>
    <row r="819" customFormat="false" ht="15" hidden="false" customHeight="false" outlineLevel="0" collapsed="false">
      <c r="A819" s="9" t="s">
        <v>2955</v>
      </c>
      <c r="B819" s="9" t="s">
        <v>2036</v>
      </c>
      <c r="C819" s="9" t="s">
        <v>145</v>
      </c>
      <c r="D819" s="9" t="s">
        <v>144</v>
      </c>
      <c r="E819" s="9" t="s">
        <v>146</v>
      </c>
      <c r="F819" s="9" t="s">
        <v>134</v>
      </c>
      <c r="G819" s="9"/>
      <c r="H819" s="9" t="n">
        <v>4</v>
      </c>
      <c r="I819" s="9" t="s">
        <v>135</v>
      </c>
    </row>
    <row r="820" customFormat="false" ht="15" hidden="false" customHeight="false" outlineLevel="0" collapsed="false">
      <c r="A820" s="9" t="s">
        <v>577</v>
      </c>
      <c r="B820" s="9" t="s">
        <v>2956</v>
      </c>
      <c r="C820" s="9" t="s">
        <v>159</v>
      </c>
      <c r="D820" s="9" t="s">
        <v>158</v>
      </c>
      <c r="E820" s="9" t="s">
        <v>133</v>
      </c>
      <c r="F820" s="9" t="s">
        <v>134</v>
      </c>
      <c r="G820" s="9"/>
      <c r="H820" s="9" t="n">
        <v>1</v>
      </c>
      <c r="I820" s="9" t="s">
        <v>143</v>
      </c>
    </row>
    <row r="821" customFormat="false" ht="15" hidden="false" customHeight="false" outlineLevel="0" collapsed="false">
      <c r="A821" s="9" t="s">
        <v>1570</v>
      </c>
      <c r="B821" s="9" t="s">
        <v>2957</v>
      </c>
      <c r="C821" s="9" t="s">
        <v>208</v>
      </c>
      <c r="D821" s="9" t="s">
        <v>207</v>
      </c>
      <c r="E821" s="9" t="s">
        <v>133</v>
      </c>
      <c r="F821" s="9" t="s">
        <v>134</v>
      </c>
      <c r="G821" s="9"/>
      <c r="H821" s="9" t="n">
        <v>2</v>
      </c>
      <c r="I821" s="9" t="s">
        <v>209</v>
      </c>
    </row>
    <row r="822" customFormat="false" ht="15" hidden="false" customHeight="false" outlineLevel="0" collapsed="false">
      <c r="A822" s="9" t="s">
        <v>2958</v>
      </c>
      <c r="B822" s="9" t="s">
        <v>2959</v>
      </c>
      <c r="C822" s="9" t="s">
        <v>150</v>
      </c>
      <c r="D822" s="9" t="s">
        <v>149</v>
      </c>
      <c r="E822" s="9" t="s">
        <v>151</v>
      </c>
      <c r="F822" s="9" t="s">
        <v>152</v>
      </c>
      <c r="G822" s="9" t="s">
        <v>1510</v>
      </c>
      <c r="H822" s="9" t="n">
        <v>9</v>
      </c>
      <c r="I822" s="9" t="s">
        <v>117</v>
      </c>
    </row>
    <row r="823" customFormat="false" ht="15" hidden="false" customHeight="false" outlineLevel="0" collapsed="false">
      <c r="A823" s="9" t="s">
        <v>2960</v>
      </c>
      <c r="B823" s="9" t="s">
        <v>2961</v>
      </c>
      <c r="C823" s="9" t="s">
        <v>150</v>
      </c>
      <c r="D823" s="9" t="s">
        <v>149</v>
      </c>
      <c r="E823" s="9" t="s">
        <v>151</v>
      </c>
      <c r="F823" s="9" t="s">
        <v>152</v>
      </c>
      <c r="G823" s="9" t="s">
        <v>1510</v>
      </c>
      <c r="H823" s="9" t="n">
        <v>10</v>
      </c>
      <c r="I823" s="9" t="s">
        <v>117</v>
      </c>
    </row>
    <row r="824" customFormat="false" ht="15" hidden="false" customHeight="false" outlineLevel="0" collapsed="false">
      <c r="A824" s="9" t="s">
        <v>1576</v>
      </c>
      <c r="B824" s="9" t="s">
        <v>2962</v>
      </c>
      <c r="C824" s="9" t="s">
        <v>167</v>
      </c>
      <c r="D824" s="9" t="s">
        <v>166</v>
      </c>
      <c r="E824" s="9" t="s">
        <v>151</v>
      </c>
      <c r="F824" s="9" t="s">
        <v>152</v>
      </c>
      <c r="G824" s="9"/>
      <c r="H824" s="9" t="n">
        <v>3</v>
      </c>
      <c r="I824" s="9" t="s">
        <v>117</v>
      </c>
    </row>
    <row r="825" customFormat="false" ht="15" hidden="false" customHeight="false" outlineLevel="0" collapsed="false">
      <c r="A825" s="9" t="s">
        <v>2963</v>
      </c>
      <c r="B825" s="9" t="s">
        <v>2964</v>
      </c>
      <c r="C825" s="9" t="s">
        <v>167</v>
      </c>
      <c r="D825" s="9" t="s">
        <v>166</v>
      </c>
      <c r="E825" s="9" t="s">
        <v>151</v>
      </c>
      <c r="F825" s="9" t="s">
        <v>152</v>
      </c>
      <c r="G825" s="9"/>
      <c r="H825" s="9" t="n">
        <v>4</v>
      </c>
      <c r="I825" s="9" t="s">
        <v>117</v>
      </c>
    </row>
    <row r="826" customFormat="false" ht="15" hidden="false" customHeight="false" outlineLevel="0" collapsed="false">
      <c r="A826" s="9" t="s">
        <v>2398</v>
      </c>
      <c r="B826" s="9" t="s">
        <v>2965</v>
      </c>
      <c r="C826" s="9" t="s">
        <v>228</v>
      </c>
      <c r="D826" s="9" t="s">
        <v>227</v>
      </c>
      <c r="E826" s="9" t="s">
        <v>229</v>
      </c>
      <c r="F826" s="9" t="s">
        <v>152</v>
      </c>
      <c r="G826" s="9"/>
      <c r="H826" s="9" t="n">
        <v>4</v>
      </c>
      <c r="I826" s="9" t="s">
        <v>117</v>
      </c>
    </row>
    <row r="827" customFormat="false" ht="15" hidden="false" customHeight="false" outlineLevel="0" collapsed="false">
      <c r="A827" s="9" t="s">
        <v>2966</v>
      </c>
      <c r="B827" s="9" t="s">
        <v>2967</v>
      </c>
      <c r="C827" s="9" t="s">
        <v>228</v>
      </c>
      <c r="D827" s="9" t="s">
        <v>227</v>
      </c>
      <c r="E827" s="9" t="s">
        <v>229</v>
      </c>
      <c r="F827" s="9" t="s">
        <v>152</v>
      </c>
      <c r="G827" s="9" t="s">
        <v>1510</v>
      </c>
      <c r="H827" s="9" t="n">
        <v>6</v>
      </c>
      <c r="I827" s="9" t="s">
        <v>117</v>
      </c>
    </row>
    <row r="828" customFormat="false" ht="15" hidden="false" customHeight="false" outlineLevel="0" collapsed="false">
      <c r="A828" s="9" t="s">
        <v>2968</v>
      </c>
      <c r="B828" s="9" t="s">
        <v>2969</v>
      </c>
      <c r="C828" s="9" t="s">
        <v>228</v>
      </c>
      <c r="D828" s="9" t="s">
        <v>227</v>
      </c>
      <c r="E828" s="9" t="s">
        <v>229</v>
      </c>
      <c r="F828" s="9" t="s">
        <v>152</v>
      </c>
      <c r="G828" s="9"/>
      <c r="H828" s="9" t="n">
        <v>10</v>
      </c>
      <c r="I828" s="9" t="s">
        <v>117</v>
      </c>
    </row>
    <row r="829" customFormat="false" ht="15" hidden="false" customHeight="false" outlineLevel="0" collapsed="false">
      <c r="A829" s="9" t="s">
        <v>2970</v>
      </c>
      <c r="B829" s="9" t="s">
        <v>2971</v>
      </c>
      <c r="C829" s="9" t="s">
        <v>228</v>
      </c>
      <c r="D829" s="9" t="s">
        <v>227</v>
      </c>
      <c r="E829" s="9" t="s">
        <v>229</v>
      </c>
      <c r="F829" s="9" t="s">
        <v>152</v>
      </c>
      <c r="G829" s="9"/>
      <c r="H829" s="9" t="n">
        <v>13</v>
      </c>
      <c r="I829" s="9" t="s">
        <v>117</v>
      </c>
    </row>
    <row r="830" customFormat="false" ht="15" hidden="false" customHeight="false" outlineLevel="0" collapsed="false">
      <c r="A830" s="9" t="s">
        <v>2972</v>
      </c>
      <c r="B830" s="9" t="s">
        <v>2973</v>
      </c>
      <c r="C830" s="9" t="s">
        <v>228</v>
      </c>
      <c r="D830" s="9" t="s">
        <v>227</v>
      </c>
      <c r="E830" s="9" t="s">
        <v>229</v>
      </c>
      <c r="F830" s="9" t="s">
        <v>152</v>
      </c>
      <c r="G830" s="9"/>
      <c r="H830" s="9" t="n">
        <v>15</v>
      </c>
      <c r="I830" s="9" t="s">
        <v>117</v>
      </c>
    </row>
    <row r="831" customFormat="false" ht="15" hidden="false" customHeight="false" outlineLevel="0" collapsed="false">
      <c r="A831" s="9" t="s">
        <v>2974</v>
      </c>
      <c r="B831" s="9" t="s">
        <v>2975</v>
      </c>
      <c r="C831" s="9" t="s">
        <v>228</v>
      </c>
      <c r="D831" s="9" t="s">
        <v>227</v>
      </c>
      <c r="E831" s="9" t="s">
        <v>229</v>
      </c>
      <c r="F831" s="9" t="s">
        <v>152</v>
      </c>
      <c r="G831" s="9"/>
      <c r="H831" s="9" t="n">
        <v>16</v>
      </c>
      <c r="I831" s="9" t="s">
        <v>117</v>
      </c>
    </row>
    <row r="832" customFormat="false" ht="15" hidden="false" customHeight="false" outlineLevel="0" collapsed="false">
      <c r="A832" s="9" t="s">
        <v>2976</v>
      </c>
      <c r="B832" s="9" t="s">
        <v>2977</v>
      </c>
      <c r="C832" s="9" t="s">
        <v>228</v>
      </c>
      <c r="D832" s="9" t="s">
        <v>227</v>
      </c>
      <c r="E832" s="9" t="s">
        <v>229</v>
      </c>
      <c r="F832" s="9" t="s">
        <v>152</v>
      </c>
      <c r="G832" s="9"/>
      <c r="H832" s="9" t="n">
        <v>18</v>
      </c>
      <c r="I832" s="9" t="s">
        <v>117</v>
      </c>
    </row>
    <row r="833" customFormat="false" ht="15" hidden="false" customHeight="false" outlineLevel="0" collapsed="false">
      <c r="A833" s="9" t="s">
        <v>2978</v>
      </c>
      <c r="B833" s="9" t="s">
        <v>2979</v>
      </c>
      <c r="C833" s="9" t="s">
        <v>228</v>
      </c>
      <c r="D833" s="9" t="s">
        <v>227</v>
      </c>
      <c r="E833" s="9" t="s">
        <v>229</v>
      </c>
      <c r="F833" s="9" t="s">
        <v>152</v>
      </c>
      <c r="G833" s="9" t="s">
        <v>1510</v>
      </c>
      <c r="H833" s="9" t="n">
        <v>20</v>
      </c>
      <c r="I833" s="9" t="s">
        <v>117</v>
      </c>
    </row>
    <row r="834" customFormat="false" ht="15" hidden="false" customHeight="false" outlineLevel="0" collapsed="false">
      <c r="A834" s="9" t="s">
        <v>2980</v>
      </c>
      <c r="B834" s="9" t="s">
        <v>2981</v>
      </c>
      <c r="C834" s="9" t="s">
        <v>228</v>
      </c>
      <c r="D834" s="9" t="s">
        <v>227</v>
      </c>
      <c r="E834" s="9" t="s">
        <v>229</v>
      </c>
      <c r="F834" s="9" t="s">
        <v>152</v>
      </c>
      <c r="G834" s="9" t="s">
        <v>1510</v>
      </c>
      <c r="H834" s="9" t="n">
        <v>23</v>
      </c>
      <c r="I834" s="9" t="s">
        <v>117</v>
      </c>
    </row>
    <row r="835" customFormat="false" ht="15" hidden="false" customHeight="false" outlineLevel="0" collapsed="false">
      <c r="A835" s="9" t="s">
        <v>2982</v>
      </c>
      <c r="B835" s="9" t="s">
        <v>2983</v>
      </c>
      <c r="C835" s="9" t="s">
        <v>228</v>
      </c>
      <c r="D835" s="9" t="s">
        <v>227</v>
      </c>
      <c r="E835" s="9" t="s">
        <v>229</v>
      </c>
      <c r="F835" s="9" t="s">
        <v>152</v>
      </c>
      <c r="G835" s="9" t="s">
        <v>1510</v>
      </c>
      <c r="H835" s="9" t="n">
        <v>24</v>
      </c>
      <c r="I835" s="9" t="s">
        <v>117</v>
      </c>
    </row>
    <row r="836" customFormat="false" ht="15" hidden="false" customHeight="false" outlineLevel="0" collapsed="false">
      <c r="A836" s="9" t="s">
        <v>2984</v>
      </c>
      <c r="B836" s="9" t="s">
        <v>2985</v>
      </c>
      <c r="C836" s="9" t="s">
        <v>228</v>
      </c>
      <c r="D836" s="9" t="s">
        <v>227</v>
      </c>
      <c r="E836" s="9" t="s">
        <v>229</v>
      </c>
      <c r="F836" s="9" t="s">
        <v>152</v>
      </c>
      <c r="G836" s="9" t="s">
        <v>1510</v>
      </c>
      <c r="H836" s="9" t="n">
        <v>25</v>
      </c>
      <c r="I836" s="9" t="s">
        <v>117</v>
      </c>
    </row>
    <row r="837" customFormat="false" ht="15" hidden="false" customHeight="false" outlineLevel="0" collapsed="false">
      <c r="A837" s="9" t="s">
        <v>2986</v>
      </c>
      <c r="B837" s="9" t="s">
        <v>2987</v>
      </c>
      <c r="C837" s="9" t="s">
        <v>228</v>
      </c>
      <c r="D837" s="9" t="s">
        <v>227</v>
      </c>
      <c r="E837" s="9" t="s">
        <v>229</v>
      </c>
      <c r="F837" s="9" t="s">
        <v>152</v>
      </c>
      <c r="G837" s="9" t="s">
        <v>1510</v>
      </c>
      <c r="H837" s="9" t="n">
        <v>26</v>
      </c>
      <c r="I837" s="9" t="s">
        <v>117</v>
      </c>
    </row>
    <row r="838" customFormat="false" ht="15" hidden="false" customHeight="false" outlineLevel="0" collapsed="false">
      <c r="A838" s="9" t="s">
        <v>2705</v>
      </c>
      <c r="B838" s="9" t="s">
        <v>2988</v>
      </c>
      <c r="C838" s="9" t="s">
        <v>240</v>
      </c>
      <c r="D838" s="9" t="s">
        <v>239</v>
      </c>
      <c r="E838" s="9" t="s">
        <v>241</v>
      </c>
      <c r="F838" s="9" t="s">
        <v>152</v>
      </c>
      <c r="G838" s="9"/>
      <c r="H838" s="9" t="n">
        <v>1</v>
      </c>
      <c r="I838" s="9" t="s">
        <v>117</v>
      </c>
    </row>
    <row r="839" customFormat="false" ht="15" hidden="false" customHeight="false" outlineLevel="0" collapsed="false">
      <c r="A839" s="9" t="s">
        <v>2989</v>
      </c>
      <c r="B839" s="9" t="s">
        <v>2990</v>
      </c>
      <c r="C839" s="9" t="s">
        <v>240</v>
      </c>
      <c r="D839" s="9" t="s">
        <v>239</v>
      </c>
      <c r="E839" s="9" t="s">
        <v>241</v>
      </c>
      <c r="F839" s="9" t="s">
        <v>152</v>
      </c>
      <c r="G839" s="9"/>
      <c r="H839" s="9" t="n">
        <v>8</v>
      </c>
      <c r="I839" s="9" t="s">
        <v>117</v>
      </c>
    </row>
    <row r="840" customFormat="false" ht="15" hidden="false" customHeight="false" outlineLevel="0" collapsed="false">
      <c r="A840" s="9" t="s">
        <v>2991</v>
      </c>
      <c r="B840" s="9" t="s">
        <v>2992</v>
      </c>
      <c r="C840" s="9" t="s">
        <v>240</v>
      </c>
      <c r="D840" s="9" t="s">
        <v>239</v>
      </c>
      <c r="E840" s="9" t="s">
        <v>241</v>
      </c>
      <c r="F840" s="9" t="s">
        <v>152</v>
      </c>
      <c r="G840" s="9"/>
      <c r="H840" s="9" t="n">
        <v>10</v>
      </c>
      <c r="I840" s="9" t="s">
        <v>117</v>
      </c>
    </row>
    <row r="841" customFormat="false" ht="15" hidden="false" customHeight="false" outlineLevel="0" collapsed="false">
      <c r="A841" s="9" t="s">
        <v>2993</v>
      </c>
      <c r="B841" s="9" t="s">
        <v>2990</v>
      </c>
      <c r="C841" s="9" t="s">
        <v>240</v>
      </c>
      <c r="D841" s="9" t="s">
        <v>239</v>
      </c>
      <c r="E841" s="9" t="s">
        <v>241</v>
      </c>
      <c r="F841" s="9" t="s">
        <v>152</v>
      </c>
      <c r="G841" s="9"/>
      <c r="H841" s="9" t="n">
        <v>14</v>
      </c>
      <c r="I841" s="9" t="s">
        <v>117</v>
      </c>
    </row>
    <row r="842" customFormat="false" ht="15" hidden="false" customHeight="false" outlineLevel="0" collapsed="false">
      <c r="A842" s="9" t="s">
        <v>1816</v>
      </c>
      <c r="B842" s="9" t="s">
        <v>2994</v>
      </c>
      <c r="C842" s="9" t="s">
        <v>240</v>
      </c>
      <c r="D842" s="9" t="s">
        <v>239</v>
      </c>
      <c r="E842" s="9" t="s">
        <v>241</v>
      </c>
      <c r="F842" s="9" t="s">
        <v>152</v>
      </c>
      <c r="G842" s="9"/>
      <c r="H842" s="9" t="n">
        <v>15</v>
      </c>
      <c r="I842" s="9" t="s">
        <v>117</v>
      </c>
    </row>
    <row r="843" customFormat="false" ht="15" hidden="false" customHeight="false" outlineLevel="0" collapsed="false">
      <c r="A843" s="9" t="s">
        <v>2995</v>
      </c>
      <c r="B843" s="9" t="s">
        <v>2996</v>
      </c>
      <c r="C843" s="9" t="s">
        <v>240</v>
      </c>
      <c r="D843" s="9" t="s">
        <v>239</v>
      </c>
      <c r="E843" s="9" t="s">
        <v>241</v>
      </c>
      <c r="F843" s="9" t="s">
        <v>152</v>
      </c>
      <c r="G843" s="9"/>
      <c r="H843" s="9" t="n">
        <v>16</v>
      </c>
      <c r="I843" s="9" t="s">
        <v>117</v>
      </c>
    </row>
    <row r="844" customFormat="false" ht="15" hidden="false" customHeight="false" outlineLevel="0" collapsed="false">
      <c r="A844" s="9" t="s">
        <v>1726</v>
      </c>
      <c r="B844" s="9" t="s">
        <v>2997</v>
      </c>
      <c r="C844" s="9" t="s">
        <v>240</v>
      </c>
      <c r="D844" s="9" t="s">
        <v>239</v>
      </c>
      <c r="E844" s="9" t="s">
        <v>241</v>
      </c>
      <c r="F844" s="9" t="s">
        <v>152</v>
      </c>
      <c r="G844" s="9"/>
      <c r="H844" s="9" t="n">
        <v>19</v>
      </c>
      <c r="I844" s="9" t="s">
        <v>117</v>
      </c>
    </row>
    <row r="845" customFormat="false" ht="15" hidden="false" customHeight="false" outlineLevel="0" collapsed="false">
      <c r="A845" s="9" t="s">
        <v>2998</v>
      </c>
      <c r="B845" s="9" t="s">
        <v>2999</v>
      </c>
      <c r="C845" s="9" t="s">
        <v>154</v>
      </c>
      <c r="D845" s="9" t="s">
        <v>153</v>
      </c>
      <c r="E845" s="9" t="s">
        <v>155</v>
      </c>
      <c r="F845" s="9" t="s">
        <v>156</v>
      </c>
      <c r="G845" s="9"/>
      <c r="H845" s="9" t="n">
        <v>1</v>
      </c>
      <c r="I845" s="9" t="s">
        <v>157</v>
      </c>
    </row>
    <row r="846" customFormat="false" ht="15" hidden="false" customHeight="false" outlineLevel="0" collapsed="false">
      <c r="A846" s="9" t="s">
        <v>3000</v>
      </c>
      <c r="B846" s="9" t="s">
        <v>3001</v>
      </c>
      <c r="C846" s="9" t="s">
        <v>154</v>
      </c>
      <c r="D846" s="9" t="s">
        <v>153</v>
      </c>
      <c r="E846" s="9" t="s">
        <v>155</v>
      </c>
      <c r="F846" s="9" t="s">
        <v>156</v>
      </c>
      <c r="G846" s="9"/>
      <c r="H846" s="9" t="n">
        <v>6</v>
      </c>
      <c r="I846" s="9" t="s">
        <v>157</v>
      </c>
    </row>
    <row r="847" customFormat="false" ht="15" hidden="false" customHeight="false" outlineLevel="0" collapsed="false">
      <c r="A847" s="9" t="s">
        <v>3002</v>
      </c>
      <c r="B847" s="9" t="s">
        <v>3001</v>
      </c>
      <c r="C847" s="9" t="s">
        <v>154</v>
      </c>
      <c r="D847" s="9" t="s">
        <v>153</v>
      </c>
      <c r="E847" s="9" t="s">
        <v>155</v>
      </c>
      <c r="F847" s="9" t="s">
        <v>156</v>
      </c>
      <c r="G847" s="9"/>
      <c r="H847" s="9" t="n">
        <v>8</v>
      </c>
      <c r="I847" s="9" t="s">
        <v>157</v>
      </c>
    </row>
    <row r="848" customFormat="false" ht="15" hidden="false" customHeight="false" outlineLevel="0" collapsed="false">
      <c r="A848" s="9" t="s">
        <v>3003</v>
      </c>
      <c r="B848" s="9" t="s">
        <v>3004</v>
      </c>
      <c r="C848" s="9" t="s">
        <v>154</v>
      </c>
      <c r="D848" s="9" t="s">
        <v>153</v>
      </c>
      <c r="E848" s="9" t="s">
        <v>155</v>
      </c>
      <c r="F848" s="9" t="s">
        <v>156</v>
      </c>
      <c r="G848" s="9" t="s">
        <v>1543</v>
      </c>
      <c r="H848" s="9" t="n">
        <v>21</v>
      </c>
      <c r="I848" s="9" t="s">
        <v>157</v>
      </c>
    </row>
    <row r="849" customFormat="false" ht="15" hidden="false" customHeight="false" outlineLevel="0" collapsed="false">
      <c r="A849" s="9" t="s">
        <v>3005</v>
      </c>
      <c r="B849" s="9" t="s">
        <v>3006</v>
      </c>
      <c r="C849" s="9" t="s">
        <v>154</v>
      </c>
      <c r="D849" s="9" t="s">
        <v>153</v>
      </c>
      <c r="E849" s="9" t="s">
        <v>155</v>
      </c>
      <c r="F849" s="9" t="s">
        <v>156</v>
      </c>
      <c r="G849" s="9" t="s">
        <v>1510</v>
      </c>
      <c r="H849" s="9" t="n">
        <v>23</v>
      </c>
      <c r="I849" s="9" t="s">
        <v>157</v>
      </c>
    </row>
    <row r="850" customFormat="false" ht="15" hidden="false" customHeight="false" outlineLevel="0" collapsed="false">
      <c r="A850" s="9" t="s">
        <v>1766</v>
      </c>
      <c r="B850" s="9" t="s">
        <v>3007</v>
      </c>
      <c r="C850" s="9" t="s">
        <v>163</v>
      </c>
      <c r="D850" s="9" t="s">
        <v>162</v>
      </c>
      <c r="E850" s="9" t="s">
        <v>155</v>
      </c>
      <c r="F850" s="9" t="s">
        <v>156</v>
      </c>
      <c r="G850" s="9"/>
      <c r="H850" s="9" t="n">
        <v>2</v>
      </c>
      <c r="I850" s="9" t="s">
        <v>157</v>
      </c>
    </row>
    <row r="851" customFormat="false" ht="15" hidden="false" customHeight="false" outlineLevel="0" collapsed="false">
      <c r="A851" s="9" t="s">
        <v>3008</v>
      </c>
      <c r="B851" s="9" t="s">
        <v>3009</v>
      </c>
      <c r="C851" s="9" t="s">
        <v>163</v>
      </c>
      <c r="D851" s="9" t="s">
        <v>162</v>
      </c>
      <c r="E851" s="9" t="s">
        <v>155</v>
      </c>
      <c r="F851" s="9" t="s">
        <v>156</v>
      </c>
      <c r="G851" s="9"/>
      <c r="H851" s="9" t="n">
        <v>5</v>
      </c>
      <c r="I851" s="9" t="s">
        <v>157</v>
      </c>
    </row>
    <row r="852" customFormat="false" ht="15" hidden="false" customHeight="false" outlineLevel="0" collapsed="false">
      <c r="A852" s="9" t="s">
        <v>3010</v>
      </c>
      <c r="B852" s="9" t="s">
        <v>3011</v>
      </c>
      <c r="C852" s="9" t="s">
        <v>188</v>
      </c>
      <c r="D852" s="9" t="s">
        <v>187</v>
      </c>
      <c r="E852" s="9" t="s">
        <v>155</v>
      </c>
      <c r="F852" s="9" t="s">
        <v>156</v>
      </c>
      <c r="G852" s="9"/>
      <c r="H852" s="9" t="n">
        <v>1</v>
      </c>
      <c r="I852" s="9" t="s">
        <v>135</v>
      </c>
    </row>
    <row r="853" customFormat="false" ht="15" hidden="false" customHeight="false" outlineLevel="0" collapsed="false">
      <c r="A853" s="9" t="s">
        <v>3012</v>
      </c>
      <c r="B853" s="9" t="s">
        <v>3013</v>
      </c>
      <c r="C853" s="9" t="s">
        <v>188</v>
      </c>
      <c r="D853" s="9" t="s">
        <v>187</v>
      </c>
      <c r="E853" s="9" t="s">
        <v>155</v>
      </c>
      <c r="F853" s="9" t="s">
        <v>156</v>
      </c>
      <c r="G853" s="9"/>
      <c r="H853" s="9" t="n">
        <v>2</v>
      </c>
      <c r="I853" s="9" t="s">
        <v>135</v>
      </c>
    </row>
    <row r="854" customFormat="false" ht="15" hidden="false" customHeight="false" outlineLevel="0" collapsed="false">
      <c r="A854" s="9" t="s">
        <v>3014</v>
      </c>
      <c r="B854" s="9" t="s">
        <v>3015</v>
      </c>
      <c r="C854" s="9" t="s">
        <v>188</v>
      </c>
      <c r="D854" s="9" t="s">
        <v>187</v>
      </c>
      <c r="E854" s="9" t="s">
        <v>155</v>
      </c>
      <c r="F854" s="9" t="s">
        <v>156</v>
      </c>
      <c r="G854" s="9" t="s">
        <v>1510</v>
      </c>
      <c r="H854" s="9" t="n">
        <v>7</v>
      </c>
      <c r="I854" s="9" t="s">
        <v>135</v>
      </c>
    </row>
    <row r="855" customFormat="false" ht="15" hidden="false" customHeight="false" outlineLevel="0" collapsed="false">
      <c r="A855" s="9" t="s">
        <v>3016</v>
      </c>
      <c r="B855" s="9" t="s">
        <v>3017</v>
      </c>
      <c r="C855" s="9" t="s">
        <v>202</v>
      </c>
      <c r="D855" s="9" t="s">
        <v>201</v>
      </c>
      <c r="E855" s="9" t="s">
        <v>155</v>
      </c>
      <c r="F855" s="9" t="s">
        <v>156</v>
      </c>
      <c r="G855" s="9"/>
      <c r="H855" s="9" t="n">
        <v>1</v>
      </c>
      <c r="I855" s="9" t="s">
        <v>135</v>
      </c>
    </row>
    <row r="856" customFormat="false" ht="15" hidden="false" customHeight="false" outlineLevel="0" collapsed="false">
      <c r="A856" s="9" t="s">
        <v>3018</v>
      </c>
      <c r="B856" s="9" t="s">
        <v>3019</v>
      </c>
      <c r="C856" s="9" t="s">
        <v>202</v>
      </c>
      <c r="D856" s="9" t="s">
        <v>201</v>
      </c>
      <c r="E856" s="9" t="s">
        <v>155</v>
      </c>
      <c r="F856" s="9" t="s">
        <v>156</v>
      </c>
      <c r="G856" s="9"/>
      <c r="H856" s="9" t="n">
        <v>6</v>
      </c>
      <c r="I856" s="9" t="s">
        <v>135</v>
      </c>
    </row>
    <row r="857" customFormat="false" ht="15" hidden="false" customHeight="false" outlineLevel="0" collapsed="false">
      <c r="A857" s="9" t="s">
        <v>3020</v>
      </c>
      <c r="B857" s="9" t="s">
        <v>3021</v>
      </c>
      <c r="C857" s="9" t="s">
        <v>202</v>
      </c>
      <c r="D857" s="9" t="s">
        <v>201</v>
      </c>
      <c r="E857" s="9" t="s">
        <v>155</v>
      </c>
      <c r="F857" s="9" t="s">
        <v>156</v>
      </c>
      <c r="G857" s="9" t="s">
        <v>1510</v>
      </c>
      <c r="H857" s="9" t="n">
        <v>7</v>
      </c>
      <c r="I857" s="9" t="s">
        <v>135</v>
      </c>
    </row>
    <row r="858" customFormat="false" ht="15" hidden="false" customHeight="false" outlineLevel="0" collapsed="false">
      <c r="A858" s="9" t="s">
        <v>3022</v>
      </c>
      <c r="B858" s="9" t="s">
        <v>3023</v>
      </c>
      <c r="C858" s="9" t="s">
        <v>202</v>
      </c>
      <c r="D858" s="9" t="s">
        <v>201</v>
      </c>
      <c r="E858" s="9" t="s">
        <v>155</v>
      </c>
      <c r="F858" s="9" t="s">
        <v>156</v>
      </c>
      <c r="G858" s="9" t="s">
        <v>1510</v>
      </c>
      <c r="H858" s="9" t="n">
        <v>9</v>
      </c>
      <c r="I858" s="9" t="s">
        <v>135</v>
      </c>
    </row>
    <row r="859" customFormat="false" ht="15" hidden="false" customHeight="false" outlineLevel="0" collapsed="false">
      <c r="A859" s="9" t="s">
        <v>3024</v>
      </c>
      <c r="B859" s="9" t="s">
        <v>3025</v>
      </c>
      <c r="C859" s="9" t="s">
        <v>196</v>
      </c>
      <c r="D859" s="9" t="s">
        <v>195</v>
      </c>
      <c r="E859" s="9" t="s">
        <v>155</v>
      </c>
      <c r="F859" s="9" t="s">
        <v>197</v>
      </c>
      <c r="G859" s="9"/>
      <c r="H859" s="9" t="n">
        <v>1</v>
      </c>
      <c r="I859" s="9" t="s">
        <v>135</v>
      </c>
    </row>
    <row r="860" customFormat="false" ht="15" hidden="false" customHeight="false" outlineLevel="0" collapsed="false">
      <c r="A860" s="9" t="s">
        <v>3026</v>
      </c>
      <c r="B860" s="9" t="s">
        <v>3027</v>
      </c>
      <c r="C860" s="9" t="s">
        <v>196</v>
      </c>
      <c r="D860" s="9" t="s">
        <v>195</v>
      </c>
      <c r="E860" s="9" t="s">
        <v>155</v>
      </c>
      <c r="F860" s="9" t="s">
        <v>197</v>
      </c>
      <c r="G860" s="9"/>
      <c r="H860" s="9" t="n">
        <v>2</v>
      </c>
      <c r="I860" s="9" t="s">
        <v>135</v>
      </c>
    </row>
    <row r="861" customFormat="false" ht="15" hidden="false" customHeight="false" outlineLevel="0" collapsed="false">
      <c r="A861" s="9" t="s">
        <v>2220</v>
      </c>
      <c r="B861" s="9" t="s">
        <v>3028</v>
      </c>
      <c r="C861" s="9" t="s">
        <v>213</v>
      </c>
      <c r="D861" s="9" t="s">
        <v>212</v>
      </c>
      <c r="E861" s="9" t="s">
        <v>146</v>
      </c>
      <c r="F861" s="9" t="s">
        <v>197</v>
      </c>
      <c r="G861" s="9"/>
      <c r="H861" s="9" t="n">
        <v>1</v>
      </c>
      <c r="I861" s="9" t="s">
        <v>103</v>
      </c>
    </row>
    <row r="862" customFormat="false" ht="15" hidden="false" customHeight="false" outlineLevel="0" collapsed="false">
      <c r="A862" s="9" t="s">
        <v>1800</v>
      </c>
      <c r="B862" s="9" t="s">
        <v>3029</v>
      </c>
      <c r="C862" s="9" t="s">
        <v>477</v>
      </c>
      <c r="D862" s="9" t="s">
        <v>476</v>
      </c>
      <c r="E862" s="9" t="s">
        <v>100</v>
      </c>
      <c r="F862" s="9" t="s">
        <v>128</v>
      </c>
      <c r="G862" s="9"/>
      <c r="H862" s="9" t="n">
        <v>2</v>
      </c>
      <c r="I862" s="9" t="s">
        <v>143</v>
      </c>
    </row>
    <row r="863" customFormat="false" ht="15" hidden="false" customHeight="false" outlineLevel="0" collapsed="false">
      <c r="A863" s="9" t="s">
        <v>2127</v>
      </c>
      <c r="B863" s="9" t="s">
        <v>3030</v>
      </c>
      <c r="C863" s="9" t="s">
        <v>252</v>
      </c>
      <c r="D863" s="9" t="s">
        <v>251</v>
      </c>
      <c r="E863" s="9" t="s">
        <v>100</v>
      </c>
      <c r="F863" s="9" t="s">
        <v>128</v>
      </c>
      <c r="G863" s="9"/>
      <c r="H863" s="9" t="n">
        <v>1</v>
      </c>
      <c r="I863" s="9" t="s">
        <v>103</v>
      </c>
    </row>
    <row r="864" customFormat="false" ht="15" hidden="false" customHeight="false" outlineLevel="0" collapsed="false">
      <c r="A864" s="9" t="s">
        <v>1816</v>
      </c>
      <c r="B864" s="9"/>
      <c r="C864" s="9" t="s">
        <v>252</v>
      </c>
      <c r="D864" s="9" t="s">
        <v>251</v>
      </c>
      <c r="E864" s="9" t="s">
        <v>100</v>
      </c>
      <c r="F864" s="9" t="s">
        <v>128</v>
      </c>
      <c r="G864" s="9"/>
      <c r="H864" s="9" t="n">
        <v>2</v>
      </c>
      <c r="I864" s="9" t="s">
        <v>103</v>
      </c>
    </row>
    <row r="865" customFormat="false" ht="15" hidden="false" customHeight="false" outlineLevel="0" collapsed="false">
      <c r="A865" s="9" t="s">
        <v>3031</v>
      </c>
      <c r="B865" s="9" t="s">
        <v>3032</v>
      </c>
      <c r="C865" s="9" t="s">
        <v>272</v>
      </c>
      <c r="D865" s="9" t="s">
        <v>271</v>
      </c>
      <c r="E865" s="9" t="s">
        <v>100</v>
      </c>
      <c r="F865" s="9" t="s">
        <v>128</v>
      </c>
      <c r="G865" s="9"/>
      <c r="H865" s="9" t="n">
        <v>1</v>
      </c>
      <c r="I865" s="9" t="s">
        <v>103</v>
      </c>
    </row>
    <row r="866" customFormat="false" ht="15" hidden="false" customHeight="false" outlineLevel="0" collapsed="false">
      <c r="A866" s="9" t="s">
        <v>1517</v>
      </c>
      <c r="B866" s="9" t="s">
        <v>3033</v>
      </c>
      <c r="C866" s="9" t="s">
        <v>317</v>
      </c>
      <c r="D866" s="9" t="s">
        <v>316</v>
      </c>
      <c r="E866" s="9" t="s">
        <v>100</v>
      </c>
      <c r="F866" s="9" t="s">
        <v>128</v>
      </c>
      <c r="G866" s="9"/>
      <c r="H866" s="9" t="n">
        <v>1</v>
      </c>
      <c r="I866" s="9" t="s">
        <v>103</v>
      </c>
    </row>
    <row r="867" customFormat="false" ht="15" hidden="false" customHeight="false" outlineLevel="0" collapsed="false">
      <c r="A867" s="9" t="s">
        <v>3034</v>
      </c>
      <c r="B867" s="9" t="s">
        <v>3035</v>
      </c>
      <c r="C867" s="9" t="s">
        <v>368</v>
      </c>
      <c r="D867" s="9" t="s">
        <v>367</v>
      </c>
      <c r="E867" s="9" t="s">
        <v>140</v>
      </c>
      <c r="F867" s="9" t="s">
        <v>128</v>
      </c>
      <c r="G867" s="9"/>
      <c r="H867" s="9" t="n">
        <v>2</v>
      </c>
      <c r="I867" s="9" t="s">
        <v>135</v>
      </c>
    </row>
    <row r="868" customFormat="false" ht="15" hidden="false" customHeight="false" outlineLevel="0" collapsed="false">
      <c r="A868" s="9" t="s">
        <v>1677</v>
      </c>
      <c r="B868" s="9" t="s">
        <v>3036</v>
      </c>
      <c r="C868" s="9" t="s">
        <v>248</v>
      </c>
      <c r="D868" s="9" t="s">
        <v>247</v>
      </c>
      <c r="E868" s="9" t="s">
        <v>133</v>
      </c>
      <c r="F868" s="9" t="s">
        <v>125</v>
      </c>
      <c r="G868" s="9" t="s">
        <v>1631</v>
      </c>
      <c r="H868" s="9" t="n">
        <v>1</v>
      </c>
      <c r="I868" s="9" t="s">
        <v>135</v>
      </c>
    </row>
    <row r="869" customFormat="false" ht="15" hidden="false" customHeight="false" outlineLevel="0" collapsed="false">
      <c r="A869" s="9" t="s">
        <v>3037</v>
      </c>
      <c r="B869" s="9" t="s">
        <v>2468</v>
      </c>
      <c r="C869" s="9" t="s">
        <v>248</v>
      </c>
      <c r="D869" s="9" t="s">
        <v>247</v>
      </c>
      <c r="E869" s="9" t="s">
        <v>133</v>
      </c>
      <c r="F869" s="9" t="s">
        <v>125</v>
      </c>
      <c r="G869" s="9"/>
      <c r="H869" s="9" t="n">
        <v>3</v>
      </c>
      <c r="I869" s="9" t="s">
        <v>135</v>
      </c>
    </row>
    <row r="870" customFormat="false" ht="15" hidden="false" customHeight="false" outlineLevel="0" collapsed="false">
      <c r="A870" s="9" t="s">
        <v>3038</v>
      </c>
      <c r="B870" s="9" t="s">
        <v>2468</v>
      </c>
      <c r="C870" s="9" t="s">
        <v>248</v>
      </c>
      <c r="D870" s="9" t="s">
        <v>247</v>
      </c>
      <c r="E870" s="9" t="s">
        <v>133</v>
      </c>
      <c r="F870" s="9" t="s">
        <v>125</v>
      </c>
      <c r="G870" s="9"/>
      <c r="H870" s="9" t="n">
        <v>5</v>
      </c>
      <c r="I870" s="9" t="s">
        <v>135</v>
      </c>
    </row>
    <row r="871" customFormat="false" ht="15" hidden="false" customHeight="false" outlineLevel="0" collapsed="false">
      <c r="A871" s="9" t="s">
        <v>3039</v>
      </c>
      <c r="B871" s="9" t="s">
        <v>2834</v>
      </c>
      <c r="C871" s="9" t="s">
        <v>133</v>
      </c>
      <c r="D871" s="9" t="s">
        <v>249</v>
      </c>
      <c r="E871" s="9" t="s">
        <v>133</v>
      </c>
      <c r="F871" s="9" t="s">
        <v>125</v>
      </c>
      <c r="G871" s="9"/>
      <c r="H871" s="9" t="n">
        <v>2</v>
      </c>
      <c r="I871" s="9" t="s">
        <v>157</v>
      </c>
    </row>
    <row r="872" customFormat="false" ht="15" hidden="false" customHeight="false" outlineLevel="0" collapsed="false">
      <c r="A872" s="9" t="s">
        <v>3040</v>
      </c>
      <c r="B872" s="9"/>
      <c r="C872" s="9" t="s">
        <v>133</v>
      </c>
      <c r="D872" s="9" t="s">
        <v>249</v>
      </c>
      <c r="E872" s="9" t="s">
        <v>133</v>
      </c>
      <c r="F872" s="9" t="s">
        <v>125</v>
      </c>
      <c r="G872" s="9"/>
      <c r="H872" s="9" t="n">
        <v>3</v>
      </c>
      <c r="I872" s="9" t="s">
        <v>157</v>
      </c>
    </row>
    <row r="873" customFormat="false" ht="15" hidden="false" customHeight="false" outlineLevel="0" collapsed="false">
      <c r="A873" s="9" t="s">
        <v>1650</v>
      </c>
      <c r="B873" s="9" t="s">
        <v>3041</v>
      </c>
      <c r="C873" s="9" t="s">
        <v>133</v>
      </c>
      <c r="D873" s="9" t="s">
        <v>249</v>
      </c>
      <c r="E873" s="9" t="s">
        <v>133</v>
      </c>
      <c r="F873" s="9" t="s">
        <v>125</v>
      </c>
      <c r="G873" s="9" t="s">
        <v>1631</v>
      </c>
      <c r="H873" s="9" t="n">
        <v>4</v>
      </c>
      <c r="I873" s="9" t="s">
        <v>157</v>
      </c>
    </row>
    <row r="874" customFormat="false" ht="15" hidden="false" customHeight="false" outlineLevel="0" collapsed="false">
      <c r="A874" s="9" t="s">
        <v>3042</v>
      </c>
      <c r="B874" s="9" t="s">
        <v>3043</v>
      </c>
      <c r="C874" s="9" t="s">
        <v>133</v>
      </c>
      <c r="D874" s="9" t="s">
        <v>249</v>
      </c>
      <c r="E874" s="9" t="s">
        <v>133</v>
      </c>
      <c r="F874" s="9" t="s">
        <v>125</v>
      </c>
      <c r="G874" s="9" t="s">
        <v>1543</v>
      </c>
      <c r="H874" s="9" t="n">
        <v>5</v>
      </c>
      <c r="I874" s="9" t="s">
        <v>157</v>
      </c>
    </row>
    <row r="875" customFormat="false" ht="15" hidden="false" customHeight="false" outlineLevel="0" collapsed="false">
      <c r="A875" s="9" t="s">
        <v>3044</v>
      </c>
      <c r="B875" s="9" t="s">
        <v>3045</v>
      </c>
      <c r="C875" s="9" t="s">
        <v>124</v>
      </c>
      <c r="D875" s="9" t="s">
        <v>259</v>
      </c>
      <c r="E875" s="9" t="s">
        <v>124</v>
      </c>
      <c r="F875" s="9" t="s">
        <v>125</v>
      </c>
      <c r="G875" s="9" t="s">
        <v>1510</v>
      </c>
      <c r="H875" s="9" t="n">
        <v>5</v>
      </c>
      <c r="I875" s="9" t="s">
        <v>117</v>
      </c>
    </row>
    <row r="876" customFormat="false" ht="15" hidden="false" customHeight="false" outlineLevel="0" collapsed="false">
      <c r="A876" s="9" t="s">
        <v>3046</v>
      </c>
      <c r="B876" s="9" t="s">
        <v>3047</v>
      </c>
      <c r="C876" s="9" t="s">
        <v>124</v>
      </c>
      <c r="D876" s="9" t="s">
        <v>259</v>
      </c>
      <c r="E876" s="9" t="s">
        <v>124</v>
      </c>
      <c r="F876" s="9" t="s">
        <v>125</v>
      </c>
      <c r="G876" s="9"/>
      <c r="H876" s="9" t="n">
        <v>13</v>
      </c>
      <c r="I876" s="9" t="s">
        <v>117</v>
      </c>
    </row>
    <row r="877" customFormat="false" ht="15" hidden="false" customHeight="false" outlineLevel="0" collapsed="false">
      <c r="A877" s="9" t="s">
        <v>3048</v>
      </c>
      <c r="B877" s="9" t="s">
        <v>3049</v>
      </c>
      <c r="C877" s="9" t="s">
        <v>124</v>
      </c>
      <c r="D877" s="9" t="s">
        <v>259</v>
      </c>
      <c r="E877" s="9" t="s">
        <v>124</v>
      </c>
      <c r="F877" s="9" t="s">
        <v>125</v>
      </c>
      <c r="G877" s="9"/>
      <c r="H877" s="9" t="n">
        <v>15</v>
      </c>
      <c r="I877" s="9" t="s">
        <v>117</v>
      </c>
    </row>
    <row r="878" customFormat="false" ht="15" hidden="false" customHeight="false" outlineLevel="0" collapsed="false">
      <c r="A878" s="9" t="s">
        <v>3050</v>
      </c>
      <c r="B878" s="9" t="s">
        <v>3051</v>
      </c>
      <c r="C878" s="9" t="s">
        <v>124</v>
      </c>
      <c r="D878" s="9" t="s">
        <v>259</v>
      </c>
      <c r="E878" s="9" t="s">
        <v>124</v>
      </c>
      <c r="F878" s="9" t="s">
        <v>125</v>
      </c>
      <c r="G878" s="9"/>
      <c r="H878" s="9" t="n">
        <v>16</v>
      </c>
      <c r="I878" s="9" t="s">
        <v>117</v>
      </c>
    </row>
    <row r="879" customFormat="false" ht="15" hidden="false" customHeight="false" outlineLevel="0" collapsed="false">
      <c r="A879" s="9" t="s">
        <v>3052</v>
      </c>
      <c r="B879" s="9" t="s">
        <v>3053</v>
      </c>
      <c r="C879" s="9" t="s">
        <v>124</v>
      </c>
      <c r="D879" s="9" t="s">
        <v>259</v>
      </c>
      <c r="E879" s="9" t="s">
        <v>124</v>
      </c>
      <c r="F879" s="9" t="s">
        <v>125</v>
      </c>
      <c r="G879" s="9"/>
      <c r="H879" s="9" t="n">
        <v>17</v>
      </c>
      <c r="I879" s="9" t="s">
        <v>117</v>
      </c>
    </row>
    <row r="880" customFormat="false" ht="15" hidden="false" customHeight="false" outlineLevel="0" collapsed="false">
      <c r="A880" s="9" t="s">
        <v>3054</v>
      </c>
      <c r="B880" s="9" t="s">
        <v>3055</v>
      </c>
      <c r="C880" s="9" t="s">
        <v>124</v>
      </c>
      <c r="D880" s="9" t="s">
        <v>259</v>
      </c>
      <c r="E880" s="9" t="s">
        <v>124</v>
      </c>
      <c r="F880" s="9" t="s">
        <v>125</v>
      </c>
      <c r="G880" s="9"/>
      <c r="H880" s="9" t="n">
        <v>19</v>
      </c>
      <c r="I880" s="9" t="s">
        <v>117</v>
      </c>
    </row>
    <row r="881" customFormat="false" ht="15" hidden="false" customHeight="false" outlineLevel="0" collapsed="false">
      <c r="A881" s="9" t="s">
        <v>3056</v>
      </c>
      <c r="B881" s="9" t="s">
        <v>3057</v>
      </c>
      <c r="C881" s="9" t="s">
        <v>124</v>
      </c>
      <c r="D881" s="9" t="s">
        <v>259</v>
      </c>
      <c r="E881" s="9" t="s">
        <v>124</v>
      </c>
      <c r="F881" s="9" t="s">
        <v>125</v>
      </c>
      <c r="G881" s="9" t="s">
        <v>1510</v>
      </c>
      <c r="H881" s="9" t="n">
        <v>20</v>
      </c>
      <c r="I881" s="9" t="s">
        <v>117</v>
      </c>
    </row>
    <row r="882" customFormat="false" ht="15" hidden="false" customHeight="false" outlineLevel="0" collapsed="false">
      <c r="A882" s="9" t="s">
        <v>3058</v>
      </c>
      <c r="B882" s="9" t="s">
        <v>3059</v>
      </c>
      <c r="C882" s="9" t="s">
        <v>124</v>
      </c>
      <c r="D882" s="9" t="s">
        <v>259</v>
      </c>
      <c r="E882" s="9" t="s">
        <v>124</v>
      </c>
      <c r="F882" s="9" t="s">
        <v>125</v>
      </c>
      <c r="G882" s="9"/>
      <c r="H882" s="9" t="n">
        <v>23</v>
      </c>
      <c r="I882" s="9" t="s">
        <v>117</v>
      </c>
    </row>
    <row r="883" customFormat="false" ht="15" hidden="false" customHeight="false" outlineLevel="0" collapsed="false">
      <c r="A883" s="9" t="s">
        <v>3060</v>
      </c>
      <c r="B883" s="9" t="s">
        <v>1921</v>
      </c>
      <c r="C883" s="9" t="s">
        <v>124</v>
      </c>
      <c r="D883" s="9" t="s">
        <v>259</v>
      </c>
      <c r="E883" s="9" t="s">
        <v>124</v>
      </c>
      <c r="F883" s="9" t="s">
        <v>125</v>
      </c>
      <c r="G883" s="9"/>
      <c r="H883" s="9" t="n">
        <v>24</v>
      </c>
      <c r="I883" s="9" t="s">
        <v>117</v>
      </c>
    </row>
    <row r="884" customFormat="false" ht="15" hidden="false" customHeight="false" outlineLevel="0" collapsed="false">
      <c r="A884" s="9" t="s">
        <v>1506</v>
      </c>
      <c r="B884" s="9" t="s">
        <v>3061</v>
      </c>
      <c r="C884" s="9" t="s">
        <v>124</v>
      </c>
      <c r="D884" s="9" t="s">
        <v>259</v>
      </c>
      <c r="E884" s="9" t="s">
        <v>124</v>
      </c>
      <c r="F884" s="9" t="s">
        <v>125</v>
      </c>
      <c r="G884" s="9"/>
      <c r="H884" s="9" t="n">
        <v>30</v>
      </c>
      <c r="I884" s="9" t="s">
        <v>117</v>
      </c>
    </row>
    <row r="885" customFormat="false" ht="15" hidden="false" customHeight="false" outlineLevel="0" collapsed="false">
      <c r="A885" s="9" t="s">
        <v>3062</v>
      </c>
      <c r="B885" s="9" t="s">
        <v>3063</v>
      </c>
      <c r="C885" s="9" t="s">
        <v>124</v>
      </c>
      <c r="D885" s="9" t="s">
        <v>259</v>
      </c>
      <c r="E885" s="9" t="s">
        <v>124</v>
      </c>
      <c r="F885" s="9" t="s">
        <v>125</v>
      </c>
      <c r="G885" s="9" t="s">
        <v>1510</v>
      </c>
      <c r="H885" s="9" t="n">
        <v>33</v>
      </c>
      <c r="I885" s="9" t="s">
        <v>117</v>
      </c>
    </row>
    <row r="886" customFormat="false" ht="15" hidden="false" customHeight="false" outlineLevel="0" collapsed="false">
      <c r="A886" s="9" t="s">
        <v>3064</v>
      </c>
      <c r="B886" s="9" t="s">
        <v>3065</v>
      </c>
      <c r="C886" s="9" t="s">
        <v>124</v>
      </c>
      <c r="D886" s="9" t="s">
        <v>259</v>
      </c>
      <c r="E886" s="9" t="s">
        <v>124</v>
      </c>
      <c r="F886" s="9" t="s">
        <v>125</v>
      </c>
      <c r="G886" s="9" t="s">
        <v>1510</v>
      </c>
      <c r="H886" s="9" t="n">
        <v>34</v>
      </c>
      <c r="I886" s="9" t="s">
        <v>117</v>
      </c>
    </row>
    <row r="887" customFormat="false" ht="15" hidden="false" customHeight="false" outlineLevel="0" collapsed="false">
      <c r="A887" s="9" t="s">
        <v>3066</v>
      </c>
      <c r="B887" s="9" t="s">
        <v>2146</v>
      </c>
      <c r="C887" s="9" t="s">
        <v>124</v>
      </c>
      <c r="D887" s="9" t="s">
        <v>259</v>
      </c>
      <c r="E887" s="9" t="s">
        <v>124</v>
      </c>
      <c r="F887" s="9" t="s">
        <v>125</v>
      </c>
      <c r="G887" s="9"/>
      <c r="H887" s="9" t="n">
        <v>35</v>
      </c>
      <c r="I887" s="9" t="s">
        <v>117</v>
      </c>
    </row>
    <row r="888" customFormat="false" ht="15" hidden="false" customHeight="false" outlineLevel="0" collapsed="false">
      <c r="A888" s="9" t="s">
        <v>3067</v>
      </c>
      <c r="B888" s="9" t="s">
        <v>3068</v>
      </c>
      <c r="C888" s="9" t="s">
        <v>263</v>
      </c>
      <c r="D888" s="9" t="s">
        <v>262</v>
      </c>
      <c r="E888" s="9" t="s">
        <v>182</v>
      </c>
      <c r="F888" s="9" t="s">
        <v>125</v>
      </c>
      <c r="G888" s="9"/>
      <c r="H888" s="9" t="n">
        <v>5</v>
      </c>
      <c r="I888" s="9" t="s">
        <v>117</v>
      </c>
    </row>
    <row r="889" customFormat="false" ht="15" hidden="false" customHeight="false" outlineLevel="0" collapsed="false">
      <c r="A889" s="9" t="s">
        <v>3069</v>
      </c>
      <c r="B889" s="9" t="s">
        <v>3070</v>
      </c>
      <c r="C889" s="9" t="s">
        <v>263</v>
      </c>
      <c r="D889" s="9" t="s">
        <v>262</v>
      </c>
      <c r="E889" s="9" t="s">
        <v>182</v>
      </c>
      <c r="F889" s="9" t="s">
        <v>125</v>
      </c>
      <c r="G889" s="9" t="s">
        <v>1631</v>
      </c>
      <c r="H889" s="9" t="n">
        <v>7</v>
      </c>
      <c r="I889" s="9" t="s">
        <v>117</v>
      </c>
    </row>
    <row r="890" customFormat="false" ht="15" hidden="false" customHeight="false" outlineLevel="0" collapsed="false">
      <c r="A890" s="9" t="s">
        <v>2920</v>
      </c>
      <c r="B890" s="9" t="s">
        <v>3071</v>
      </c>
      <c r="C890" s="9" t="s">
        <v>263</v>
      </c>
      <c r="D890" s="9" t="s">
        <v>262</v>
      </c>
      <c r="E890" s="9" t="s">
        <v>182</v>
      </c>
      <c r="F890" s="9" t="s">
        <v>125</v>
      </c>
      <c r="G890" s="9"/>
      <c r="H890" s="9" t="n">
        <v>10</v>
      </c>
      <c r="I890" s="9" t="s">
        <v>117</v>
      </c>
    </row>
    <row r="891" customFormat="false" ht="15" hidden="false" customHeight="false" outlineLevel="0" collapsed="false">
      <c r="A891" s="9" t="s">
        <v>3072</v>
      </c>
      <c r="B891" s="9" t="s">
        <v>3073</v>
      </c>
      <c r="C891" s="9" t="s">
        <v>263</v>
      </c>
      <c r="D891" s="9" t="s">
        <v>262</v>
      </c>
      <c r="E891" s="9" t="s">
        <v>182</v>
      </c>
      <c r="F891" s="9" t="s">
        <v>125</v>
      </c>
      <c r="G891" s="9"/>
      <c r="H891" s="9" t="n">
        <v>11</v>
      </c>
      <c r="I891" s="9" t="s">
        <v>117</v>
      </c>
    </row>
    <row r="892" customFormat="false" ht="15" hidden="false" customHeight="false" outlineLevel="0" collapsed="false">
      <c r="A892" s="9" t="s">
        <v>3074</v>
      </c>
      <c r="B892" s="9" t="s">
        <v>3075</v>
      </c>
      <c r="C892" s="9" t="s">
        <v>263</v>
      </c>
      <c r="D892" s="9" t="s">
        <v>262</v>
      </c>
      <c r="E892" s="9" t="s">
        <v>182</v>
      </c>
      <c r="F892" s="9" t="s">
        <v>125</v>
      </c>
      <c r="G892" s="9"/>
      <c r="H892" s="9" t="n">
        <v>15</v>
      </c>
      <c r="I892" s="9" t="s">
        <v>117</v>
      </c>
    </row>
    <row r="893" customFormat="false" ht="15" hidden="false" customHeight="false" outlineLevel="0" collapsed="false">
      <c r="A893" s="9" t="s">
        <v>3076</v>
      </c>
      <c r="B893" s="9" t="s">
        <v>3077</v>
      </c>
      <c r="C893" s="9" t="s">
        <v>263</v>
      </c>
      <c r="D893" s="9" t="s">
        <v>262</v>
      </c>
      <c r="E893" s="9" t="s">
        <v>182</v>
      </c>
      <c r="F893" s="9" t="s">
        <v>125</v>
      </c>
      <c r="G893" s="9"/>
      <c r="H893" s="9" t="n">
        <v>18</v>
      </c>
      <c r="I893" s="9" t="s">
        <v>117</v>
      </c>
    </row>
    <row r="894" customFormat="false" ht="15" hidden="false" customHeight="false" outlineLevel="0" collapsed="false">
      <c r="A894" s="9" t="s">
        <v>3078</v>
      </c>
      <c r="B894" s="9" t="s">
        <v>3079</v>
      </c>
      <c r="C894" s="9" t="s">
        <v>263</v>
      </c>
      <c r="D894" s="9" t="s">
        <v>262</v>
      </c>
      <c r="E894" s="9" t="s">
        <v>182</v>
      </c>
      <c r="F894" s="9" t="s">
        <v>125</v>
      </c>
      <c r="G894" s="9" t="s">
        <v>1510</v>
      </c>
      <c r="H894" s="9" t="n">
        <v>26</v>
      </c>
      <c r="I894" s="9" t="s">
        <v>117</v>
      </c>
    </row>
    <row r="895" customFormat="false" ht="15" hidden="false" customHeight="false" outlineLevel="0" collapsed="false">
      <c r="A895" s="9" t="s">
        <v>3080</v>
      </c>
      <c r="B895" s="9" t="s">
        <v>3081</v>
      </c>
      <c r="C895" s="9" t="s">
        <v>263</v>
      </c>
      <c r="D895" s="9" t="s">
        <v>262</v>
      </c>
      <c r="E895" s="9" t="s">
        <v>182</v>
      </c>
      <c r="F895" s="9" t="s">
        <v>125</v>
      </c>
      <c r="G895" s="9" t="s">
        <v>1510</v>
      </c>
      <c r="H895" s="9" t="n">
        <v>27</v>
      </c>
      <c r="I895" s="9" t="s">
        <v>117</v>
      </c>
    </row>
    <row r="896" customFormat="false" ht="15" hidden="false" customHeight="false" outlineLevel="0" collapsed="false">
      <c r="A896" s="9" t="s">
        <v>3082</v>
      </c>
      <c r="B896" s="9" t="s">
        <v>3083</v>
      </c>
      <c r="C896" s="9" t="s">
        <v>263</v>
      </c>
      <c r="D896" s="9" t="s">
        <v>262</v>
      </c>
      <c r="E896" s="9" t="s">
        <v>182</v>
      </c>
      <c r="F896" s="9" t="s">
        <v>125</v>
      </c>
      <c r="G896" s="9" t="s">
        <v>1510</v>
      </c>
      <c r="H896" s="9" t="n">
        <v>28</v>
      </c>
      <c r="I896" s="9" t="s">
        <v>117</v>
      </c>
    </row>
    <row r="897" customFormat="false" ht="15" hidden="false" customHeight="false" outlineLevel="0" collapsed="false">
      <c r="A897" s="9" t="s">
        <v>2454</v>
      </c>
      <c r="B897" s="9" t="s">
        <v>3084</v>
      </c>
      <c r="C897" s="9" t="s">
        <v>263</v>
      </c>
      <c r="D897" s="9" t="s">
        <v>262</v>
      </c>
      <c r="E897" s="9" t="s">
        <v>182</v>
      </c>
      <c r="F897" s="9" t="s">
        <v>125</v>
      </c>
      <c r="G897" s="9" t="s">
        <v>1510</v>
      </c>
      <c r="H897" s="9" t="n">
        <v>30</v>
      </c>
      <c r="I897" s="9" t="s">
        <v>117</v>
      </c>
    </row>
    <row r="898" customFormat="false" ht="15" hidden="false" customHeight="false" outlineLevel="0" collapsed="false">
      <c r="A898" s="9" t="s">
        <v>3085</v>
      </c>
      <c r="B898" s="9" t="s">
        <v>3086</v>
      </c>
      <c r="C898" s="9" t="s">
        <v>263</v>
      </c>
      <c r="D898" s="9" t="s">
        <v>262</v>
      </c>
      <c r="E898" s="9" t="s">
        <v>182</v>
      </c>
      <c r="F898" s="9" t="s">
        <v>125</v>
      </c>
      <c r="G898" s="9" t="s">
        <v>1510</v>
      </c>
      <c r="H898" s="9" t="n">
        <v>31</v>
      </c>
      <c r="I898" s="9" t="s">
        <v>117</v>
      </c>
    </row>
    <row r="899" customFormat="false" ht="15" hidden="false" customHeight="false" outlineLevel="0" collapsed="false">
      <c r="A899" s="9" t="s">
        <v>3087</v>
      </c>
      <c r="B899" s="9" t="s">
        <v>3088</v>
      </c>
      <c r="C899" s="9" t="s">
        <v>216</v>
      </c>
      <c r="D899" s="9" t="s">
        <v>264</v>
      </c>
      <c r="E899" s="9" t="s">
        <v>216</v>
      </c>
      <c r="F899" s="9" t="s">
        <v>125</v>
      </c>
      <c r="G899" s="9"/>
      <c r="H899" s="9" t="n">
        <v>1</v>
      </c>
      <c r="I899" s="9" t="s">
        <v>157</v>
      </c>
    </row>
    <row r="900" customFormat="false" ht="15" hidden="false" customHeight="false" outlineLevel="0" collapsed="false">
      <c r="A900" s="9" t="s">
        <v>1726</v>
      </c>
      <c r="B900" s="9" t="s">
        <v>3089</v>
      </c>
      <c r="C900" s="9" t="s">
        <v>216</v>
      </c>
      <c r="D900" s="9" t="s">
        <v>264</v>
      </c>
      <c r="E900" s="9" t="s">
        <v>216</v>
      </c>
      <c r="F900" s="9" t="s">
        <v>125</v>
      </c>
      <c r="G900" s="9"/>
      <c r="H900" s="9" t="n">
        <v>3</v>
      </c>
      <c r="I900" s="9" t="s">
        <v>157</v>
      </c>
    </row>
    <row r="901" customFormat="false" ht="15" hidden="false" customHeight="false" outlineLevel="0" collapsed="false">
      <c r="A901" s="9" t="s">
        <v>3090</v>
      </c>
      <c r="B901" s="9" t="s">
        <v>3091</v>
      </c>
      <c r="C901" s="9" t="s">
        <v>216</v>
      </c>
      <c r="D901" s="9" t="s">
        <v>264</v>
      </c>
      <c r="E901" s="9" t="s">
        <v>216</v>
      </c>
      <c r="F901" s="9" t="s">
        <v>125</v>
      </c>
      <c r="G901" s="9"/>
      <c r="H901" s="9" t="n">
        <v>8</v>
      </c>
      <c r="I901" s="9" t="s">
        <v>157</v>
      </c>
    </row>
    <row r="902" customFormat="false" ht="15" hidden="false" customHeight="false" outlineLevel="0" collapsed="false">
      <c r="A902" s="9" t="s">
        <v>3092</v>
      </c>
      <c r="B902" s="9" t="s">
        <v>3093</v>
      </c>
      <c r="C902" s="9" t="s">
        <v>216</v>
      </c>
      <c r="D902" s="9" t="s">
        <v>264</v>
      </c>
      <c r="E902" s="9" t="s">
        <v>216</v>
      </c>
      <c r="F902" s="9" t="s">
        <v>125</v>
      </c>
      <c r="G902" s="9"/>
      <c r="H902" s="9" t="n">
        <v>10</v>
      </c>
      <c r="I902" s="9" t="s">
        <v>157</v>
      </c>
    </row>
    <row r="903" customFormat="false" ht="15" hidden="false" customHeight="false" outlineLevel="0" collapsed="false">
      <c r="A903" s="9" t="s">
        <v>3094</v>
      </c>
      <c r="B903" s="9" t="s">
        <v>3095</v>
      </c>
      <c r="C903" s="9" t="s">
        <v>216</v>
      </c>
      <c r="D903" s="9" t="s">
        <v>264</v>
      </c>
      <c r="E903" s="9" t="s">
        <v>216</v>
      </c>
      <c r="F903" s="9" t="s">
        <v>125</v>
      </c>
      <c r="G903" s="9"/>
      <c r="H903" s="9" t="n">
        <v>12</v>
      </c>
      <c r="I903" s="9" t="s">
        <v>157</v>
      </c>
    </row>
    <row r="904" customFormat="false" ht="15" hidden="false" customHeight="false" outlineLevel="0" collapsed="false">
      <c r="A904" s="9" t="s">
        <v>3096</v>
      </c>
      <c r="B904" s="9" t="s">
        <v>3097</v>
      </c>
      <c r="C904" s="9" t="s">
        <v>216</v>
      </c>
      <c r="D904" s="9" t="s">
        <v>264</v>
      </c>
      <c r="E904" s="9" t="s">
        <v>216</v>
      </c>
      <c r="F904" s="9" t="s">
        <v>125</v>
      </c>
      <c r="G904" s="9"/>
      <c r="H904" s="9" t="n">
        <v>13</v>
      </c>
      <c r="I904" s="9" t="s">
        <v>157</v>
      </c>
    </row>
    <row r="905" customFormat="false" ht="15" hidden="false" customHeight="false" outlineLevel="0" collapsed="false">
      <c r="A905" s="9" t="s">
        <v>3098</v>
      </c>
      <c r="B905" s="9" t="s">
        <v>3099</v>
      </c>
      <c r="C905" s="9" t="s">
        <v>216</v>
      </c>
      <c r="D905" s="9" t="s">
        <v>264</v>
      </c>
      <c r="E905" s="9" t="s">
        <v>216</v>
      </c>
      <c r="F905" s="9" t="s">
        <v>125</v>
      </c>
      <c r="G905" s="9"/>
      <c r="H905" s="9" t="n">
        <v>16</v>
      </c>
      <c r="I905" s="9" t="s">
        <v>157</v>
      </c>
    </row>
    <row r="906" customFormat="false" ht="15" hidden="false" customHeight="false" outlineLevel="0" collapsed="false">
      <c r="A906" s="9" t="s">
        <v>3100</v>
      </c>
      <c r="B906" s="9" t="s">
        <v>3101</v>
      </c>
      <c r="C906" s="9" t="s">
        <v>216</v>
      </c>
      <c r="D906" s="9" t="s">
        <v>264</v>
      </c>
      <c r="E906" s="9" t="s">
        <v>216</v>
      </c>
      <c r="F906" s="9" t="s">
        <v>125</v>
      </c>
      <c r="G906" s="9"/>
      <c r="H906" s="9" t="n">
        <v>18</v>
      </c>
      <c r="I906" s="9" t="s">
        <v>157</v>
      </c>
    </row>
    <row r="907" customFormat="false" ht="15" hidden="false" customHeight="false" outlineLevel="0" collapsed="false">
      <c r="A907" s="9" t="s">
        <v>3102</v>
      </c>
      <c r="B907" s="9" t="s">
        <v>3103</v>
      </c>
      <c r="C907" s="9" t="s">
        <v>216</v>
      </c>
      <c r="D907" s="9" t="s">
        <v>264</v>
      </c>
      <c r="E907" s="9" t="s">
        <v>216</v>
      </c>
      <c r="F907" s="9" t="s">
        <v>125</v>
      </c>
      <c r="G907" s="9" t="s">
        <v>1510</v>
      </c>
      <c r="H907" s="9" t="n">
        <v>19</v>
      </c>
      <c r="I907" s="9" t="s">
        <v>157</v>
      </c>
    </row>
    <row r="908" customFormat="false" ht="15" hidden="false" customHeight="false" outlineLevel="0" collapsed="false">
      <c r="A908" s="9" t="s">
        <v>3104</v>
      </c>
      <c r="B908" s="9" t="s">
        <v>3105</v>
      </c>
      <c r="C908" s="9" t="s">
        <v>216</v>
      </c>
      <c r="D908" s="9" t="s">
        <v>264</v>
      </c>
      <c r="E908" s="9" t="s">
        <v>216</v>
      </c>
      <c r="F908" s="9" t="s">
        <v>125</v>
      </c>
      <c r="G908" s="9" t="s">
        <v>1510</v>
      </c>
      <c r="H908" s="9" t="n">
        <v>20</v>
      </c>
      <c r="I908" s="9" t="s">
        <v>157</v>
      </c>
    </row>
    <row r="909" customFormat="false" ht="15" hidden="false" customHeight="false" outlineLevel="0" collapsed="false">
      <c r="A909" s="9" t="s">
        <v>3106</v>
      </c>
      <c r="B909" s="9" t="s">
        <v>3107</v>
      </c>
      <c r="C909" s="9" t="s">
        <v>216</v>
      </c>
      <c r="D909" s="9" t="s">
        <v>264</v>
      </c>
      <c r="E909" s="9" t="s">
        <v>216</v>
      </c>
      <c r="F909" s="9" t="s">
        <v>125</v>
      </c>
      <c r="G909" s="9" t="s">
        <v>1510</v>
      </c>
      <c r="H909" s="9" t="n">
        <v>27</v>
      </c>
      <c r="I909" s="9" t="s">
        <v>157</v>
      </c>
    </row>
    <row r="910" customFormat="false" ht="15" hidden="false" customHeight="false" outlineLevel="0" collapsed="false">
      <c r="A910" s="9" t="s">
        <v>3108</v>
      </c>
      <c r="B910" s="9" t="s">
        <v>3109</v>
      </c>
      <c r="C910" s="9" t="s">
        <v>216</v>
      </c>
      <c r="D910" s="9" t="s">
        <v>264</v>
      </c>
      <c r="E910" s="9" t="s">
        <v>216</v>
      </c>
      <c r="F910" s="9" t="s">
        <v>125</v>
      </c>
      <c r="G910" s="9" t="s">
        <v>1510</v>
      </c>
      <c r="H910" s="9" t="n">
        <v>28</v>
      </c>
      <c r="I910" s="9" t="s">
        <v>157</v>
      </c>
    </row>
    <row r="911" customFormat="false" ht="15" hidden="false" customHeight="false" outlineLevel="0" collapsed="false">
      <c r="A911" s="9" t="s">
        <v>3110</v>
      </c>
      <c r="B911" s="9" t="s">
        <v>3111</v>
      </c>
      <c r="C911" s="9" t="s">
        <v>216</v>
      </c>
      <c r="D911" s="9" t="s">
        <v>264</v>
      </c>
      <c r="E911" s="9" t="s">
        <v>216</v>
      </c>
      <c r="F911" s="9" t="s">
        <v>125</v>
      </c>
      <c r="G911" s="9" t="s">
        <v>1510</v>
      </c>
      <c r="H911" s="9" t="n">
        <v>29</v>
      </c>
      <c r="I911" s="9" t="s">
        <v>157</v>
      </c>
    </row>
    <row r="912" customFormat="false" ht="15" hidden="false" customHeight="false" outlineLevel="0" collapsed="false">
      <c r="A912" s="9" t="s">
        <v>3112</v>
      </c>
      <c r="B912" s="9" t="s">
        <v>3113</v>
      </c>
      <c r="C912" s="9" t="s">
        <v>216</v>
      </c>
      <c r="D912" s="9" t="s">
        <v>264</v>
      </c>
      <c r="E912" s="9" t="s">
        <v>216</v>
      </c>
      <c r="F912" s="9" t="s">
        <v>125</v>
      </c>
      <c r="G912" s="9" t="s">
        <v>1510</v>
      </c>
      <c r="H912" s="9" t="n">
        <v>30</v>
      </c>
      <c r="I912" s="9" t="s">
        <v>157</v>
      </c>
    </row>
    <row r="913" customFormat="false" ht="15" hidden="false" customHeight="false" outlineLevel="0" collapsed="false">
      <c r="A913" s="9" t="s">
        <v>3114</v>
      </c>
      <c r="B913" s="9" t="s">
        <v>2211</v>
      </c>
      <c r="C913" s="9" t="s">
        <v>321</v>
      </c>
      <c r="D913" s="9" t="s">
        <v>320</v>
      </c>
      <c r="E913" s="9" t="s">
        <v>216</v>
      </c>
      <c r="F913" s="9" t="s">
        <v>125</v>
      </c>
      <c r="G913" s="9"/>
      <c r="H913" s="9" t="n">
        <v>2</v>
      </c>
      <c r="I913" s="9" t="s">
        <v>157</v>
      </c>
    </row>
    <row r="914" customFormat="false" ht="15" hidden="false" customHeight="false" outlineLevel="0" collapsed="false">
      <c r="A914" s="9" t="s">
        <v>3115</v>
      </c>
      <c r="B914" s="9" t="s">
        <v>3116</v>
      </c>
      <c r="C914" s="9" t="s">
        <v>321</v>
      </c>
      <c r="D914" s="9" t="s">
        <v>320</v>
      </c>
      <c r="E914" s="9" t="s">
        <v>216</v>
      </c>
      <c r="F914" s="9" t="s">
        <v>125</v>
      </c>
      <c r="G914" s="9"/>
      <c r="H914" s="9" t="n">
        <v>5</v>
      </c>
      <c r="I914" s="9" t="s">
        <v>157</v>
      </c>
    </row>
    <row r="915" customFormat="false" ht="15" hidden="false" customHeight="false" outlineLevel="0" collapsed="false">
      <c r="A915" s="9" t="s">
        <v>3117</v>
      </c>
      <c r="B915" s="9" t="s">
        <v>1689</v>
      </c>
      <c r="C915" s="9" t="s">
        <v>321</v>
      </c>
      <c r="D915" s="9" t="s">
        <v>320</v>
      </c>
      <c r="E915" s="9" t="s">
        <v>216</v>
      </c>
      <c r="F915" s="9" t="s">
        <v>125</v>
      </c>
      <c r="G915" s="9"/>
      <c r="H915" s="9" t="n">
        <v>10</v>
      </c>
      <c r="I915" s="9" t="s">
        <v>157</v>
      </c>
    </row>
    <row r="916" customFormat="false" ht="15" hidden="false" customHeight="false" outlineLevel="0" collapsed="false">
      <c r="A916" s="9" t="s">
        <v>3118</v>
      </c>
      <c r="B916" s="9" t="s">
        <v>3119</v>
      </c>
      <c r="C916" s="9" t="s">
        <v>321</v>
      </c>
      <c r="D916" s="9" t="s">
        <v>320</v>
      </c>
      <c r="E916" s="9" t="s">
        <v>216</v>
      </c>
      <c r="F916" s="9" t="s">
        <v>125</v>
      </c>
      <c r="G916" s="9"/>
      <c r="H916" s="9" t="n">
        <v>11</v>
      </c>
      <c r="I916" s="9" t="s">
        <v>157</v>
      </c>
    </row>
    <row r="917" customFormat="false" ht="15" hidden="false" customHeight="false" outlineLevel="0" collapsed="false">
      <c r="A917" s="9" t="s">
        <v>3120</v>
      </c>
      <c r="B917" s="9" t="s">
        <v>2211</v>
      </c>
      <c r="C917" s="9" t="s">
        <v>321</v>
      </c>
      <c r="D917" s="9" t="s">
        <v>320</v>
      </c>
      <c r="E917" s="9" t="s">
        <v>216</v>
      </c>
      <c r="F917" s="9" t="s">
        <v>125</v>
      </c>
      <c r="G917" s="9"/>
      <c r="H917" s="9" t="n">
        <v>12</v>
      </c>
      <c r="I917" s="9" t="s">
        <v>157</v>
      </c>
    </row>
    <row r="918" customFormat="false" ht="15" hidden="false" customHeight="false" outlineLevel="0" collapsed="false">
      <c r="A918" s="9" t="s">
        <v>3121</v>
      </c>
      <c r="B918" s="9" t="s">
        <v>1781</v>
      </c>
      <c r="C918" s="9" t="s">
        <v>321</v>
      </c>
      <c r="D918" s="9" t="s">
        <v>320</v>
      </c>
      <c r="E918" s="9" t="s">
        <v>216</v>
      </c>
      <c r="F918" s="9" t="s">
        <v>125</v>
      </c>
      <c r="G918" s="9"/>
      <c r="H918" s="9" t="n">
        <v>16</v>
      </c>
      <c r="I918" s="9" t="s">
        <v>157</v>
      </c>
    </row>
    <row r="919" customFormat="false" ht="15" hidden="false" customHeight="false" outlineLevel="0" collapsed="false">
      <c r="A919" s="9" t="s">
        <v>3122</v>
      </c>
      <c r="B919" s="9" t="s">
        <v>3123</v>
      </c>
      <c r="C919" s="9" t="s">
        <v>140</v>
      </c>
      <c r="D919" s="9" t="s">
        <v>418</v>
      </c>
      <c r="E919" s="9" t="s">
        <v>140</v>
      </c>
      <c r="F919" s="9" t="s">
        <v>173</v>
      </c>
      <c r="G919" s="9"/>
      <c r="H919" s="9" t="n">
        <v>1</v>
      </c>
      <c r="I919" s="9" t="s">
        <v>117</v>
      </c>
    </row>
    <row r="920" customFormat="false" ht="15" hidden="false" customHeight="false" outlineLevel="0" collapsed="false">
      <c r="A920" s="9" t="s">
        <v>1997</v>
      </c>
      <c r="B920" s="9" t="s">
        <v>3124</v>
      </c>
      <c r="C920" s="9" t="s">
        <v>335</v>
      </c>
      <c r="D920" s="9" t="s">
        <v>334</v>
      </c>
      <c r="E920" s="9" t="s">
        <v>216</v>
      </c>
      <c r="F920" s="9" t="s">
        <v>125</v>
      </c>
      <c r="G920" s="9"/>
      <c r="H920" s="9" t="n">
        <v>1</v>
      </c>
      <c r="I920" s="9" t="s">
        <v>157</v>
      </c>
    </row>
    <row r="921" customFormat="false" ht="15" hidden="false" customHeight="false" outlineLevel="0" collapsed="false">
      <c r="A921" s="9" t="s">
        <v>3125</v>
      </c>
      <c r="B921" s="9" t="s">
        <v>2215</v>
      </c>
      <c r="C921" s="9" t="s">
        <v>335</v>
      </c>
      <c r="D921" s="9" t="s">
        <v>334</v>
      </c>
      <c r="E921" s="9" t="s">
        <v>216</v>
      </c>
      <c r="F921" s="9" t="s">
        <v>125</v>
      </c>
      <c r="G921" s="9"/>
      <c r="H921" s="9" t="n">
        <v>3</v>
      </c>
      <c r="I921" s="9" t="s">
        <v>157</v>
      </c>
    </row>
    <row r="922" customFormat="false" ht="15" hidden="false" customHeight="false" outlineLevel="0" collapsed="false">
      <c r="A922" s="9" t="s">
        <v>3126</v>
      </c>
      <c r="B922" s="9" t="s">
        <v>2217</v>
      </c>
      <c r="C922" s="9" t="s">
        <v>335</v>
      </c>
      <c r="D922" s="9" t="s">
        <v>334</v>
      </c>
      <c r="E922" s="9" t="s">
        <v>216</v>
      </c>
      <c r="F922" s="9" t="s">
        <v>125</v>
      </c>
      <c r="G922" s="9"/>
      <c r="H922" s="9" t="n">
        <v>4</v>
      </c>
      <c r="I922" s="9" t="s">
        <v>157</v>
      </c>
    </row>
    <row r="923" customFormat="false" ht="15" hidden="false" customHeight="false" outlineLevel="0" collapsed="false">
      <c r="A923" s="9" t="s">
        <v>2051</v>
      </c>
      <c r="B923" s="9" t="s">
        <v>3127</v>
      </c>
      <c r="C923" s="9" t="s">
        <v>335</v>
      </c>
      <c r="D923" s="9" t="s">
        <v>334</v>
      </c>
      <c r="E923" s="9" t="s">
        <v>216</v>
      </c>
      <c r="F923" s="9" t="s">
        <v>125</v>
      </c>
      <c r="G923" s="9"/>
      <c r="H923" s="9" t="n">
        <v>6</v>
      </c>
      <c r="I923" s="9" t="s">
        <v>157</v>
      </c>
    </row>
    <row r="924" customFormat="false" ht="15" hidden="false" customHeight="false" outlineLevel="0" collapsed="false">
      <c r="A924" s="9" t="s">
        <v>2343</v>
      </c>
      <c r="B924" s="9" t="s">
        <v>2052</v>
      </c>
      <c r="C924" s="9" t="s">
        <v>305</v>
      </c>
      <c r="D924" s="9" t="s">
        <v>304</v>
      </c>
      <c r="E924" s="9" t="s">
        <v>133</v>
      </c>
      <c r="F924" s="9" t="s">
        <v>125</v>
      </c>
      <c r="G924" s="9"/>
      <c r="H924" s="9" t="n">
        <v>1</v>
      </c>
      <c r="I924" s="9" t="s">
        <v>143</v>
      </c>
    </row>
    <row r="925" customFormat="false" ht="15" hidden="false" customHeight="false" outlineLevel="0" collapsed="false">
      <c r="A925" s="9" t="s">
        <v>3128</v>
      </c>
      <c r="B925" s="9" t="s">
        <v>3129</v>
      </c>
      <c r="C925" s="9" t="s">
        <v>481</v>
      </c>
      <c r="D925" s="9" t="s">
        <v>480</v>
      </c>
      <c r="E925" s="9" t="s">
        <v>133</v>
      </c>
      <c r="F925" s="9" t="s">
        <v>134</v>
      </c>
      <c r="G925" s="9"/>
      <c r="H925" s="9" t="n">
        <v>1</v>
      </c>
      <c r="I925" s="9" t="s">
        <v>482</v>
      </c>
    </row>
    <row r="926" customFormat="false" ht="15" hidden="false" customHeight="false" outlineLevel="0" collapsed="false">
      <c r="A926" s="9" t="s">
        <v>3130</v>
      </c>
      <c r="B926" s="9" t="s">
        <v>3131</v>
      </c>
      <c r="C926" s="9" t="s">
        <v>299</v>
      </c>
      <c r="D926" s="9" t="s">
        <v>298</v>
      </c>
      <c r="E926" s="9" t="s">
        <v>133</v>
      </c>
      <c r="F926" s="9" t="s">
        <v>134</v>
      </c>
      <c r="G926" s="9"/>
      <c r="H926" s="9" t="n">
        <v>1</v>
      </c>
      <c r="I926" s="9" t="s">
        <v>143</v>
      </c>
    </row>
    <row r="927" customFormat="false" ht="15" hidden="false" customHeight="false" outlineLevel="0" collapsed="false">
      <c r="A927" s="9" t="s">
        <v>3132</v>
      </c>
      <c r="B927" s="9" t="s">
        <v>1781</v>
      </c>
      <c r="C927" s="9" t="s">
        <v>323</v>
      </c>
      <c r="D927" s="9" t="s">
        <v>322</v>
      </c>
      <c r="E927" s="9" t="s">
        <v>133</v>
      </c>
      <c r="F927" s="9" t="s">
        <v>134</v>
      </c>
      <c r="G927" s="9"/>
      <c r="H927" s="9" t="n">
        <v>1</v>
      </c>
      <c r="I927" s="9" t="s">
        <v>209</v>
      </c>
    </row>
    <row r="928" customFormat="false" ht="15" hidden="false" customHeight="false" outlineLevel="0" collapsed="false">
      <c r="A928" s="9" t="s">
        <v>3133</v>
      </c>
      <c r="B928" s="9" t="s">
        <v>3134</v>
      </c>
      <c r="C928" s="9" t="s">
        <v>323</v>
      </c>
      <c r="D928" s="9" t="s">
        <v>322</v>
      </c>
      <c r="E928" s="9" t="s">
        <v>133</v>
      </c>
      <c r="F928" s="9" t="s">
        <v>134</v>
      </c>
      <c r="G928" s="9"/>
      <c r="H928" s="9" t="n">
        <v>7</v>
      </c>
      <c r="I928" s="9" t="s">
        <v>209</v>
      </c>
    </row>
    <row r="929" customFormat="false" ht="15" hidden="false" customHeight="false" outlineLevel="0" collapsed="false">
      <c r="A929" s="9" t="s">
        <v>3135</v>
      </c>
      <c r="B929" s="9" t="s">
        <v>2368</v>
      </c>
      <c r="C929" s="9" t="s">
        <v>323</v>
      </c>
      <c r="D929" s="9" t="s">
        <v>322</v>
      </c>
      <c r="E929" s="9" t="s">
        <v>133</v>
      </c>
      <c r="F929" s="9" t="s">
        <v>134</v>
      </c>
      <c r="G929" s="9"/>
      <c r="H929" s="9" t="n">
        <v>9</v>
      </c>
      <c r="I929" s="9" t="s">
        <v>209</v>
      </c>
    </row>
    <row r="930" customFormat="false" ht="15" hidden="false" customHeight="false" outlineLevel="0" collapsed="false">
      <c r="A930" s="9" t="s">
        <v>3136</v>
      </c>
      <c r="B930" s="9" t="s">
        <v>2834</v>
      </c>
      <c r="C930" s="9" t="s">
        <v>325</v>
      </c>
      <c r="D930" s="9" t="s">
        <v>324</v>
      </c>
      <c r="E930" s="9" t="s">
        <v>133</v>
      </c>
      <c r="F930" s="9" t="s">
        <v>134</v>
      </c>
      <c r="G930" s="9"/>
      <c r="H930" s="9" t="n">
        <v>1</v>
      </c>
      <c r="I930" s="9" t="s">
        <v>135</v>
      </c>
    </row>
    <row r="931" customFormat="false" ht="15" hidden="false" customHeight="false" outlineLevel="0" collapsed="false">
      <c r="A931" s="9" t="s">
        <v>3137</v>
      </c>
      <c r="B931" s="9" t="s">
        <v>3138</v>
      </c>
      <c r="C931" s="9" t="s">
        <v>356</v>
      </c>
      <c r="D931" s="9" t="s">
        <v>355</v>
      </c>
      <c r="E931" s="9" t="s">
        <v>146</v>
      </c>
      <c r="F931" s="9" t="s">
        <v>134</v>
      </c>
      <c r="G931" s="9" t="s">
        <v>1510</v>
      </c>
      <c r="H931" s="9" t="n">
        <v>6</v>
      </c>
      <c r="I931" s="9" t="s">
        <v>135</v>
      </c>
    </row>
    <row r="932" customFormat="false" ht="15" hidden="false" customHeight="false" outlineLevel="0" collapsed="false">
      <c r="A932" s="9" t="s">
        <v>3139</v>
      </c>
      <c r="B932" s="9" t="s">
        <v>3140</v>
      </c>
      <c r="C932" s="9" t="s">
        <v>2239</v>
      </c>
      <c r="D932" s="9" t="s">
        <v>483</v>
      </c>
      <c r="E932" s="9" t="s">
        <v>200</v>
      </c>
      <c r="F932" s="9" t="s">
        <v>173</v>
      </c>
      <c r="G932" s="9" t="s">
        <v>1631</v>
      </c>
      <c r="H932" s="9" t="n">
        <v>3</v>
      </c>
      <c r="I932" s="9" t="s">
        <v>117</v>
      </c>
    </row>
    <row r="933" customFormat="false" ht="15" hidden="false" customHeight="false" outlineLevel="0" collapsed="false">
      <c r="A933" s="9" t="s">
        <v>2670</v>
      </c>
      <c r="B933" s="9" t="s">
        <v>2241</v>
      </c>
      <c r="C933" s="9" t="s">
        <v>2239</v>
      </c>
      <c r="D933" s="9" t="s">
        <v>483</v>
      </c>
      <c r="E933" s="9" t="s">
        <v>200</v>
      </c>
      <c r="F933" s="9" t="s">
        <v>173</v>
      </c>
      <c r="G933" s="9"/>
      <c r="H933" s="9" t="n">
        <v>5</v>
      </c>
      <c r="I933" s="9" t="s">
        <v>117</v>
      </c>
    </row>
    <row r="934" customFormat="false" ht="15" hidden="false" customHeight="false" outlineLevel="0" collapsed="false">
      <c r="A934" s="9" t="s">
        <v>2096</v>
      </c>
      <c r="B934" s="9" t="s">
        <v>3141</v>
      </c>
      <c r="C934" s="9" t="s">
        <v>2239</v>
      </c>
      <c r="D934" s="9" t="s">
        <v>483</v>
      </c>
      <c r="E934" s="9" t="s">
        <v>200</v>
      </c>
      <c r="F934" s="9" t="s">
        <v>173</v>
      </c>
      <c r="G934" s="9"/>
      <c r="H934" s="9" t="n">
        <v>6</v>
      </c>
      <c r="I934" s="9" t="s">
        <v>117</v>
      </c>
    </row>
    <row r="935" customFormat="false" ht="15" hidden="false" customHeight="false" outlineLevel="0" collapsed="false">
      <c r="A935" s="9" t="s">
        <v>3142</v>
      </c>
      <c r="B935" s="9" t="s">
        <v>1767</v>
      </c>
      <c r="C935" s="9" t="s">
        <v>2239</v>
      </c>
      <c r="D935" s="9" t="s">
        <v>483</v>
      </c>
      <c r="E935" s="9" t="s">
        <v>200</v>
      </c>
      <c r="F935" s="9" t="s">
        <v>173</v>
      </c>
      <c r="G935" s="9" t="s">
        <v>1510</v>
      </c>
      <c r="H935" s="9" t="n">
        <v>8</v>
      </c>
      <c r="I935" s="9" t="s">
        <v>117</v>
      </c>
    </row>
    <row r="936" customFormat="false" ht="15" hidden="false" customHeight="false" outlineLevel="0" collapsed="false">
      <c r="A936" s="9" t="s">
        <v>3143</v>
      </c>
      <c r="B936" s="9" t="s">
        <v>3144</v>
      </c>
      <c r="C936" s="9" t="s">
        <v>2239</v>
      </c>
      <c r="D936" s="9" t="s">
        <v>483</v>
      </c>
      <c r="E936" s="9" t="s">
        <v>200</v>
      </c>
      <c r="F936" s="9" t="s">
        <v>173</v>
      </c>
      <c r="G936" s="9"/>
      <c r="H936" s="9" t="n">
        <v>18</v>
      </c>
      <c r="I936" s="9" t="s">
        <v>117</v>
      </c>
    </row>
    <row r="937" customFormat="false" ht="15" hidden="false" customHeight="false" outlineLevel="0" collapsed="false">
      <c r="A937" s="9" t="s">
        <v>3145</v>
      </c>
      <c r="B937" s="9" t="s">
        <v>1767</v>
      </c>
      <c r="C937" s="9" t="s">
        <v>2239</v>
      </c>
      <c r="D937" s="9" t="s">
        <v>483</v>
      </c>
      <c r="E937" s="9" t="s">
        <v>200</v>
      </c>
      <c r="F937" s="9" t="s">
        <v>173</v>
      </c>
      <c r="G937" s="9"/>
      <c r="H937" s="9" t="n">
        <v>19</v>
      </c>
      <c r="I937" s="9" t="s">
        <v>117</v>
      </c>
    </row>
    <row r="938" customFormat="false" ht="15" hidden="false" customHeight="false" outlineLevel="0" collapsed="false">
      <c r="A938" s="9" t="s">
        <v>3146</v>
      </c>
      <c r="B938" s="9" t="s">
        <v>3147</v>
      </c>
      <c r="C938" s="9" t="s">
        <v>2239</v>
      </c>
      <c r="D938" s="9" t="s">
        <v>483</v>
      </c>
      <c r="E938" s="9" t="s">
        <v>200</v>
      </c>
      <c r="F938" s="9" t="s">
        <v>173</v>
      </c>
      <c r="G938" s="9"/>
      <c r="H938" s="9" t="n">
        <v>20</v>
      </c>
      <c r="I938" s="9" t="s">
        <v>117</v>
      </c>
    </row>
    <row r="939" customFormat="false" ht="15" hidden="false" customHeight="false" outlineLevel="0" collapsed="false">
      <c r="A939" s="9" t="s">
        <v>3148</v>
      </c>
      <c r="B939" s="9" t="s">
        <v>3149</v>
      </c>
      <c r="C939" s="9" t="s">
        <v>2239</v>
      </c>
      <c r="D939" s="9" t="s">
        <v>483</v>
      </c>
      <c r="E939" s="9" t="s">
        <v>200</v>
      </c>
      <c r="F939" s="9" t="s">
        <v>173</v>
      </c>
      <c r="G939" s="9" t="s">
        <v>1631</v>
      </c>
      <c r="H939" s="9" t="n">
        <v>22</v>
      </c>
      <c r="I939" s="9" t="s">
        <v>117</v>
      </c>
    </row>
    <row r="940" customFormat="false" ht="15" hidden="false" customHeight="false" outlineLevel="0" collapsed="false">
      <c r="A940" s="9" t="s">
        <v>3150</v>
      </c>
      <c r="B940" s="9" t="s">
        <v>3151</v>
      </c>
      <c r="C940" s="9" t="s">
        <v>2239</v>
      </c>
      <c r="D940" s="9" t="s">
        <v>483</v>
      </c>
      <c r="E940" s="9" t="s">
        <v>200</v>
      </c>
      <c r="F940" s="9" t="s">
        <v>173</v>
      </c>
      <c r="G940" s="9"/>
      <c r="H940" s="9" t="n">
        <v>23</v>
      </c>
      <c r="I940" s="9" t="s">
        <v>117</v>
      </c>
    </row>
    <row r="941" customFormat="false" ht="15" hidden="false" customHeight="false" outlineLevel="0" collapsed="false">
      <c r="A941" s="9" t="s">
        <v>1580</v>
      </c>
      <c r="B941" s="9" t="s">
        <v>3152</v>
      </c>
      <c r="C941" s="9" t="s">
        <v>2239</v>
      </c>
      <c r="D941" s="9" t="s">
        <v>483</v>
      </c>
      <c r="E941" s="9" t="s">
        <v>200</v>
      </c>
      <c r="F941" s="9" t="s">
        <v>173</v>
      </c>
      <c r="G941" s="9"/>
      <c r="H941" s="9" t="n">
        <v>25</v>
      </c>
      <c r="I941" s="9" t="s">
        <v>117</v>
      </c>
    </row>
    <row r="942" customFormat="false" ht="15" hidden="false" customHeight="false" outlineLevel="0" collapsed="false">
      <c r="A942" s="9" t="s">
        <v>830</v>
      </c>
      <c r="B942" s="9" t="s">
        <v>3153</v>
      </c>
      <c r="C942" s="9" t="s">
        <v>288</v>
      </c>
      <c r="D942" s="9" t="s">
        <v>287</v>
      </c>
      <c r="E942" s="9" t="s">
        <v>200</v>
      </c>
      <c r="F942" s="9" t="s">
        <v>173</v>
      </c>
      <c r="G942" s="9"/>
      <c r="H942" s="9" t="n">
        <v>4</v>
      </c>
      <c r="I942" s="9" t="s">
        <v>117</v>
      </c>
    </row>
    <row r="943" customFormat="false" ht="15" hidden="false" customHeight="false" outlineLevel="0" collapsed="false">
      <c r="A943" s="9" t="s">
        <v>3154</v>
      </c>
      <c r="B943" s="9" t="s">
        <v>3155</v>
      </c>
      <c r="C943" s="9" t="s">
        <v>288</v>
      </c>
      <c r="D943" s="9" t="s">
        <v>287</v>
      </c>
      <c r="E943" s="9" t="s">
        <v>200</v>
      </c>
      <c r="F943" s="9" t="s">
        <v>173</v>
      </c>
      <c r="G943" s="9" t="s">
        <v>1510</v>
      </c>
      <c r="H943" s="9" t="n">
        <v>9</v>
      </c>
      <c r="I943" s="9" t="s">
        <v>117</v>
      </c>
    </row>
    <row r="944" customFormat="false" ht="15" hidden="false" customHeight="false" outlineLevel="0" collapsed="false">
      <c r="A944" s="9" t="s">
        <v>3156</v>
      </c>
      <c r="B944" s="9" t="s">
        <v>2052</v>
      </c>
      <c r="C944" s="9" t="s">
        <v>288</v>
      </c>
      <c r="D944" s="9" t="s">
        <v>287</v>
      </c>
      <c r="E944" s="9" t="s">
        <v>200</v>
      </c>
      <c r="F944" s="9" t="s">
        <v>173</v>
      </c>
      <c r="G944" s="9"/>
      <c r="H944" s="9" t="n">
        <v>10</v>
      </c>
      <c r="I944" s="9" t="s">
        <v>117</v>
      </c>
    </row>
    <row r="945" customFormat="false" ht="15" hidden="false" customHeight="false" outlineLevel="0" collapsed="false">
      <c r="A945" s="9" t="s">
        <v>2109</v>
      </c>
      <c r="B945" s="9" t="s">
        <v>3157</v>
      </c>
      <c r="C945" s="9" t="s">
        <v>288</v>
      </c>
      <c r="D945" s="9" t="s">
        <v>287</v>
      </c>
      <c r="E945" s="9" t="s">
        <v>200</v>
      </c>
      <c r="F945" s="9" t="s">
        <v>173</v>
      </c>
      <c r="G945" s="9"/>
      <c r="H945" s="9" t="n">
        <v>12</v>
      </c>
      <c r="I945" s="9" t="s">
        <v>117</v>
      </c>
    </row>
    <row r="946" customFormat="false" ht="15" hidden="false" customHeight="false" outlineLevel="0" collapsed="false">
      <c r="A946" s="9" t="s">
        <v>3158</v>
      </c>
      <c r="B946" s="9" t="s">
        <v>3159</v>
      </c>
      <c r="C946" s="9" t="s">
        <v>288</v>
      </c>
      <c r="D946" s="9" t="s">
        <v>287</v>
      </c>
      <c r="E946" s="9" t="s">
        <v>200</v>
      </c>
      <c r="F946" s="9" t="s">
        <v>173</v>
      </c>
      <c r="G946" s="9"/>
      <c r="H946" s="9" t="n">
        <v>13</v>
      </c>
      <c r="I946" s="9" t="s">
        <v>117</v>
      </c>
    </row>
    <row r="947" customFormat="false" ht="15" hidden="false" customHeight="false" outlineLevel="0" collapsed="false">
      <c r="A947" s="9" t="s">
        <v>3160</v>
      </c>
      <c r="B947" s="9" t="s">
        <v>2261</v>
      </c>
      <c r="C947" s="9" t="s">
        <v>288</v>
      </c>
      <c r="D947" s="9" t="s">
        <v>287</v>
      </c>
      <c r="E947" s="9" t="s">
        <v>200</v>
      </c>
      <c r="F947" s="9" t="s">
        <v>173</v>
      </c>
      <c r="G947" s="9"/>
      <c r="H947" s="9" t="n">
        <v>15</v>
      </c>
      <c r="I947" s="9" t="s">
        <v>117</v>
      </c>
    </row>
    <row r="948" customFormat="false" ht="15" hidden="false" customHeight="false" outlineLevel="0" collapsed="false">
      <c r="A948" s="9" t="s">
        <v>3161</v>
      </c>
      <c r="B948" s="9" t="s">
        <v>2261</v>
      </c>
      <c r="C948" s="9" t="s">
        <v>288</v>
      </c>
      <c r="D948" s="9" t="s">
        <v>287</v>
      </c>
      <c r="E948" s="9" t="s">
        <v>200</v>
      </c>
      <c r="F948" s="9" t="s">
        <v>173</v>
      </c>
      <c r="G948" s="9"/>
      <c r="H948" s="9" t="n">
        <v>16</v>
      </c>
      <c r="I948" s="9" t="s">
        <v>117</v>
      </c>
    </row>
    <row r="949" customFormat="false" ht="15" hidden="false" customHeight="false" outlineLevel="0" collapsed="false">
      <c r="A949" s="9" t="s">
        <v>3162</v>
      </c>
      <c r="B949" s="9" t="s">
        <v>3163</v>
      </c>
      <c r="C949" s="9" t="s">
        <v>288</v>
      </c>
      <c r="D949" s="9" t="s">
        <v>287</v>
      </c>
      <c r="E949" s="9" t="s">
        <v>200</v>
      </c>
      <c r="F949" s="9" t="s">
        <v>173</v>
      </c>
      <c r="G949" s="9" t="s">
        <v>1510</v>
      </c>
      <c r="H949" s="9" t="n">
        <v>21</v>
      </c>
      <c r="I949" s="9" t="s">
        <v>117</v>
      </c>
    </row>
    <row r="950" customFormat="false" ht="15" hidden="false" customHeight="false" outlineLevel="0" collapsed="false">
      <c r="A950" s="9" t="s">
        <v>3164</v>
      </c>
      <c r="B950" s="9" t="s">
        <v>3165</v>
      </c>
      <c r="C950" s="9" t="s">
        <v>288</v>
      </c>
      <c r="D950" s="9" t="s">
        <v>287</v>
      </c>
      <c r="E950" s="9" t="s">
        <v>200</v>
      </c>
      <c r="F950" s="9" t="s">
        <v>173</v>
      </c>
      <c r="G950" s="9" t="s">
        <v>1510</v>
      </c>
      <c r="H950" s="9" t="n">
        <v>22</v>
      </c>
      <c r="I950" s="9" t="s">
        <v>117</v>
      </c>
    </row>
    <row r="951" customFormat="false" ht="15" hidden="false" customHeight="false" outlineLevel="0" collapsed="false">
      <c r="A951" s="9" t="s">
        <v>3166</v>
      </c>
      <c r="B951" s="9" t="s">
        <v>3167</v>
      </c>
      <c r="C951" s="9" t="s">
        <v>288</v>
      </c>
      <c r="D951" s="9" t="s">
        <v>287</v>
      </c>
      <c r="E951" s="9" t="s">
        <v>200</v>
      </c>
      <c r="F951" s="9" t="s">
        <v>173</v>
      </c>
      <c r="G951" s="9" t="s">
        <v>1510</v>
      </c>
      <c r="H951" s="9" t="n">
        <v>28</v>
      </c>
      <c r="I951" s="9" t="s">
        <v>117</v>
      </c>
    </row>
    <row r="952" customFormat="false" ht="15" hidden="false" customHeight="false" outlineLevel="0" collapsed="false">
      <c r="A952" s="9" t="s">
        <v>3168</v>
      </c>
      <c r="B952" s="9" t="s">
        <v>3169</v>
      </c>
      <c r="C952" s="9" t="s">
        <v>288</v>
      </c>
      <c r="D952" s="9" t="s">
        <v>287</v>
      </c>
      <c r="E952" s="9" t="s">
        <v>200</v>
      </c>
      <c r="F952" s="9" t="s">
        <v>173</v>
      </c>
      <c r="G952" s="9"/>
      <c r="H952" s="9" t="n">
        <v>29</v>
      </c>
      <c r="I952" s="9" t="s">
        <v>117</v>
      </c>
    </row>
    <row r="953" customFormat="false" ht="15" hidden="false" customHeight="false" outlineLevel="0" collapsed="false">
      <c r="A953" s="9" t="s">
        <v>3170</v>
      </c>
      <c r="B953" s="9" t="s">
        <v>2272</v>
      </c>
      <c r="C953" s="9" t="s">
        <v>341</v>
      </c>
      <c r="D953" s="9" t="s">
        <v>340</v>
      </c>
      <c r="E953" s="9" t="s">
        <v>106</v>
      </c>
      <c r="F953" s="9" t="s">
        <v>173</v>
      </c>
      <c r="G953" s="9"/>
      <c r="H953" s="9" t="n">
        <v>2</v>
      </c>
      <c r="I953" s="9" t="s">
        <v>117</v>
      </c>
    </row>
    <row r="954" customFormat="false" ht="15" hidden="false" customHeight="false" outlineLevel="0" collapsed="false">
      <c r="A954" s="9" t="s">
        <v>2955</v>
      </c>
      <c r="B954" s="9" t="s">
        <v>2272</v>
      </c>
      <c r="C954" s="9" t="s">
        <v>341</v>
      </c>
      <c r="D954" s="9" t="s">
        <v>340</v>
      </c>
      <c r="E954" s="9" t="s">
        <v>106</v>
      </c>
      <c r="F954" s="9" t="s">
        <v>173</v>
      </c>
      <c r="G954" s="9"/>
      <c r="H954" s="9" t="n">
        <v>4</v>
      </c>
      <c r="I954" s="9" t="s">
        <v>117</v>
      </c>
    </row>
    <row r="955" customFormat="false" ht="15" hidden="false" customHeight="false" outlineLevel="0" collapsed="false">
      <c r="A955" s="9" t="s">
        <v>3171</v>
      </c>
      <c r="B955" s="9" t="s">
        <v>3172</v>
      </c>
      <c r="C955" s="9" t="s">
        <v>372</v>
      </c>
      <c r="D955" s="9" t="s">
        <v>371</v>
      </c>
      <c r="E955" s="9" t="s">
        <v>200</v>
      </c>
      <c r="F955" s="9" t="s">
        <v>173</v>
      </c>
      <c r="G955" s="9"/>
      <c r="H955" s="9" t="n">
        <v>1</v>
      </c>
      <c r="I955" s="9" t="s">
        <v>117</v>
      </c>
    </row>
    <row r="956" customFormat="false" ht="15" hidden="false" customHeight="false" outlineLevel="0" collapsed="false">
      <c r="A956" s="9" t="s">
        <v>3173</v>
      </c>
      <c r="B956" s="9" t="s">
        <v>3174</v>
      </c>
      <c r="C956" s="9" t="s">
        <v>241</v>
      </c>
      <c r="D956" s="9" t="s">
        <v>246</v>
      </c>
      <c r="E956" s="9" t="s">
        <v>241</v>
      </c>
      <c r="F956" s="9" t="s">
        <v>152</v>
      </c>
      <c r="G956" s="9"/>
      <c r="H956" s="9" t="n">
        <v>1</v>
      </c>
      <c r="I956" s="9" t="s">
        <v>117</v>
      </c>
    </row>
    <row r="957" customFormat="false" ht="15" hidden="false" customHeight="false" outlineLevel="0" collapsed="false">
      <c r="A957" s="9" t="s">
        <v>3175</v>
      </c>
      <c r="B957" s="9" t="s">
        <v>3176</v>
      </c>
      <c r="C957" s="9" t="s">
        <v>241</v>
      </c>
      <c r="D957" s="9" t="s">
        <v>246</v>
      </c>
      <c r="E957" s="9" t="s">
        <v>241</v>
      </c>
      <c r="F957" s="9" t="s">
        <v>152</v>
      </c>
      <c r="G957" s="9"/>
      <c r="H957" s="9" t="n">
        <v>2</v>
      </c>
      <c r="I957" s="9" t="s">
        <v>117</v>
      </c>
    </row>
    <row r="958" customFormat="false" ht="15" hidden="false" customHeight="false" outlineLevel="0" collapsed="false">
      <c r="A958" s="9" t="s">
        <v>3177</v>
      </c>
      <c r="B958" s="9" t="s">
        <v>3178</v>
      </c>
      <c r="C958" s="9" t="s">
        <v>241</v>
      </c>
      <c r="D958" s="9" t="s">
        <v>246</v>
      </c>
      <c r="E958" s="9" t="s">
        <v>241</v>
      </c>
      <c r="F958" s="9" t="s">
        <v>152</v>
      </c>
      <c r="G958" s="9"/>
      <c r="H958" s="9" t="n">
        <v>3</v>
      </c>
      <c r="I958" s="9" t="s">
        <v>117</v>
      </c>
    </row>
    <row r="959" customFormat="false" ht="15" hidden="false" customHeight="false" outlineLevel="0" collapsed="false">
      <c r="A959" s="9" t="s">
        <v>3179</v>
      </c>
      <c r="B959" s="9" t="s">
        <v>3180</v>
      </c>
      <c r="C959" s="9" t="s">
        <v>241</v>
      </c>
      <c r="D959" s="9" t="s">
        <v>246</v>
      </c>
      <c r="E959" s="9" t="s">
        <v>241</v>
      </c>
      <c r="F959" s="9" t="s">
        <v>152</v>
      </c>
      <c r="G959" s="9"/>
      <c r="H959" s="9" t="n">
        <v>4</v>
      </c>
      <c r="I959" s="9" t="s">
        <v>117</v>
      </c>
    </row>
    <row r="960" customFormat="false" ht="15" hidden="false" customHeight="false" outlineLevel="0" collapsed="false">
      <c r="A960" s="9" t="s">
        <v>3181</v>
      </c>
      <c r="B960" s="9" t="s">
        <v>3182</v>
      </c>
      <c r="C960" s="9" t="s">
        <v>241</v>
      </c>
      <c r="D960" s="9" t="s">
        <v>246</v>
      </c>
      <c r="E960" s="9" t="s">
        <v>241</v>
      </c>
      <c r="F960" s="9" t="s">
        <v>152</v>
      </c>
      <c r="G960" s="9"/>
      <c r="H960" s="9" t="n">
        <v>7</v>
      </c>
      <c r="I960" s="9" t="s">
        <v>117</v>
      </c>
    </row>
    <row r="961" customFormat="false" ht="15" hidden="false" customHeight="false" outlineLevel="0" collapsed="false">
      <c r="A961" s="9" t="s">
        <v>3183</v>
      </c>
      <c r="B961" s="9" t="s">
        <v>3184</v>
      </c>
      <c r="C961" s="9" t="s">
        <v>241</v>
      </c>
      <c r="D961" s="9" t="s">
        <v>246</v>
      </c>
      <c r="E961" s="9" t="s">
        <v>241</v>
      </c>
      <c r="F961" s="9" t="s">
        <v>152</v>
      </c>
      <c r="G961" s="9"/>
      <c r="H961" s="9" t="n">
        <v>9</v>
      </c>
      <c r="I961" s="9" t="s">
        <v>117</v>
      </c>
    </row>
    <row r="962" customFormat="false" ht="15" hidden="false" customHeight="false" outlineLevel="0" collapsed="false">
      <c r="A962" s="9" t="s">
        <v>3185</v>
      </c>
      <c r="B962" s="9" t="s">
        <v>3186</v>
      </c>
      <c r="C962" s="9" t="s">
        <v>241</v>
      </c>
      <c r="D962" s="9" t="s">
        <v>246</v>
      </c>
      <c r="E962" s="9" t="s">
        <v>241</v>
      </c>
      <c r="F962" s="9" t="s">
        <v>152</v>
      </c>
      <c r="G962" s="9" t="s">
        <v>1510</v>
      </c>
      <c r="H962" s="9" t="n">
        <v>10</v>
      </c>
      <c r="I962" s="9" t="s">
        <v>117</v>
      </c>
    </row>
    <row r="963" customFormat="false" ht="15" hidden="false" customHeight="false" outlineLevel="0" collapsed="false">
      <c r="A963" s="9" t="s">
        <v>1576</v>
      </c>
      <c r="B963" s="9" t="s">
        <v>1990</v>
      </c>
      <c r="C963" s="9" t="s">
        <v>241</v>
      </c>
      <c r="D963" s="9" t="s">
        <v>246</v>
      </c>
      <c r="E963" s="9" t="s">
        <v>241</v>
      </c>
      <c r="F963" s="9" t="s">
        <v>152</v>
      </c>
      <c r="G963" s="9"/>
      <c r="H963" s="9" t="n">
        <v>13</v>
      </c>
      <c r="I963" s="9" t="s">
        <v>117</v>
      </c>
    </row>
    <row r="964" customFormat="false" ht="15" hidden="false" customHeight="false" outlineLevel="0" collapsed="false">
      <c r="A964" s="9" t="s">
        <v>3187</v>
      </c>
      <c r="B964" s="9" t="s">
        <v>3188</v>
      </c>
      <c r="C964" s="9" t="s">
        <v>241</v>
      </c>
      <c r="D964" s="9" t="s">
        <v>246</v>
      </c>
      <c r="E964" s="9" t="s">
        <v>241</v>
      </c>
      <c r="F964" s="9" t="s">
        <v>152</v>
      </c>
      <c r="G964" s="9" t="s">
        <v>1510</v>
      </c>
      <c r="H964" s="9" t="n">
        <v>15</v>
      </c>
      <c r="I964" s="9" t="s">
        <v>117</v>
      </c>
    </row>
    <row r="965" customFormat="false" ht="15" hidden="false" customHeight="false" outlineLevel="0" collapsed="false">
      <c r="A965" s="9" t="s">
        <v>3189</v>
      </c>
      <c r="B965" s="9" t="s">
        <v>3190</v>
      </c>
      <c r="C965" s="9" t="s">
        <v>241</v>
      </c>
      <c r="D965" s="9" t="s">
        <v>246</v>
      </c>
      <c r="E965" s="9" t="s">
        <v>241</v>
      </c>
      <c r="F965" s="9" t="s">
        <v>152</v>
      </c>
      <c r="G965" s="9"/>
      <c r="H965" s="9" t="n">
        <v>16</v>
      </c>
      <c r="I965" s="9" t="s">
        <v>117</v>
      </c>
    </row>
    <row r="966" customFormat="false" ht="15" hidden="false" customHeight="false" outlineLevel="0" collapsed="false">
      <c r="A966" s="9" t="s">
        <v>1506</v>
      </c>
      <c r="B966" s="9" t="s">
        <v>3191</v>
      </c>
      <c r="C966" s="9" t="s">
        <v>241</v>
      </c>
      <c r="D966" s="9" t="s">
        <v>246</v>
      </c>
      <c r="E966" s="9" t="s">
        <v>241</v>
      </c>
      <c r="F966" s="9" t="s">
        <v>152</v>
      </c>
      <c r="G966" s="9"/>
      <c r="H966" s="9" t="n">
        <v>20</v>
      </c>
      <c r="I966" s="9" t="s">
        <v>117</v>
      </c>
    </row>
    <row r="967" customFormat="false" ht="15" hidden="false" customHeight="false" outlineLevel="0" collapsed="false">
      <c r="A967" s="9" t="s">
        <v>3192</v>
      </c>
      <c r="B967" s="9" t="s">
        <v>2287</v>
      </c>
      <c r="C967" s="9" t="s">
        <v>229</v>
      </c>
      <c r="D967" s="9" t="s">
        <v>250</v>
      </c>
      <c r="E967" s="9" t="s">
        <v>229</v>
      </c>
      <c r="F967" s="9" t="s">
        <v>152</v>
      </c>
      <c r="G967" s="9"/>
      <c r="H967" s="9" t="n">
        <v>2</v>
      </c>
      <c r="I967" s="9" t="s">
        <v>117</v>
      </c>
    </row>
    <row r="968" customFormat="false" ht="15" hidden="false" customHeight="false" outlineLevel="0" collapsed="false">
      <c r="A968" s="9" t="s">
        <v>3193</v>
      </c>
      <c r="B968" s="9" t="s">
        <v>2288</v>
      </c>
      <c r="C968" s="9" t="s">
        <v>229</v>
      </c>
      <c r="D968" s="9" t="s">
        <v>250</v>
      </c>
      <c r="E968" s="9" t="s">
        <v>229</v>
      </c>
      <c r="F968" s="9" t="s">
        <v>152</v>
      </c>
      <c r="G968" s="9"/>
      <c r="H968" s="9" t="n">
        <v>3</v>
      </c>
      <c r="I968" s="9" t="s">
        <v>117</v>
      </c>
    </row>
    <row r="969" customFormat="false" ht="15" hidden="false" customHeight="false" outlineLevel="0" collapsed="false">
      <c r="A969" s="9" t="s">
        <v>3194</v>
      </c>
      <c r="B969" s="9" t="s">
        <v>2288</v>
      </c>
      <c r="C969" s="9" t="s">
        <v>229</v>
      </c>
      <c r="D969" s="9" t="s">
        <v>250</v>
      </c>
      <c r="E969" s="9" t="s">
        <v>229</v>
      </c>
      <c r="F969" s="9" t="s">
        <v>152</v>
      </c>
      <c r="G969" s="9"/>
      <c r="H969" s="9" t="n">
        <v>13</v>
      </c>
      <c r="I969" s="9" t="s">
        <v>117</v>
      </c>
    </row>
    <row r="970" customFormat="false" ht="15" hidden="false" customHeight="false" outlineLevel="0" collapsed="false">
      <c r="A970" s="9" t="s">
        <v>3195</v>
      </c>
      <c r="B970" s="9" t="s">
        <v>3196</v>
      </c>
      <c r="C970" s="9" t="s">
        <v>229</v>
      </c>
      <c r="D970" s="9" t="s">
        <v>250</v>
      </c>
      <c r="E970" s="9" t="s">
        <v>229</v>
      </c>
      <c r="F970" s="9" t="s">
        <v>152</v>
      </c>
      <c r="G970" s="9"/>
      <c r="H970" s="9" t="n">
        <v>14</v>
      </c>
      <c r="I970" s="9" t="s">
        <v>117</v>
      </c>
    </row>
    <row r="971" customFormat="false" ht="15" hidden="false" customHeight="false" outlineLevel="0" collapsed="false">
      <c r="A971" s="9" t="s">
        <v>1816</v>
      </c>
      <c r="B971" s="9" t="s">
        <v>3197</v>
      </c>
      <c r="C971" s="9" t="s">
        <v>229</v>
      </c>
      <c r="D971" s="9" t="s">
        <v>250</v>
      </c>
      <c r="E971" s="9" t="s">
        <v>229</v>
      </c>
      <c r="F971" s="9" t="s">
        <v>152</v>
      </c>
      <c r="G971" s="9"/>
      <c r="H971" s="9" t="n">
        <v>17</v>
      </c>
      <c r="I971" s="9" t="s">
        <v>117</v>
      </c>
    </row>
    <row r="972" customFormat="false" ht="15" hidden="false" customHeight="false" outlineLevel="0" collapsed="false">
      <c r="A972" s="9" t="s">
        <v>3198</v>
      </c>
      <c r="B972" s="9" t="s">
        <v>3199</v>
      </c>
      <c r="C972" s="9" t="s">
        <v>293</v>
      </c>
      <c r="D972" s="9" t="s">
        <v>292</v>
      </c>
      <c r="E972" s="9" t="s">
        <v>278</v>
      </c>
      <c r="F972" s="9" t="s">
        <v>152</v>
      </c>
      <c r="G972" s="9" t="s">
        <v>1510</v>
      </c>
      <c r="H972" s="9" t="n">
        <v>3</v>
      </c>
      <c r="I972" s="9" t="s">
        <v>117</v>
      </c>
    </row>
    <row r="973" customFormat="false" ht="15" hidden="false" customHeight="false" outlineLevel="0" collapsed="false">
      <c r="A973" s="9" t="s">
        <v>1862</v>
      </c>
      <c r="B973" s="9" t="s">
        <v>3200</v>
      </c>
      <c r="C973" s="9" t="s">
        <v>278</v>
      </c>
      <c r="D973" s="9" t="s">
        <v>277</v>
      </c>
      <c r="E973" s="9" t="s">
        <v>278</v>
      </c>
      <c r="F973" s="9" t="s">
        <v>152</v>
      </c>
      <c r="G973" s="9"/>
      <c r="H973" s="9" t="n">
        <v>3</v>
      </c>
      <c r="I973" s="9" t="s">
        <v>117</v>
      </c>
    </row>
    <row r="974" customFormat="false" ht="15" hidden="false" customHeight="false" outlineLevel="0" collapsed="false">
      <c r="A974" s="9" t="s">
        <v>3201</v>
      </c>
      <c r="B974" s="9" t="s">
        <v>3202</v>
      </c>
      <c r="C974" s="9" t="s">
        <v>278</v>
      </c>
      <c r="D974" s="9" t="s">
        <v>277</v>
      </c>
      <c r="E974" s="9" t="s">
        <v>278</v>
      </c>
      <c r="F974" s="9" t="s">
        <v>152</v>
      </c>
      <c r="G974" s="9"/>
      <c r="H974" s="9" t="n">
        <v>5</v>
      </c>
      <c r="I974" s="9" t="s">
        <v>117</v>
      </c>
    </row>
    <row r="975" customFormat="false" ht="15" hidden="false" customHeight="false" outlineLevel="0" collapsed="false">
      <c r="A975" s="9" t="s">
        <v>3203</v>
      </c>
      <c r="B975" s="9" t="s">
        <v>3204</v>
      </c>
      <c r="C975" s="9" t="s">
        <v>278</v>
      </c>
      <c r="D975" s="9" t="s">
        <v>277</v>
      </c>
      <c r="E975" s="9" t="s">
        <v>278</v>
      </c>
      <c r="F975" s="9" t="s">
        <v>152</v>
      </c>
      <c r="G975" s="9"/>
      <c r="H975" s="9" t="n">
        <v>10</v>
      </c>
      <c r="I975" s="9" t="s">
        <v>117</v>
      </c>
    </row>
    <row r="976" customFormat="false" ht="15" hidden="false" customHeight="false" outlineLevel="0" collapsed="false">
      <c r="A976" s="9" t="s">
        <v>3205</v>
      </c>
      <c r="B976" s="9" t="s">
        <v>3206</v>
      </c>
      <c r="C976" s="9" t="s">
        <v>278</v>
      </c>
      <c r="D976" s="9" t="s">
        <v>277</v>
      </c>
      <c r="E976" s="9" t="s">
        <v>278</v>
      </c>
      <c r="F976" s="9" t="s">
        <v>152</v>
      </c>
      <c r="G976" s="9"/>
      <c r="H976" s="9" t="n">
        <v>11</v>
      </c>
      <c r="I976" s="9" t="s">
        <v>117</v>
      </c>
    </row>
    <row r="977" customFormat="false" ht="15" hidden="false" customHeight="false" outlineLevel="0" collapsed="false">
      <c r="A977" s="9" t="s">
        <v>3207</v>
      </c>
      <c r="B977" s="9" t="s">
        <v>3208</v>
      </c>
      <c r="C977" s="9" t="s">
        <v>278</v>
      </c>
      <c r="D977" s="9" t="s">
        <v>277</v>
      </c>
      <c r="E977" s="9" t="s">
        <v>278</v>
      </c>
      <c r="F977" s="9" t="s">
        <v>152</v>
      </c>
      <c r="G977" s="9" t="s">
        <v>1510</v>
      </c>
      <c r="H977" s="9" t="n">
        <v>14</v>
      </c>
      <c r="I977" s="9" t="s">
        <v>117</v>
      </c>
    </row>
    <row r="978" customFormat="false" ht="15" hidden="false" customHeight="false" outlineLevel="0" collapsed="false">
      <c r="A978" s="9" t="s">
        <v>3209</v>
      </c>
      <c r="B978" s="9" t="s">
        <v>3210</v>
      </c>
      <c r="C978" s="9" t="s">
        <v>278</v>
      </c>
      <c r="D978" s="9" t="s">
        <v>277</v>
      </c>
      <c r="E978" s="9" t="s">
        <v>278</v>
      </c>
      <c r="F978" s="9" t="s">
        <v>152</v>
      </c>
      <c r="G978" s="9" t="s">
        <v>1510</v>
      </c>
      <c r="H978" s="9" t="n">
        <v>15</v>
      </c>
      <c r="I978" s="9" t="s">
        <v>117</v>
      </c>
    </row>
    <row r="979" customFormat="false" ht="15" hidden="false" customHeight="false" outlineLevel="0" collapsed="false">
      <c r="A979" s="9" t="s">
        <v>1840</v>
      </c>
      <c r="B979" s="9" t="s">
        <v>3211</v>
      </c>
      <c r="C979" s="9" t="s">
        <v>278</v>
      </c>
      <c r="D979" s="9" t="s">
        <v>277</v>
      </c>
      <c r="E979" s="9" t="s">
        <v>278</v>
      </c>
      <c r="F979" s="9" t="s">
        <v>152</v>
      </c>
      <c r="G979" s="9" t="s">
        <v>1510</v>
      </c>
      <c r="H979" s="9" t="n">
        <v>16</v>
      </c>
      <c r="I979" s="9" t="s">
        <v>117</v>
      </c>
    </row>
    <row r="980" customFormat="false" ht="15" hidden="false" customHeight="false" outlineLevel="0" collapsed="false">
      <c r="A980" s="9" t="s">
        <v>3212</v>
      </c>
      <c r="B980" s="9" t="s">
        <v>3213</v>
      </c>
      <c r="C980" s="9" t="s">
        <v>278</v>
      </c>
      <c r="D980" s="9" t="s">
        <v>277</v>
      </c>
      <c r="E980" s="9" t="s">
        <v>278</v>
      </c>
      <c r="F980" s="9" t="s">
        <v>152</v>
      </c>
      <c r="G980" s="9" t="s">
        <v>1510</v>
      </c>
      <c r="H980" s="9" t="n">
        <v>18</v>
      </c>
      <c r="I980" s="9" t="s">
        <v>117</v>
      </c>
    </row>
    <row r="981" customFormat="false" ht="15" hidden="false" customHeight="false" outlineLevel="0" collapsed="false">
      <c r="A981" s="9" t="s">
        <v>3214</v>
      </c>
      <c r="B981" s="9" t="s">
        <v>3215</v>
      </c>
      <c r="C981" s="9" t="s">
        <v>278</v>
      </c>
      <c r="D981" s="9" t="s">
        <v>277</v>
      </c>
      <c r="E981" s="9" t="s">
        <v>278</v>
      </c>
      <c r="F981" s="9" t="s">
        <v>152</v>
      </c>
      <c r="G981" s="9" t="s">
        <v>1510</v>
      </c>
      <c r="H981" s="9" t="n">
        <v>19</v>
      </c>
      <c r="I981" s="9" t="s">
        <v>117</v>
      </c>
    </row>
    <row r="982" customFormat="false" ht="15" hidden="false" customHeight="false" outlineLevel="0" collapsed="false">
      <c r="A982" s="9" t="s">
        <v>2422</v>
      </c>
      <c r="B982" s="9" t="s">
        <v>3216</v>
      </c>
      <c r="C982" s="9" t="s">
        <v>278</v>
      </c>
      <c r="D982" s="9" t="s">
        <v>277</v>
      </c>
      <c r="E982" s="9" t="s">
        <v>278</v>
      </c>
      <c r="F982" s="9" t="s">
        <v>152</v>
      </c>
      <c r="G982" s="9" t="s">
        <v>1510</v>
      </c>
      <c r="H982" s="9" t="n">
        <v>21</v>
      </c>
      <c r="I982" s="9" t="s">
        <v>117</v>
      </c>
    </row>
    <row r="983" customFormat="false" ht="15" hidden="false" customHeight="false" outlineLevel="0" collapsed="false">
      <c r="A983" s="9" t="s">
        <v>3217</v>
      </c>
      <c r="B983" s="9" t="s">
        <v>3218</v>
      </c>
      <c r="C983" s="9" t="s">
        <v>278</v>
      </c>
      <c r="D983" s="9" t="s">
        <v>277</v>
      </c>
      <c r="E983" s="9" t="s">
        <v>278</v>
      </c>
      <c r="F983" s="9" t="s">
        <v>152</v>
      </c>
      <c r="G983" s="9" t="s">
        <v>1510</v>
      </c>
      <c r="H983" s="9" t="n">
        <v>23</v>
      </c>
      <c r="I983" s="9" t="s">
        <v>117</v>
      </c>
    </row>
    <row r="984" customFormat="false" ht="15" hidden="false" customHeight="false" outlineLevel="0" collapsed="false">
      <c r="A984" s="9" t="s">
        <v>3219</v>
      </c>
      <c r="B984" s="9" t="s">
        <v>3220</v>
      </c>
      <c r="C984" s="9" t="s">
        <v>347</v>
      </c>
      <c r="D984" s="9" t="s">
        <v>346</v>
      </c>
      <c r="E984" s="9" t="s">
        <v>278</v>
      </c>
      <c r="F984" s="9" t="s">
        <v>152</v>
      </c>
      <c r="G984" s="9"/>
      <c r="H984" s="9" t="n">
        <v>5</v>
      </c>
      <c r="I984" s="9" t="s">
        <v>117</v>
      </c>
    </row>
    <row r="985" customFormat="false" ht="15" hidden="false" customHeight="false" outlineLevel="0" collapsed="false">
      <c r="A985" s="9" t="s">
        <v>3221</v>
      </c>
      <c r="B985" s="9" t="s">
        <v>3222</v>
      </c>
      <c r="C985" s="9" t="s">
        <v>347</v>
      </c>
      <c r="D985" s="9" t="s">
        <v>346</v>
      </c>
      <c r="E985" s="9" t="s">
        <v>278</v>
      </c>
      <c r="F985" s="9" t="s">
        <v>152</v>
      </c>
      <c r="G985" s="9"/>
      <c r="H985" s="9" t="n">
        <v>6</v>
      </c>
      <c r="I985" s="9" t="s">
        <v>117</v>
      </c>
    </row>
    <row r="986" customFormat="false" ht="15" hidden="false" customHeight="false" outlineLevel="0" collapsed="false">
      <c r="A986" s="9" t="s">
        <v>3223</v>
      </c>
      <c r="B986" s="9" t="s">
        <v>3224</v>
      </c>
      <c r="C986" s="9" t="s">
        <v>347</v>
      </c>
      <c r="D986" s="9" t="s">
        <v>346</v>
      </c>
      <c r="E986" s="9" t="s">
        <v>278</v>
      </c>
      <c r="F986" s="9" t="s">
        <v>152</v>
      </c>
      <c r="G986" s="9" t="s">
        <v>1631</v>
      </c>
      <c r="H986" s="9" t="n">
        <v>8</v>
      </c>
      <c r="I986" s="9" t="s">
        <v>117</v>
      </c>
    </row>
    <row r="987" customFormat="false" ht="15" hidden="false" customHeight="false" outlineLevel="0" collapsed="false">
      <c r="A987" s="9" t="s">
        <v>3225</v>
      </c>
      <c r="B987" s="9" t="s">
        <v>3226</v>
      </c>
      <c r="C987" s="9" t="s">
        <v>486</v>
      </c>
      <c r="D987" s="9" t="s">
        <v>485</v>
      </c>
      <c r="E987" s="9" t="s">
        <v>133</v>
      </c>
      <c r="F987" s="9" t="s">
        <v>116</v>
      </c>
      <c r="G987" s="9" t="s">
        <v>1631</v>
      </c>
      <c r="H987" s="9" t="n">
        <v>3</v>
      </c>
      <c r="I987" s="9" t="s">
        <v>117</v>
      </c>
    </row>
    <row r="988" customFormat="false" ht="15" hidden="false" customHeight="false" outlineLevel="0" collapsed="false">
      <c r="A988" s="9" t="s">
        <v>1576</v>
      </c>
      <c r="B988" s="9" t="s">
        <v>3227</v>
      </c>
      <c r="C988" s="9" t="s">
        <v>486</v>
      </c>
      <c r="D988" s="9" t="s">
        <v>485</v>
      </c>
      <c r="E988" s="9" t="s">
        <v>133</v>
      </c>
      <c r="F988" s="9" t="s">
        <v>116</v>
      </c>
      <c r="G988" s="9"/>
      <c r="H988" s="9" t="n">
        <v>4</v>
      </c>
      <c r="I988" s="9" t="s">
        <v>117</v>
      </c>
    </row>
    <row r="989" customFormat="false" ht="15" hidden="false" customHeight="false" outlineLevel="0" collapsed="false">
      <c r="A989" s="9" t="s">
        <v>3228</v>
      </c>
      <c r="B989" s="9" t="s">
        <v>3229</v>
      </c>
      <c r="C989" s="9" t="s">
        <v>486</v>
      </c>
      <c r="D989" s="9" t="s">
        <v>485</v>
      </c>
      <c r="E989" s="9" t="s">
        <v>133</v>
      </c>
      <c r="F989" s="9" t="s">
        <v>116</v>
      </c>
      <c r="G989" s="9"/>
      <c r="H989" s="9" t="n">
        <v>6</v>
      </c>
      <c r="I989" s="9" t="s">
        <v>117</v>
      </c>
    </row>
    <row r="990" customFormat="false" ht="15" hidden="false" customHeight="false" outlineLevel="0" collapsed="false">
      <c r="A990" s="9" t="s">
        <v>3230</v>
      </c>
      <c r="B990" s="9" t="s">
        <v>3231</v>
      </c>
      <c r="C990" s="9" t="s">
        <v>486</v>
      </c>
      <c r="D990" s="9" t="s">
        <v>485</v>
      </c>
      <c r="E990" s="9" t="s">
        <v>133</v>
      </c>
      <c r="F990" s="9" t="s">
        <v>116</v>
      </c>
      <c r="G990" s="9" t="s">
        <v>1510</v>
      </c>
      <c r="H990" s="9" t="n">
        <v>7</v>
      </c>
      <c r="I990" s="9" t="s">
        <v>117</v>
      </c>
    </row>
    <row r="991" customFormat="false" ht="15" hidden="false" customHeight="false" outlineLevel="0" collapsed="false">
      <c r="A991" s="9" t="s">
        <v>3232</v>
      </c>
      <c r="B991" s="9" t="s">
        <v>3233</v>
      </c>
      <c r="C991" s="9" t="s">
        <v>268</v>
      </c>
      <c r="D991" s="9" t="s">
        <v>267</v>
      </c>
      <c r="E991" s="9" t="s">
        <v>237</v>
      </c>
      <c r="F991" s="9" t="s">
        <v>116</v>
      </c>
      <c r="G991" s="9"/>
      <c r="H991" s="9" t="n">
        <v>3</v>
      </c>
      <c r="I991" s="9" t="s">
        <v>117</v>
      </c>
    </row>
    <row r="992" customFormat="false" ht="15" hidden="false" customHeight="false" outlineLevel="0" collapsed="false">
      <c r="A992" s="9" t="s">
        <v>3234</v>
      </c>
      <c r="B992" s="9" t="s">
        <v>3235</v>
      </c>
      <c r="C992" s="9" t="s">
        <v>268</v>
      </c>
      <c r="D992" s="9" t="s">
        <v>267</v>
      </c>
      <c r="E992" s="9" t="s">
        <v>237</v>
      </c>
      <c r="F992" s="9" t="s">
        <v>116</v>
      </c>
      <c r="G992" s="9"/>
      <c r="H992" s="9" t="n">
        <v>6</v>
      </c>
      <c r="I992" s="9" t="s">
        <v>117</v>
      </c>
    </row>
    <row r="993" customFormat="false" ht="15" hidden="false" customHeight="false" outlineLevel="0" collapsed="false">
      <c r="A993" s="9" t="s">
        <v>2955</v>
      </c>
      <c r="B993" s="9" t="s">
        <v>1530</v>
      </c>
      <c r="C993" s="9" t="s">
        <v>268</v>
      </c>
      <c r="D993" s="9" t="s">
        <v>267</v>
      </c>
      <c r="E993" s="9" t="s">
        <v>237</v>
      </c>
      <c r="F993" s="9" t="s">
        <v>116</v>
      </c>
      <c r="G993" s="9"/>
      <c r="H993" s="9" t="n">
        <v>7</v>
      </c>
      <c r="I993" s="9" t="s">
        <v>117</v>
      </c>
    </row>
    <row r="994" customFormat="false" ht="15" hidden="false" customHeight="false" outlineLevel="0" collapsed="false">
      <c r="A994" s="9" t="s">
        <v>3236</v>
      </c>
      <c r="B994" s="9" t="s">
        <v>3237</v>
      </c>
      <c r="C994" s="9" t="s">
        <v>268</v>
      </c>
      <c r="D994" s="9" t="s">
        <v>267</v>
      </c>
      <c r="E994" s="9" t="s">
        <v>237</v>
      </c>
      <c r="F994" s="9" t="s">
        <v>116</v>
      </c>
      <c r="G994" s="9" t="s">
        <v>1510</v>
      </c>
      <c r="H994" s="9" t="n">
        <v>9</v>
      </c>
      <c r="I994" s="9" t="s">
        <v>117</v>
      </c>
    </row>
    <row r="995" customFormat="false" ht="15" hidden="false" customHeight="false" outlineLevel="0" collapsed="false">
      <c r="A995" s="9" t="s">
        <v>1506</v>
      </c>
      <c r="B995" s="9" t="s">
        <v>3238</v>
      </c>
      <c r="C995" s="9" t="s">
        <v>268</v>
      </c>
      <c r="D995" s="9" t="s">
        <v>267</v>
      </c>
      <c r="E995" s="9" t="s">
        <v>237</v>
      </c>
      <c r="F995" s="9" t="s">
        <v>116</v>
      </c>
      <c r="G995" s="9"/>
      <c r="H995" s="9" t="n">
        <v>10</v>
      </c>
      <c r="I995" s="9" t="s">
        <v>117</v>
      </c>
    </row>
    <row r="996" customFormat="false" ht="15" hidden="false" customHeight="false" outlineLevel="0" collapsed="false">
      <c r="A996" s="9" t="s">
        <v>883</v>
      </c>
      <c r="B996" s="9" t="s">
        <v>3239</v>
      </c>
      <c r="C996" s="9" t="s">
        <v>331</v>
      </c>
      <c r="D996" s="9" t="s">
        <v>330</v>
      </c>
      <c r="E996" s="9" t="s">
        <v>115</v>
      </c>
      <c r="F996" s="9" t="s">
        <v>116</v>
      </c>
      <c r="G996" s="9"/>
      <c r="H996" s="9" t="n">
        <v>3</v>
      </c>
      <c r="I996" s="9" t="s">
        <v>117</v>
      </c>
    </row>
    <row r="997" customFormat="false" ht="15" hidden="false" customHeight="false" outlineLevel="0" collapsed="false">
      <c r="A997" s="9" t="s">
        <v>3240</v>
      </c>
      <c r="B997" s="9" t="s">
        <v>3241</v>
      </c>
      <c r="C997" s="9" t="s">
        <v>349</v>
      </c>
      <c r="D997" s="9" t="s">
        <v>348</v>
      </c>
      <c r="E997" s="9" t="s">
        <v>146</v>
      </c>
      <c r="F997" s="9" t="s">
        <v>116</v>
      </c>
      <c r="G997" s="9" t="s">
        <v>1631</v>
      </c>
      <c r="H997" s="9" t="n">
        <v>2</v>
      </c>
      <c r="I997" s="9" t="s">
        <v>117</v>
      </c>
    </row>
    <row r="998" customFormat="false" ht="15" hidden="false" customHeight="false" outlineLevel="0" collapsed="false">
      <c r="A998" s="9" t="s">
        <v>2428</v>
      </c>
      <c r="B998" s="9" t="s">
        <v>3242</v>
      </c>
      <c r="C998" s="9" t="s">
        <v>351</v>
      </c>
      <c r="D998" s="9" t="s">
        <v>350</v>
      </c>
      <c r="E998" s="9" t="s">
        <v>237</v>
      </c>
      <c r="F998" s="9" t="s">
        <v>116</v>
      </c>
      <c r="G998" s="9"/>
      <c r="H998" s="9" t="n">
        <v>1</v>
      </c>
      <c r="I998" s="9" t="s">
        <v>117</v>
      </c>
    </row>
    <row r="999" customFormat="false" ht="15" hidden="false" customHeight="false" outlineLevel="0" collapsed="false">
      <c r="A999" s="9" t="s">
        <v>1570</v>
      </c>
      <c r="B999" s="9" t="s">
        <v>3243</v>
      </c>
      <c r="C999" s="9" t="s">
        <v>351</v>
      </c>
      <c r="D999" s="9" t="s">
        <v>350</v>
      </c>
      <c r="E999" s="9" t="s">
        <v>237</v>
      </c>
      <c r="F999" s="9" t="s">
        <v>116</v>
      </c>
      <c r="G999" s="9"/>
      <c r="H999" s="9" t="n">
        <v>2</v>
      </c>
      <c r="I999" s="9" t="s">
        <v>117</v>
      </c>
    </row>
    <row r="1000" customFormat="false" ht="15" hidden="false" customHeight="false" outlineLevel="0" collapsed="false">
      <c r="A1000" s="9" t="s">
        <v>3244</v>
      </c>
      <c r="B1000" s="9" t="s">
        <v>3242</v>
      </c>
      <c r="C1000" s="9" t="s">
        <v>351</v>
      </c>
      <c r="D1000" s="9" t="s">
        <v>350</v>
      </c>
      <c r="E1000" s="9" t="s">
        <v>237</v>
      </c>
      <c r="F1000" s="9" t="s">
        <v>116</v>
      </c>
      <c r="G1000" s="9"/>
      <c r="H1000" s="9" t="n">
        <v>5</v>
      </c>
      <c r="I1000" s="9" t="s">
        <v>117</v>
      </c>
    </row>
    <row r="1001" customFormat="false" ht="15" hidden="false" customHeight="false" outlineLevel="0" collapsed="false">
      <c r="A1001" s="9" t="s">
        <v>3245</v>
      </c>
      <c r="B1001" s="9" t="s">
        <v>3246</v>
      </c>
      <c r="C1001" s="9" t="s">
        <v>351</v>
      </c>
      <c r="D1001" s="9" t="s">
        <v>350</v>
      </c>
      <c r="E1001" s="9" t="s">
        <v>237</v>
      </c>
      <c r="F1001" s="9" t="s">
        <v>116</v>
      </c>
      <c r="G1001" s="9" t="s">
        <v>1631</v>
      </c>
      <c r="H1001" s="9" t="n">
        <v>6</v>
      </c>
      <c r="I1001" s="9" t="s">
        <v>117</v>
      </c>
    </row>
    <row r="1002" customFormat="false" ht="15" hidden="false" customHeight="false" outlineLevel="0" collapsed="false">
      <c r="A1002" s="9" t="s">
        <v>3247</v>
      </c>
      <c r="B1002" s="9" t="s">
        <v>3248</v>
      </c>
      <c r="C1002" s="9" t="s">
        <v>351</v>
      </c>
      <c r="D1002" s="9" t="s">
        <v>350</v>
      </c>
      <c r="E1002" s="9" t="s">
        <v>237</v>
      </c>
      <c r="F1002" s="9" t="s">
        <v>116</v>
      </c>
      <c r="G1002" s="9"/>
      <c r="H1002" s="9" t="n">
        <v>9</v>
      </c>
      <c r="I1002" s="9" t="s">
        <v>117</v>
      </c>
    </row>
    <row r="1003" customFormat="false" ht="15" hidden="false" customHeight="false" outlineLevel="0" collapsed="false">
      <c r="A1003" s="9" t="s">
        <v>3249</v>
      </c>
      <c r="B1003" s="9" t="s">
        <v>3250</v>
      </c>
      <c r="C1003" s="9" t="s">
        <v>115</v>
      </c>
      <c r="D1003" s="9" t="s">
        <v>352</v>
      </c>
      <c r="E1003" s="9" t="s">
        <v>115</v>
      </c>
      <c r="F1003" s="9" t="s">
        <v>116</v>
      </c>
      <c r="G1003" s="9"/>
      <c r="H1003" s="9" t="n">
        <v>2</v>
      </c>
      <c r="I1003" s="9" t="s">
        <v>117</v>
      </c>
    </row>
    <row r="1004" customFormat="false" ht="15" hidden="false" customHeight="false" outlineLevel="0" collapsed="false">
      <c r="A1004" s="9" t="s">
        <v>3251</v>
      </c>
      <c r="B1004" s="9" t="s">
        <v>3252</v>
      </c>
      <c r="C1004" s="9" t="s">
        <v>115</v>
      </c>
      <c r="D1004" s="9" t="s">
        <v>352</v>
      </c>
      <c r="E1004" s="9" t="s">
        <v>115</v>
      </c>
      <c r="F1004" s="9" t="s">
        <v>116</v>
      </c>
      <c r="G1004" s="9"/>
      <c r="H1004" s="9" t="n">
        <v>4</v>
      </c>
      <c r="I1004" s="9" t="s">
        <v>117</v>
      </c>
    </row>
    <row r="1005" customFormat="false" ht="15" hidden="false" customHeight="false" outlineLevel="0" collapsed="false">
      <c r="A1005" s="9" t="s">
        <v>3126</v>
      </c>
      <c r="B1005" s="9" t="s">
        <v>3253</v>
      </c>
      <c r="C1005" s="9" t="s">
        <v>115</v>
      </c>
      <c r="D1005" s="9" t="s">
        <v>352</v>
      </c>
      <c r="E1005" s="9" t="s">
        <v>115</v>
      </c>
      <c r="F1005" s="9" t="s">
        <v>116</v>
      </c>
      <c r="G1005" s="9"/>
      <c r="H1005" s="9" t="n">
        <v>7</v>
      </c>
      <c r="I1005" s="9" t="s">
        <v>117</v>
      </c>
    </row>
    <row r="1006" customFormat="false" ht="15" hidden="false" customHeight="false" outlineLevel="0" collapsed="false">
      <c r="A1006" s="9" t="s">
        <v>3254</v>
      </c>
      <c r="B1006" s="9" t="s">
        <v>3255</v>
      </c>
      <c r="C1006" s="9" t="s">
        <v>115</v>
      </c>
      <c r="D1006" s="9" t="s">
        <v>352</v>
      </c>
      <c r="E1006" s="9" t="s">
        <v>115</v>
      </c>
      <c r="F1006" s="9" t="s">
        <v>116</v>
      </c>
      <c r="G1006" s="9"/>
      <c r="H1006" s="9" t="n">
        <v>8</v>
      </c>
      <c r="I1006" s="9" t="s">
        <v>117</v>
      </c>
    </row>
    <row r="1007" customFormat="false" ht="15" hidden="false" customHeight="false" outlineLevel="0" collapsed="false">
      <c r="A1007" s="9" t="s">
        <v>3256</v>
      </c>
      <c r="B1007" s="9" t="s">
        <v>3257</v>
      </c>
      <c r="C1007" s="9" t="s">
        <v>115</v>
      </c>
      <c r="D1007" s="9" t="s">
        <v>352</v>
      </c>
      <c r="E1007" s="9" t="s">
        <v>115</v>
      </c>
      <c r="F1007" s="9" t="s">
        <v>116</v>
      </c>
      <c r="G1007" s="9"/>
      <c r="H1007" s="9" t="n">
        <v>9</v>
      </c>
      <c r="I1007" s="9" t="s">
        <v>117</v>
      </c>
    </row>
    <row r="1008" customFormat="false" ht="15" hidden="false" customHeight="false" outlineLevel="0" collapsed="false">
      <c r="A1008" s="9" t="s">
        <v>3258</v>
      </c>
      <c r="B1008" s="9" t="s">
        <v>3259</v>
      </c>
      <c r="C1008" s="9" t="s">
        <v>115</v>
      </c>
      <c r="D1008" s="9" t="s">
        <v>352</v>
      </c>
      <c r="E1008" s="9" t="s">
        <v>115</v>
      </c>
      <c r="F1008" s="9" t="s">
        <v>116</v>
      </c>
      <c r="G1008" s="9"/>
      <c r="H1008" s="9" t="n">
        <v>10</v>
      </c>
      <c r="I1008" s="9" t="s">
        <v>117</v>
      </c>
    </row>
    <row r="1009" customFormat="false" ht="15" hidden="false" customHeight="false" outlineLevel="0" collapsed="false">
      <c r="A1009" s="9" t="s">
        <v>3260</v>
      </c>
      <c r="B1009" s="9" t="s">
        <v>3261</v>
      </c>
      <c r="C1009" s="9" t="s">
        <v>115</v>
      </c>
      <c r="D1009" s="9" t="s">
        <v>352</v>
      </c>
      <c r="E1009" s="9" t="s">
        <v>115</v>
      </c>
      <c r="F1009" s="9" t="s">
        <v>116</v>
      </c>
      <c r="G1009" s="9" t="s">
        <v>1510</v>
      </c>
      <c r="H1009" s="9" t="n">
        <v>12</v>
      </c>
      <c r="I1009" s="9" t="s">
        <v>117</v>
      </c>
    </row>
    <row r="1010" customFormat="false" ht="15" hidden="false" customHeight="false" outlineLevel="0" collapsed="false">
      <c r="A1010" s="9" t="s">
        <v>3262</v>
      </c>
      <c r="B1010" s="9" t="s">
        <v>3263</v>
      </c>
      <c r="C1010" s="9" t="s">
        <v>115</v>
      </c>
      <c r="D1010" s="9" t="s">
        <v>352</v>
      </c>
      <c r="E1010" s="9" t="s">
        <v>115</v>
      </c>
      <c r="F1010" s="9" t="s">
        <v>116</v>
      </c>
      <c r="G1010" s="9" t="s">
        <v>1510</v>
      </c>
      <c r="H1010" s="9" t="n">
        <v>13</v>
      </c>
      <c r="I1010" s="9" t="s">
        <v>117</v>
      </c>
    </row>
    <row r="1011" customFormat="false" ht="15" hidden="false" customHeight="false" outlineLevel="0" collapsed="false">
      <c r="A1011" s="9" t="s">
        <v>1629</v>
      </c>
      <c r="B1011" s="9" t="s">
        <v>3264</v>
      </c>
      <c r="C1011" s="9" t="s">
        <v>256</v>
      </c>
      <c r="D1011" s="9" t="s">
        <v>255</v>
      </c>
      <c r="E1011" s="9" t="s">
        <v>100</v>
      </c>
      <c r="F1011" s="9" t="s">
        <v>102</v>
      </c>
      <c r="G1011" s="9"/>
      <c r="H1011" s="9" t="n">
        <v>1</v>
      </c>
      <c r="I1011" s="9" t="s">
        <v>143</v>
      </c>
    </row>
    <row r="1012" customFormat="false" ht="15" hidden="false" customHeight="false" outlineLevel="0" collapsed="false">
      <c r="A1012" s="9" t="s">
        <v>3265</v>
      </c>
      <c r="B1012" s="9" t="s">
        <v>3266</v>
      </c>
      <c r="C1012" s="9" t="s">
        <v>274</v>
      </c>
      <c r="D1012" s="9" t="s">
        <v>273</v>
      </c>
      <c r="E1012" s="9" t="s">
        <v>100</v>
      </c>
      <c r="F1012" s="9" t="s">
        <v>102</v>
      </c>
      <c r="G1012" s="9"/>
      <c r="H1012" s="9" t="n">
        <v>1</v>
      </c>
      <c r="I1012" s="9" t="s">
        <v>103</v>
      </c>
    </row>
    <row r="1013" customFormat="false" ht="15" hidden="false" customHeight="false" outlineLevel="0" collapsed="false">
      <c r="A1013" s="9" t="s">
        <v>3267</v>
      </c>
      <c r="B1013" s="9" t="s">
        <v>3268</v>
      </c>
      <c r="C1013" s="9" t="s">
        <v>333</v>
      </c>
      <c r="D1013" s="9" t="s">
        <v>332</v>
      </c>
      <c r="E1013" s="9" t="s">
        <v>100</v>
      </c>
      <c r="F1013" s="9" t="s">
        <v>102</v>
      </c>
      <c r="G1013" s="9"/>
      <c r="H1013" s="9" t="n">
        <v>2</v>
      </c>
      <c r="I1013" s="9" t="s">
        <v>143</v>
      </c>
    </row>
    <row r="1014" customFormat="false" ht="15" hidden="false" customHeight="false" outlineLevel="0" collapsed="false">
      <c r="A1014" s="9" t="s">
        <v>2220</v>
      </c>
      <c r="B1014" s="9" t="s">
        <v>2353</v>
      </c>
      <c r="C1014" s="9" t="s">
        <v>345</v>
      </c>
      <c r="D1014" s="9" t="s">
        <v>344</v>
      </c>
      <c r="E1014" s="9" t="s">
        <v>100</v>
      </c>
      <c r="F1014" s="9" t="s">
        <v>102</v>
      </c>
      <c r="G1014" s="9"/>
      <c r="H1014" s="9" t="n">
        <v>1</v>
      </c>
      <c r="I1014" s="9" t="s">
        <v>103</v>
      </c>
    </row>
    <row r="1015" customFormat="false" ht="15" hidden="false" customHeight="false" outlineLevel="0" collapsed="false">
      <c r="A1015" s="9" t="s">
        <v>2127</v>
      </c>
      <c r="B1015" s="9" t="s">
        <v>3269</v>
      </c>
      <c r="C1015" s="9" t="s">
        <v>378</v>
      </c>
      <c r="D1015" s="9" t="s">
        <v>377</v>
      </c>
      <c r="E1015" s="9" t="s">
        <v>106</v>
      </c>
      <c r="F1015" s="9" t="s">
        <v>102</v>
      </c>
      <c r="G1015" s="9"/>
      <c r="H1015" s="9" t="n">
        <v>2</v>
      </c>
      <c r="I1015" s="9" t="s">
        <v>103</v>
      </c>
    </row>
    <row r="1016" customFormat="false" ht="15" hidden="false" customHeight="false" outlineLevel="0" collapsed="false">
      <c r="A1016" s="9" t="s">
        <v>3270</v>
      </c>
      <c r="B1016" s="9" t="s">
        <v>3271</v>
      </c>
      <c r="C1016" s="9" t="s">
        <v>378</v>
      </c>
      <c r="D1016" s="9" t="s">
        <v>377</v>
      </c>
      <c r="E1016" s="9" t="s">
        <v>106</v>
      </c>
      <c r="F1016" s="9" t="s">
        <v>102</v>
      </c>
      <c r="G1016" s="9"/>
      <c r="H1016" s="9" t="n">
        <v>4</v>
      </c>
      <c r="I1016" s="9" t="s">
        <v>103</v>
      </c>
    </row>
    <row r="1017" customFormat="false" ht="15" hidden="false" customHeight="false" outlineLevel="0" collapsed="false">
      <c r="A1017" s="9" t="s">
        <v>3272</v>
      </c>
      <c r="B1017" s="9" t="s">
        <v>3273</v>
      </c>
      <c r="C1017" s="9" t="s">
        <v>378</v>
      </c>
      <c r="D1017" s="9" t="s">
        <v>377</v>
      </c>
      <c r="E1017" s="9" t="s">
        <v>106</v>
      </c>
      <c r="F1017" s="9" t="s">
        <v>102</v>
      </c>
      <c r="G1017" s="9"/>
      <c r="H1017" s="9" t="n">
        <v>6</v>
      </c>
      <c r="I1017" s="9" t="s">
        <v>103</v>
      </c>
    </row>
    <row r="1018" customFormat="false" ht="15" hidden="false" customHeight="false" outlineLevel="0" collapsed="false">
      <c r="A1018" s="9" t="s">
        <v>3274</v>
      </c>
      <c r="B1018" s="9" t="s">
        <v>3275</v>
      </c>
      <c r="C1018" s="9" t="s">
        <v>327</v>
      </c>
      <c r="D1018" s="9" t="s">
        <v>326</v>
      </c>
      <c r="E1018" s="9" t="s">
        <v>106</v>
      </c>
      <c r="F1018" s="9" t="s">
        <v>108</v>
      </c>
      <c r="G1018" s="9"/>
      <c r="H1018" s="9" t="n">
        <v>4</v>
      </c>
      <c r="I1018" s="9" t="s">
        <v>209</v>
      </c>
    </row>
    <row r="1019" customFormat="false" ht="15" hidden="false" customHeight="false" outlineLevel="0" collapsed="false">
      <c r="A1019" s="9" t="s">
        <v>3276</v>
      </c>
      <c r="B1019" s="9" t="s">
        <v>3277</v>
      </c>
      <c r="C1019" s="9" t="s">
        <v>327</v>
      </c>
      <c r="D1019" s="9" t="s">
        <v>326</v>
      </c>
      <c r="E1019" s="9" t="s">
        <v>106</v>
      </c>
      <c r="F1019" s="9" t="s">
        <v>108</v>
      </c>
      <c r="G1019" s="9"/>
      <c r="H1019" s="9" t="n">
        <v>7</v>
      </c>
      <c r="I1019" s="9" t="s">
        <v>209</v>
      </c>
    </row>
    <row r="1020" customFormat="false" ht="15" hidden="false" customHeight="false" outlineLevel="0" collapsed="false">
      <c r="A1020" s="9" t="s">
        <v>3278</v>
      </c>
      <c r="B1020" s="9" t="s">
        <v>3279</v>
      </c>
      <c r="C1020" s="9" t="s">
        <v>327</v>
      </c>
      <c r="D1020" s="9" t="s">
        <v>326</v>
      </c>
      <c r="E1020" s="9" t="s">
        <v>106</v>
      </c>
      <c r="F1020" s="9" t="s">
        <v>108</v>
      </c>
      <c r="G1020" s="9"/>
      <c r="H1020" s="9" t="n">
        <v>8</v>
      </c>
      <c r="I1020" s="9" t="s">
        <v>209</v>
      </c>
    </row>
    <row r="1021" customFormat="false" ht="15" hidden="false" customHeight="false" outlineLevel="0" collapsed="false">
      <c r="A1021" s="9" t="s">
        <v>2209</v>
      </c>
      <c r="B1021" s="9" t="s">
        <v>2362</v>
      </c>
      <c r="C1021" s="9" t="s">
        <v>327</v>
      </c>
      <c r="D1021" s="9" t="s">
        <v>326</v>
      </c>
      <c r="E1021" s="9" t="s">
        <v>106</v>
      </c>
      <c r="F1021" s="9" t="s">
        <v>108</v>
      </c>
      <c r="G1021" s="9"/>
      <c r="H1021" s="9" t="n">
        <v>10</v>
      </c>
      <c r="I1021" s="9" t="s">
        <v>209</v>
      </c>
    </row>
    <row r="1022" customFormat="false" ht="15" hidden="false" customHeight="false" outlineLevel="0" collapsed="false">
      <c r="A1022" s="9" t="s">
        <v>3280</v>
      </c>
      <c r="B1022" s="9" t="s">
        <v>3281</v>
      </c>
      <c r="C1022" s="9" t="s">
        <v>327</v>
      </c>
      <c r="D1022" s="9" t="s">
        <v>326</v>
      </c>
      <c r="E1022" s="9" t="s">
        <v>106</v>
      </c>
      <c r="F1022" s="9" t="s">
        <v>108</v>
      </c>
      <c r="G1022" s="9" t="s">
        <v>1510</v>
      </c>
      <c r="H1022" s="9" t="n">
        <v>14</v>
      </c>
      <c r="I1022" s="9" t="s">
        <v>209</v>
      </c>
    </row>
    <row r="1023" customFormat="false" ht="15" hidden="false" customHeight="false" outlineLevel="0" collapsed="false">
      <c r="A1023" s="9" t="s">
        <v>2127</v>
      </c>
      <c r="B1023" s="9" t="s">
        <v>3282</v>
      </c>
      <c r="C1023" s="9" t="s">
        <v>354</v>
      </c>
      <c r="D1023" s="9" t="s">
        <v>353</v>
      </c>
      <c r="E1023" s="9" t="s">
        <v>106</v>
      </c>
      <c r="F1023" s="9" t="s">
        <v>108</v>
      </c>
      <c r="G1023" s="9"/>
      <c r="H1023" s="9" t="n">
        <v>1</v>
      </c>
      <c r="I1023" s="9" t="s">
        <v>103</v>
      </c>
    </row>
    <row r="1024" customFormat="false" ht="15" hidden="false" customHeight="false" outlineLevel="0" collapsed="false">
      <c r="A1024" s="9" t="s">
        <v>3283</v>
      </c>
      <c r="B1024" s="9" t="s">
        <v>3284</v>
      </c>
      <c r="C1024" s="9" t="s">
        <v>155</v>
      </c>
      <c r="D1024" s="9" t="s">
        <v>289</v>
      </c>
      <c r="E1024" s="9" t="s">
        <v>155</v>
      </c>
      <c r="F1024" s="9" t="s">
        <v>197</v>
      </c>
      <c r="G1024" s="9" t="s">
        <v>2837</v>
      </c>
      <c r="H1024" s="9" t="n">
        <v>1</v>
      </c>
      <c r="I1024" s="9" t="s">
        <v>157</v>
      </c>
    </row>
    <row r="1025" customFormat="false" ht="15" hidden="false" customHeight="false" outlineLevel="0" collapsed="false">
      <c r="A1025" s="9" t="s">
        <v>3285</v>
      </c>
      <c r="B1025" s="9" t="s">
        <v>3286</v>
      </c>
      <c r="C1025" s="9" t="s">
        <v>155</v>
      </c>
      <c r="D1025" s="9" t="s">
        <v>289</v>
      </c>
      <c r="E1025" s="9" t="s">
        <v>155</v>
      </c>
      <c r="F1025" s="9" t="s">
        <v>197</v>
      </c>
      <c r="G1025" s="9" t="s">
        <v>1543</v>
      </c>
      <c r="H1025" s="9" t="n">
        <v>3</v>
      </c>
      <c r="I1025" s="9" t="s">
        <v>157</v>
      </c>
    </row>
    <row r="1026" customFormat="false" ht="15" hidden="false" customHeight="false" outlineLevel="0" collapsed="false">
      <c r="A1026" s="9" t="s">
        <v>3287</v>
      </c>
      <c r="B1026" s="9" t="s">
        <v>3288</v>
      </c>
      <c r="C1026" s="9" t="s">
        <v>155</v>
      </c>
      <c r="D1026" s="9" t="s">
        <v>289</v>
      </c>
      <c r="E1026" s="9" t="s">
        <v>155</v>
      </c>
      <c r="F1026" s="9" t="s">
        <v>197</v>
      </c>
      <c r="G1026" s="9" t="s">
        <v>1631</v>
      </c>
      <c r="H1026" s="9" t="n">
        <v>5</v>
      </c>
      <c r="I1026" s="9" t="s">
        <v>157</v>
      </c>
    </row>
    <row r="1027" customFormat="false" ht="15" hidden="false" customHeight="false" outlineLevel="0" collapsed="false">
      <c r="A1027" s="9" t="s">
        <v>3289</v>
      </c>
      <c r="B1027" s="9" t="s">
        <v>2374</v>
      </c>
      <c r="C1027" s="9" t="s">
        <v>155</v>
      </c>
      <c r="D1027" s="9" t="s">
        <v>289</v>
      </c>
      <c r="E1027" s="9" t="s">
        <v>155</v>
      </c>
      <c r="F1027" s="9" t="s">
        <v>197</v>
      </c>
      <c r="G1027" s="9"/>
      <c r="H1027" s="9" t="n">
        <v>6</v>
      </c>
      <c r="I1027" s="9" t="s">
        <v>157</v>
      </c>
    </row>
    <row r="1028" customFormat="false" ht="15" hidden="false" customHeight="false" outlineLevel="0" collapsed="false">
      <c r="A1028" s="9" t="s">
        <v>3290</v>
      </c>
      <c r="B1028" s="9" t="s">
        <v>3291</v>
      </c>
      <c r="C1028" s="9" t="s">
        <v>155</v>
      </c>
      <c r="D1028" s="9" t="s">
        <v>289</v>
      </c>
      <c r="E1028" s="9" t="s">
        <v>155</v>
      </c>
      <c r="F1028" s="9" t="s">
        <v>197</v>
      </c>
      <c r="G1028" s="9"/>
      <c r="H1028" s="9" t="n">
        <v>9</v>
      </c>
      <c r="I1028" s="9" t="s">
        <v>157</v>
      </c>
    </row>
    <row r="1029" customFormat="false" ht="15" hidden="false" customHeight="false" outlineLevel="0" collapsed="false">
      <c r="A1029" s="9" t="s">
        <v>3292</v>
      </c>
      <c r="B1029" s="9" t="s">
        <v>3293</v>
      </c>
      <c r="C1029" s="9" t="s">
        <v>155</v>
      </c>
      <c r="D1029" s="9" t="s">
        <v>289</v>
      </c>
      <c r="E1029" s="9" t="s">
        <v>155</v>
      </c>
      <c r="F1029" s="9" t="s">
        <v>197</v>
      </c>
      <c r="G1029" s="9"/>
      <c r="H1029" s="9" t="n">
        <v>11</v>
      </c>
      <c r="I1029" s="9" t="s">
        <v>157</v>
      </c>
    </row>
    <row r="1030" customFormat="false" ht="15" hidden="false" customHeight="false" outlineLevel="0" collapsed="false">
      <c r="A1030" s="9" t="s">
        <v>3294</v>
      </c>
      <c r="B1030" s="9" t="s">
        <v>3295</v>
      </c>
      <c r="C1030" s="9" t="s">
        <v>155</v>
      </c>
      <c r="D1030" s="9" t="s">
        <v>289</v>
      </c>
      <c r="E1030" s="9" t="s">
        <v>155</v>
      </c>
      <c r="F1030" s="9" t="s">
        <v>197</v>
      </c>
      <c r="G1030" s="9"/>
      <c r="H1030" s="9" t="n">
        <v>12</v>
      </c>
      <c r="I1030" s="9" t="s">
        <v>157</v>
      </c>
    </row>
    <row r="1031" customFormat="false" ht="15" hidden="false" customHeight="false" outlineLevel="0" collapsed="false">
      <c r="A1031" s="9" t="s">
        <v>3296</v>
      </c>
      <c r="B1031" s="9" t="s">
        <v>3297</v>
      </c>
      <c r="C1031" s="9" t="s">
        <v>155</v>
      </c>
      <c r="D1031" s="9" t="s">
        <v>289</v>
      </c>
      <c r="E1031" s="9" t="s">
        <v>155</v>
      </c>
      <c r="F1031" s="9" t="s">
        <v>197</v>
      </c>
      <c r="G1031" s="9" t="s">
        <v>1510</v>
      </c>
      <c r="H1031" s="9" t="n">
        <v>14</v>
      </c>
      <c r="I1031" s="9" t="s">
        <v>157</v>
      </c>
    </row>
    <row r="1032" customFormat="false" ht="15" hidden="false" customHeight="false" outlineLevel="0" collapsed="false">
      <c r="A1032" s="9" t="s">
        <v>3298</v>
      </c>
      <c r="B1032" s="9" t="s">
        <v>3299</v>
      </c>
      <c r="C1032" s="9" t="s">
        <v>155</v>
      </c>
      <c r="D1032" s="9" t="s">
        <v>289</v>
      </c>
      <c r="E1032" s="9" t="s">
        <v>155</v>
      </c>
      <c r="F1032" s="9" t="s">
        <v>197</v>
      </c>
      <c r="G1032" s="9" t="s">
        <v>1543</v>
      </c>
      <c r="H1032" s="9" t="n">
        <v>16</v>
      </c>
      <c r="I1032" s="9" t="s">
        <v>157</v>
      </c>
    </row>
    <row r="1033" customFormat="false" ht="15" hidden="false" customHeight="false" outlineLevel="0" collapsed="false">
      <c r="A1033" s="9" t="s">
        <v>3300</v>
      </c>
      <c r="B1033" s="9" t="s">
        <v>3301</v>
      </c>
      <c r="C1033" s="9" t="s">
        <v>155</v>
      </c>
      <c r="D1033" s="9" t="s">
        <v>289</v>
      </c>
      <c r="E1033" s="9" t="s">
        <v>155</v>
      </c>
      <c r="F1033" s="9" t="s">
        <v>197</v>
      </c>
      <c r="G1033" s="9"/>
      <c r="H1033" s="9" t="n">
        <v>17</v>
      </c>
      <c r="I1033" s="9" t="s">
        <v>157</v>
      </c>
    </row>
    <row r="1034" customFormat="false" ht="15" hidden="false" customHeight="false" outlineLevel="0" collapsed="false">
      <c r="A1034" s="9" t="s">
        <v>3302</v>
      </c>
      <c r="B1034" s="9" t="s">
        <v>3303</v>
      </c>
      <c r="C1034" s="9" t="s">
        <v>364</v>
      </c>
      <c r="D1034" s="9" t="s">
        <v>363</v>
      </c>
      <c r="E1034" s="9" t="s">
        <v>140</v>
      </c>
      <c r="F1034" s="9" t="s">
        <v>197</v>
      </c>
      <c r="G1034" s="9"/>
      <c r="H1034" s="9" t="n">
        <v>1</v>
      </c>
      <c r="I1034" s="9" t="s">
        <v>117</v>
      </c>
    </row>
    <row r="1035" customFormat="false" ht="15" hidden="false" customHeight="false" outlineLevel="0" collapsed="false">
      <c r="A1035" s="9" t="s">
        <v>1576</v>
      </c>
      <c r="B1035" s="9" t="s">
        <v>3303</v>
      </c>
      <c r="C1035" s="9" t="s">
        <v>364</v>
      </c>
      <c r="D1035" s="9" t="s">
        <v>363</v>
      </c>
      <c r="E1035" s="9" t="s">
        <v>140</v>
      </c>
      <c r="F1035" s="9" t="s">
        <v>197</v>
      </c>
      <c r="G1035" s="9"/>
      <c r="H1035" s="9" t="n">
        <v>3</v>
      </c>
      <c r="I1035" s="9" t="s">
        <v>117</v>
      </c>
    </row>
    <row r="1036" customFormat="false" ht="15" hidden="false" customHeight="false" outlineLevel="0" collapsed="false">
      <c r="A1036" s="9" t="s">
        <v>1570</v>
      </c>
      <c r="B1036" s="9" t="s">
        <v>3304</v>
      </c>
      <c r="C1036" s="9" t="s">
        <v>364</v>
      </c>
      <c r="D1036" s="9" t="s">
        <v>363</v>
      </c>
      <c r="E1036" s="9" t="s">
        <v>140</v>
      </c>
      <c r="F1036" s="9" t="s">
        <v>197</v>
      </c>
      <c r="G1036" s="9"/>
      <c r="H1036" s="9" t="n">
        <v>4</v>
      </c>
      <c r="I1036" s="9" t="s">
        <v>117</v>
      </c>
    </row>
    <row r="1037" customFormat="false" ht="15" hidden="false" customHeight="false" outlineLevel="0" collapsed="false">
      <c r="A1037" s="9" t="s">
        <v>2398</v>
      </c>
      <c r="B1037" s="9" t="s">
        <v>3305</v>
      </c>
      <c r="C1037" s="9" t="s">
        <v>364</v>
      </c>
      <c r="D1037" s="9" t="s">
        <v>363</v>
      </c>
      <c r="E1037" s="9" t="s">
        <v>140</v>
      </c>
      <c r="F1037" s="9" t="s">
        <v>197</v>
      </c>
      <c r="G1037" s="9"/>
      <c r="H1037" s="9" t="n">
        <v>5</v>
      </c>
      <c r="I1037" s="9" t="s">
        <v>117</v>
      </c>
    </row>
    <row r="1038" customFormat="false" ht="15" hidden="false" customHeight="false" outlineLevel="0" collapsed="false">
      <c r="A1038" s="9" t="s">
        <v>3306</v>
      </c>
      <c r="B1038" s="9" t="s">
        <v>3307</v>
      </c>
      <c r="C1038" s="9" t="s">
        <v>364</v>
      </c>
      <c r="D1038" s="9" t="s">
        <v>363</v>
      </c>
      <c r="E1038" s="9" t="s">
        <v>140</v>
      </c>
      <c r="F1038" s="9" t="s">
        <v>197</v>
      </c>
      <c r="G1038" s="9"/>
      <c r="H1038" s="9" t="n">
        <v>6</v>
      </c>
      <c r="I1038" s="9" t="s">
        <v>117</v>
      </c>
    </row>
    <row r="1039" customFormat="false" ht="15" hidden="false" customHeight="false" outlineLevel="0" collapsed="false">
      <c r="A1039" s="9" t="s">
        <v>3308</v>
      </c>
      <c r="B1039" s="9" t="s">
        <v>3027</v>
      </c>
      <c r="C1039" s="9" t="s">
        <v>364</v>
      </c>
      <c r="D1039" s="9" t="s">
        <v>363</v>
      </c>
      <c r="E1039" s="9" t="s">
        <v>140</v>
      </c>
      <c r="F1039" s="9" t="s">
        <v>197</v>
      </c>
      <c r="G1039" s="9"/>
      <c r="H1039" s="9" t="n">
        <v>9</v>
      </c>
      <c r="I1039" s="9" t="s">
        <v>117</v>
      </c>
    </row>
    <row r="1040" customFormat="false" ht="15" hidden="false" customHeight="false" outlineLevel="0" collapsed="false">
      <c r="A1040" s="9" t="s">
        <v>3309</v>
      </c>
      <c r="B1040" s="9" t="s">
        <v>3310</v>
      </c>
      <c r="C1040" s="9" t="s">
        <v>364</v>
      </c>
      <c r="D1040" s="9" t="s">
        <v>363</v>
      </c>
      <c r="E1040" s="9" t="s">
        <v>140</v>
      </c>
      <c r="F1040" s="9" t="s">
        <v>197</v>
      </c>
      <c r="G1040" s="9"/>
      <c r="H1040" s="9" t="n">
        <v>10</v>
      </c>
      <c r="I1040" s="9" t="s">
        <v>117</v>
      </c>
    </row>
    <row r="1041" customFormat="false" ht="15" hidden="false" customHeight="false" outlineLevel="0" collapsed="false">
      <c r="A1041" s="9" t="s">
        <v>3311</v>
      </c>
      <c r="B1041" s="9" t="s">
        <v>3312</v>
      </c>
      <c r="C1041" s="9" t="s">
        <v>364</v>
      </c>
      <c r="D1041" s="9" t="s">
        <v>363</v>
      </c>
      <c r="E1041" s="9" t="s">
        <v>140</v>
      </c>
      <c r="F1041" s="9" t="s">
        <v>197</v>
      </c>
      <c r="G1041" s="9"/>
      <c r="H1041" s="9" t="n">
        <v>11</v>
      </c>
      <c r="I1041" s="9" t="s">
        <v>117</v>
      </c>
    </row>
    <row r="1042" customFormat="false" ht="15" hidden="false" customHeight="false" outlineLevel="0" collapsed="false">
      <c r="A1042" s="9" t="s">
        <v>2049</v>
      </c>
      <c r="B1042" s="9" t="s">
        <v>3313</v>
      </c>
      <c r="C1042" s="9" t="s">
        <v>382</v>
      </c>
      <c r="D1042" s="9" t="s">
        <v>381</v>
      </c>
      <c r="E1042" s="9" t="s">
        <v>200</v>
      </c>
      <c r="F1042" s="9" t="s">
        <v>173</v>
      </c>
      <c r="G1042" s="9" t="s">
        <v>1631</v>
      </c>
      <c r="H1042" s="9" t="n">
        <v>5</v>
      </c>
      <c r="I1042" s="9" t="s">
        <v>117</v>
      </c>
    </row>
    <row r="1043" customFormat="false" ht="15" hidden="false" customHeight="false" outlineLevel="0" collapsed="false">
      <c r="A1043" s="9" t="s">
        <v>1620</v>
      </c>
      <c r="B1043" s="9" t="s">
        <v>3314</v>
      </c>
      <c r="C1043" s="9" t="s">
        <v>382</v>
      </c>
      <c r="D1043" s="9" t="s">
        <v>381</v>
      </c>
      <c r="E1043" s="9" t="s">
        <v>200</v>
      </c>
      <c r="F1043" s="9" t="s">
        <v>173</v>
      </c>
      <c r="G1043" s="9"/>
      <c r="H1043" s="9" t="n">
        <v>11</v>
      </c>
      <c r="I1043" s="9" t="s">
        <v>117</v>
      </c>
    </row>
    <row r="1044" customFormat="false" ht="15" hidden="false" customHeight="false" outlineLevel="0" collapsed="false">
      <c r="A1044" s="9" t="s">
        <v>3315</v>
      </c>
      <c r="B1044" s="9" t="s">
        <v>3316</v>
      </c>
      <c r="C1044" s="9" t="s">
        <v>382</v>
      </c>
      <c r="D1044" s="9" t="s">
        <v>381</v>
      </c>
      <c r="E1044" s="9" t="s">
        <v>200</v>
      </c>
      <c r="F1044" s="9" t="s">
        <v>173</v>
      </c>
      <c r="G1044" s="9"/>
      <c r="H1044" s="9" t="n">
        <v>12</v>
      </c>
      <c r="I1044" s="9" t="s">
        <v>117</v>
      </c>
    </row>
    <row r="1045" customFormat="false" ht="15" hidden="false" customHeight="false" outlineLevel="0" collapsed="false">
      <c r="A1045" s="9" t="s">
        <v>3317</v>
      </c>
      <c r="B1045" s="9" t="s">
        <v>3318</v>
      </c>
      <c r="C1045" s="9" t="s">
        <v>382</v>
      </c>
      <c r="D1045" s="9" t="s">
        <v>381</v>
      </c>
      <c r="E1045" s="9" t="s">
        <v>200</v>
      </c>
      <c r="F1045" s="9" t="s">
        <v>173</v>
      </c>
      <c r="G1045" s="9" t="s">
        <v>1510</v>
      </c>
      <c r="H1045" s="9" t="n">
        <v>14</v>
      </c>
      <c r="I1045" s="9" t="s">
        <v>117</v>
      </c>
    </row>
    <row r="1046" customFormat="false" ht="15" hidden="false" customHeight="false" outlineLevel="0" collapsed="false">
      <c r="A1046" s="9" t="s">
        <v>3319</v>
      </c>
      <c r="B1046" s="9" t="s">
        <v>3320</v>
      </c>
      <c r="C1046" s="9" t="s">
        <v>382</v>
      </c>
      <c r="D1046" s="9" t="s">
        <v>381</v>
      </c>
      <c r="E1046" s="9" t="s">
        <v>200</v>
      </c>
      <c r="F1046" s="9" t="s">
        <v>173</v>
      </c>
      <c r="G1046" s="9"/>
      <c r="H1046" s="9" t="n">
        <v>17</v>
      </c>
      <c r="I1046" s="9" t="s">
        <v>117</v>
      </c>
    </row>
    <row r="1047" customFormat="false" ht="15" hidden="false" customHeight="false" outlineLevel="0" collapsed="false">
      <c r="A1047" s="9" t="s">
        <v>3321</v>
      </c>
      <c r="B1047" s="9" t="s">
        <v>3322</v>
      </c>
      <c r="C1047" s="9" t="s">
        <v>382</v>
      </c>
      <c r="D1047" s="9" t="s">
        <v>381</v>
      </c>
      <c r="E1047" s="9" t="s">
        <v>200</v>
      </c>
      <c r="F1047" s="9" t="s">
        <v>173</v>
      </c>
      <c r="G1047" s="9" t="s">
        <v>1510</v>
      </c>
      <c r="H1047" s="9" t="n">
        <v>23</v>
      </c>
      <c r="I1047" s="9" t="s">
        <v>117</v>
      </c>
    </row>
    <row r="1048" customFormat="false" ht="15" hidden="false" customHeight="false" outlineLevel="0" collapsed="false">
      <c r="A1048" s="9" t="s">
        <v>3323</v>
      </c>
      <c r="B1048" s="9" t="s">
        <v>3324</v>
      </c>
      <c r="C1048" s="9" t="s">
        <v>382</v>
      </c>
      <c r="D1048" s="9" t="s">
        <v>381</v>
      </c>
      <c r="E1048" s="9" t="s">
        <v>200</v>
      </c>
      <c r="F1048" s="9" t="s">
        <v>173</v>
      </c>
      <c r="G1048" s="9" t="s">
        <v>1510</v>
      </c>
      <c r="H1048" s="9" t="n">
        <v>24</v>
      </c>
      <c r="I1048" s="9" t="s">
        <v>117</v>
      </c>
    </row>
    <row r="1049" customFormat="false" ht="15" hidden="false" customHeight="false" outlineLevel="0" collapsed="false">
      <c r="A1049" s="9" t="s">
        <v>3325</v>
      </c>
      <c r="B1049" s="9" t="s">
        <v>3326</v>
      </c>
      <c r="C1049" s="9" t="s">
        <v>382</v>
      </c>
      <c r="D1049" s="9" t="s">
        <v>381</v>
      </c>
      <c r="E1049" s="9" t="s">
        <v>200</v>
      </c>
      <c r="F1049" s="9" t="s">
        <v>173</v>
      </c>
      <c r="G1049" s="9" t="s">
        <v>1510</v>
      </c>
      <c r="H1049" s="9" t="n">
        <v>25</v>
      </c>
      <c r="I1049" s="9" t="s">
        <v>117</v>
      </c>
    </row>
    <row r="1050" customFormat="false" ht="15" hidden="false" customHeight="false" outlineLevel="0" collapsed="false">
      <c r="A1050" s="9" t="s">
        <v>3327</v>
      </c>
      <c r="B1050" s="9" t="s">
        <v>3328</v>
      </c>
      <c r="C1050" s="9" t="s">
        <v>140</v>
      </c>
      <c r="D1050" s="9" t="s">
        <v>418</v>
      </c>
      <c r="E1050" s="9" t="s">
        <v>140</v>
      </c>
      <c r="F1050" s="9" t="s">
        <v>173</v>
      </c>
      <c r="G1050" s="9"/>
      <c r="H1050" s="9" t="n">
        <v>4</v>
      </c>
      <c r="I1050" s="9" t="s">
        <v>117</v>
      </c>
    </row>
    <row r="1051" customFormat="false" ht="15" hidden="false" customHeight="false" outlineLevel="0" collapsed="false">
      <c r="A1051" s="9" t="s">
        <v>3329</v>
      </c>
      <c r="B1051" s="9" t="s">
        <v>3330</v>
      </c>
      <c r="C1051" s="9" t="s">
        <v>140</v>
      </c>
      <c r="D1051" s="9" t="s">
        <v>418</v>
      </c>
      <c r="E1051" s="9" t="s">
        <v>140</v>
      </c>
      <c r="F1051" s="9" t="s">
        <v>173</v>
      </c>
      <c r="G1051" s="9"/>
      <c r="H1051" s="9" t="n">
        <v>7</v>
      </c>
      <c r="I1051" s="9" t="s">
        <v>117</v>
      </c>
    </row>
    <row r="1052" customFormat="false" ht="15" hidden="false" customHeight="false" outlineLevel="0" collapsed="false">
      <c r="A1052" s="9" t="s">
        <v>3331</v>
      </c>
      <c r="B1052" s="9" t="s">
        <v>3332</v>
      </c>
      <c r="C1052" s="9" t="s">
        <v>199</v>
      </c>
      <c r="D1052" s="9" t="s">
        <v>198</v>
      </c>
      <c r="E1052" s="9" t="s">
        <v>200</v>
      </c>
      <c r="F1052" s="9" t="s">
        <v>173</v>
      </c>
      <c r="G1052" s="9" t="s">
        <v>1631</v>
      </c>
      <c r="H1052" s="9" t="n">
        <v>66</v>
      </c>
      <c r="I1052" s="9" t="s">
        <v>117</v>
      </c>
    </row>
    <row r="1053" customFormat="false" ht="15" hidden="false" customHeight="false" outlineLevel="0" collapsed="false">
      <c r="A1053" s="9" t="s">
        <v>3333</v>
      </c>
      <c r="B1053" s="9" t="s">
        <v>3334</v>
      </c>
      <c r="C1053" s="9" t="s">
        <v>481</v>
      </c>
      <c r="D1053" s="9" t="s">
        <v>480</v>
      </c>
      <c r="E1053" s="9" t="s">
        <v>133</v>
      </c>
      <c r="F1053" s="9" t="s">
        <v>134</v>
      </c>
      <c r="G1053" s="9"/>
      <c r="H1053" s="9" t="n">
        <v>2</v>
      </c>
      <c r="I1053" s="9" t="s">
        <v>482</v>
      </c>
    </row>
    <row r="1054" customFormat="false" ht="15" hidden="false" customHeight="false" outlineLevel="0" collapsed="false">
      <c r="A1054" s="9" t="s">
        <v>2670</v>
      </c>
      <c r="B1054" s="9" t="s">
        <v>3335</v>
      </c>
      <c r="C1054" s="9" t="s">
        <v>140</v>
      </c>
      <c r="D1054" s="9" t="s">
        <v>418</v>
      </c>
      <c r="E1054" s="9" t="s">
        <v>140</v>
      </c>
      <c r="F1054" s="9" t="s">
        <v>173</v>
      </c>
      <c r="G1054" s="9" t="s">
        <v>1631</v>
      </c>
      <c r="H1054" s="9" t="n">
        <v>9</v>
      </c>
      <c r="I1054" s="9" t="s">
        <v>117</v>
      </c>
    </row>
    <row r="1055" customFormat="false" ht="15" hidden="false" customHeight="false" outlineLevel="0" collapsed="false">
      <c r="A1055" s="9" t="s">
        <v>3336</v>
      </c>
      <c r="B1055" s="9" t="s">
        <v>3337</v>
      </c>
      <c r="C1055" s="9" t="s">
        <v>140</v>
      </c>
      <c r="D1055" s="9" t="s">
        <v>418</v>
      </c>
      <c r="E1055" s="9" t="s">
        <v>140</v>
      </c>
      <c r="F1055" s="9" t="s">
        <v>173</v>
      </c>
      <c r="G1055" s="9"/>
      <c r="H1055" s="9" t="n">
        <v>12</v>
      </c>
      <c r="I1055" s="9" t="s">
        <v>117</v>
      </c>
    </row>
    <row r="1056" customFormat="false" ht="15" hidden="false" customHeight="false" outlineLevel="0" collapsed="false">
      <c r="A1056" s="9" t="s">
        <v>3338</v>
      </c>
      <c r="B1056" s="9" t="s">
        <v>3339</v>
      </c>
      <c r="C1056" s="9" t="s">
        <v>140</v>
      </c>
      <c r="D1056" s="9" t="s">
        <v>418</v>
      </c>
      <c r="E1056" s="9" t="s">
        <v>140</v>
      </c>
      <c r="F1056" s="9" t="s">
        <v>173</v>
      </c>
      <c r="G1056" s="9"/>
      <c r="H1056" s="9" t="n">
        <v>17</v>
      </c>
      <c r="I1056" s="9" t="s">
        <v>117</v>
      </c>
    </row>
    <row r="1057" customFormat="false" ht="15" hidden="false" customHeight="false" outlineLevel="0" collapsed="false">
      <c r="A1057" s="9" t="s">
        <v>3340</v>
      </c>
      <c r="B1057" s="9" t="s">
        <v>3341</v>
      </c>
      <c r="C1057" s="9" t="s">
        <v>140</v>
      </c>
      <c r="D1057" s="9" t="s">
        <v>418</v>
      </c>
      <c r="E1057" s="9" t="s">
        <v>140</v>
      </c>
      <c r="F1057" s="9" t="s">
        <v>173</v>
      </c>
      <c r="G1057" s="9"/>
      <c r="H1057" s="9" t="n">
        <v>20</v>
      </c>
      <c r="I1057" s="9" t="s">
        <v>117</v>
      </c>
    </row>
    <row r="1058" customFormat="false" ht="15" hidden="false" customHeight="false" outlineLevel="0" collapsed="false">
      <c r="A1058" s="9" t="s">
        <v>3342</v>
      </c>
      <c r="B1058" s="9" t="s">
        <v>3343</v>
      </c>
      <c r="C1058" s="9" t="s">
        <v>140</v>
      </c>
      <c r="D1058" s="9" t="s">
        <v>418</v>
      </c>
      <c r="E1058" s="9" t="s">
        <v>140</v>
      </c>
      <c r="F1058" s="9" t="s">
        <v>173</v>
      </c>
      <c r="G1058" s="9"/>
      <c r="H1058" s="9" t="n">
        <v>23</v>
      </c>
      <c r="I1058" s="9" t="s">
        <v>117</v>
      </c>
    </row>
    <row r="1059" customFormat="false" ht="15" hidden="false" customHeight="false" outlineLevel="0" collapsed="false">
      <c r="A1059" s="9" t="s">
        <v>3344</v>
      </c>
      <c r="B1059" s="9" t="s">
        <v>3345</v>
      </c>
      <c r="C1059" s="9" t="s">
        <v>384</v>
      </c>
      <c r="D1059" s="9" t="s">
        <v>383</v>
      </c>
      <c r="E1059" s="9" t="s">
        <v>155</v>
      </c>
      <c r="F1059" s="9" t="s">
        <v>197</v>
      </c>
      <c r="G1059" s="9"/>
      <c r="H1059" s="9" t="n">
        <v>2</v>
      </c>
      <c r="I1059" s="9" t="s">
        <v>135</v>
      </c>
    </row>
    <row r="1060" customFormat="false" ht="15" hidden="false" customHeight="false" outlineLevel="0" collapsed="false">
      <c r="A1060" s="9" t="s">
        <v>3346</v>
      </c>
      <c r="B1060" s="9" t="s">
        <v>2455</v>
      </c>
      <c r="C1060" s="9" t="s">
        <v>384</v>
      </c>
      <c r="D1060" s="9" t="s">
        <v>383</v>
      </c>
      <c r="E1060" s="9" t="s">
        <v>155</v>
      </c>
      <c r="F1060" s="9" t="s">
        <v>197</v>
      </c>
      <c r="G1060" s="9"/>
      <c r="H1060" s="9" t="n">
        <v>9</v>
      </c>
      <c r="I1060" s="9" t="s">
        <v>135</v>
      </c>
    </row>
    <row r="1061" customFormat="false" ht="15" hidden="false" customHeight="false" outlineLevel="0" collapsed="false">
      <c r="A1061" s="9" t="s">
        <v>3347</v>
      </c>
      <c r="B1061" s="9" t="s">
        <v>3348</v>
      </c>
      <c r="C1061" s="9" t="s">
        <v>384</v>
      </c>
      <c r="D1061" s="9" t="s">
        <v>383</v>
      </c>
      <c r="E1061" s="9" t="s">
        <v>155</v>
      </c>
      <c r="F1061" s="9" t="s">
        <v>197</v>
      </c>
      <c r="G1061" s="9"/>
      <c r="H1061" s="9" t="n">
        <v>10</v>
      </c>
      <c r="I1061" s="9" t="s">
        <v>135</v>
      </c>
    </row>
    <row r="1062" customFormat="false" ht="15" hidden="false" customHeight="false" outlineLevel="0" collapsed="false">
      <c r="A1062" s="9" t="s">
        <v>1972</v>
      </c>
      <c r="B1062" s="9" t="s">
        <v>3349</v>
      </c>
      <c r="C1062" s="9" t="s">
        <v>307</v>
      </c>
      <c r="D1062" s="9" t="s">
        <v>306</v>
      </c>
      <c r="E1062" s="9" t="s">
        <v>100</v>
      </c>
      <c r="F1062" s="9" t="s">
        <v>102</v>
      </c>
      <c r="G1062" s="9"/>
      <c r="H1062" s="9" t="n">
        <v>1</v>
      </c>
      <c r="I1062" s="9" t="s">
        <v>103</v>
      </c>
    </row>
    <row r="1063" customFormat="false" ht="15" hidden="false" customHeight="false" outlineLevel="0" collapsed="false">
      <c r="A1063" s="9" t="s">
        <v>3350</v>
      </c>
      <c r="B1063" s="9" t="s">
        <v>1649</v>
      </c>
      <c r="C1063" s="9" t="s">
        <v>386</v>
      </c>
      <c r="D1063" s="9" t="s">
        <v>385</v>
      </c>
      <c r="E1063" s="9" t="s">
        <v>155</v>
      </c>
      <c r="F1063" s="9" t="s">
        <v>156</v>
      </c>
      <c r="G1063" s="9"/>
      <c r="H1063" s="9" t="n">
        <v>2</v>
      </c>
      <c r="I1063" s="9" t="s">
        <v>157</v>
      </c>
    </row>
    <row r="1064" customFormat="false" ht="15" hidden="false" customHeight="false" outlineLevel="0" collapsed="false">
      <c r="A1064" s="9" t="s">
        <v>3351</v>
      </c>
      <c r="B1064" s="9" t="s">
        <v>3352</v>
      </c>
      <c r="C1064" s="9" t="s">
        <v>386</v>
      </c>
      <c r="D1064" s="9" t="s">
        <v>385</v>
      </c>
      <c r="E1064" s="9" t="s">
        <v>155</v>
      </c>
      <c r="F1064" s="9" t="s">
        <v>156</v>
      </c>
      <c r="G1064" s="9"/>
      <c r="H1064" s="9" t="n">
        <v>8</v>
      </c>
      <c r="I1064" s="9" t="s">
        <v>157</v>
      </c>
    </row>
    <row r="1065" customFormat="false" ht="15" hidden="false" customHeight="false" outlineLevel="0" collapsed="false">
      <c r="A1065" s="9" t="s">
        <v>3353</v>
      </c>
      <c r="B1065" s="9" t="s">
        <v>3354</v>
      </c>
      <c r="C1065" s="9" t="s">
        <v>386</v>
      </c>
      <c r="D1065" s="9" t="s">
        <v>385</v>
      </c>
      <c r="E1065" s="9" t="s">
        <v>155</v>
      </c>
      <c r="F1065" s="9" t="s">
        <v>156</v>
      </c>
      <c r="G1065" s="9" t="s">
        <v>1510</v>
      </c>
      <c r="H1065" s="9" t="n">
        <v>9</v>
      </c>
      <c r="I1065" s="9" t="s">
        <v>157</v>
      </c>
    </row>
    <row r="1066" customFormat="false" ht="15" hidden="false" customHeight="false" outlineLevel="0" collapsed="false">
      <c r="A1066" s="9" t="s">
        <v>1726</v>
      </c>
      <c r="B1066" s="9" t="s">
        <v>3355</v>
      </c>
      <c r="C1066" s="9" t="s">
        <v>388</v>
      </c>
      <c r="D1066" s="9" t="s">
        <v>387</v>
      </c>
      <c r="E1066" s="9" t="s">
        <v>151</v>
      </c>
      <c r="F1066" s="9" t="s">
        <v>152</v>
      </c>
      <c r="G1066" s="9"/>
      <c r="H1066" s="9" t="n">
        <v>1</v>
      </c>
      <c r="I1066" s="9" t="s">
        <v>117</v>
      </c>
    </row>
    <row r="1067" customFormat="false" ht="15" hidden="false" customHeight="false" outlineLevel="0" collapsed="false">
      <c r="A1067" s="9" t="s">
        <v>2670</v>
      </c>
      <c r="B1067" s="9" t="s">
        <v>2029</v>
      </c>
      <c r="C1067" s="9" t="s">
        <v>388</v>
      </c>
      <c r="D1067" s="9" t="s">
        <v>387</v>
      </c>
      <c r="E1067" s="9" t="s">
        <v>151</v>
      </c>
      <c r="F1067" s="9" t="s">
        <v>152</v>
      </c>
      <c r="G1067" s="9"/>
      <c r="H1067" s="9" t="n">
        <v>2</v>
      </c>
      <c r="I1067" s="9" t="s">
        <v>117</v>
      </c>
    </row>
    <row r="1068" customFormat="false" ht="15" hidden="false" customHeight="false" outlineLevel="0" collapsed="false">
      <c r="A1068" s="9" t="s">
        <v>3356</v>
      </c>
      <c r="B1068" s="9" t="s">
        <v>3357</v>
      </c>
      <c r="C1068" s="9" t="s">
        <v>388</v>
      </c>
      <c r="D1068" s="9" t="s">
        <v>387</v>
      </c>
      <c r="E1068" s="9" t="s">
        <v>151</v>
      </c>
      <c r="F1068" s="9" t="s">
        <v>152</v>
      </c>
      <c r="G1068" s="9"/>
      <c r="H1068" s="9" t="n">
        <v>8</v>
      </c>
      <c r="I1068" s="9" t="s">
        <v>117</v>
      </c>
    </row>
    <row r="1069" customFormat="false" ht="15" hidden="false" customHeight="false" outlineLevel="0" collapsed="false">
      <c r="A1069" s="9" t="s">
        <v>1506</v>
      </c>
      <c r="B1069" s="9" t="s">
        <v>3358</v>
      </c>
      <c r="C1069" s="9" t="s">
        <v>388</v>
      </c>
      <c r="D1069" s="9" t="s">
        <v>387</v>
      </c>
      <c r="E1069" s="9" t="s">
        <v>151</v>
      </c>
      <c r="F1069" s="9" t="s">
        <v>152</v>
      </c>
      <c r="G1069" s="9"/>
      <c r="H1069" s="9" t="n">
        <v>11</v>
      </c>
      <c r="I1069" s="9" t="s">
        <v>117</v>
      </c>
    </row>
    <row r="1070" customFormat="false" ht="15" hidden="false" customHeight="false" outlineLevel="0" collapsed="false">
      <c r="A1070" s="9" t="s">
        <v>3359</v>
      </c>
      <c r="B1070" s="9" t="s">
        <v>2465</v>
      </c>
      <c r="C1070" s="9" t="s">
        <v>388</v>
      </c>
      <c r="D1070" s="9" t="s">
        <v>387</v>
      </c>
      <c r="E1070" s="9" t="s">
        <v>151</v>
      </c>
      <c r="F1070" s="9" t="s">
        <v>152</v>
      </c>
      <c r="G1070" s="9" t="s">
        <v>1510</v>
      </c>
      <c r="H1070" s="9" t="n">
        <v>14</v>
      </c>
      <c r="I1070" s="9" t="s">
        <v>117</v>
      </c>
    </row>
    <row r="1071" customFormat="false" ht="15" hidden="false" customHeight="false" outlineLevel="0" collapsed="false">
      <c r="A1071" s="9" t="s">
        <v>3360</v>
      </c>
      <c r="B1071" s="9" t="s">
        <v>3361</v>
      </c>
      <c r="C1071" s="9" t="s">
        <v>390</v>
      </c>
      <c r="D1071" s="9" t="s">
        <v>389</v>
      </c>
      <c r="E1071" s="9" t="s">
        <v>237</v>
      </c>
      <c r="F1071" s="9" t="s">
        <v>116</v>
      </c>
      <c r="G1071" s="9" t="s">
        <v>1510</v>
      </c>
      <c r="H1071" s="9" t="n">
        <v>4</v>
      </c>
      <c r="I1071" s="9" t="s">
        <v>117</v>
      </c>
    </row>
    <row r="1072" customFormat="false" ht="15" hidden="false" customHeight="false" outlineLevel="0" collapsed="false">
      <c r="A1072" s="9" t="s">
        <v>3362</v>
      </c>
      <c r="B1072" s="9" t="s">
        <v>3363</v>
      </c>
      <c r="C1072" s="9" t="s">
        <v>309</v>
      </c>
      <c r="D1072" s="9" t="s">
        <v>308</v>
      </c>
      <c r="E1072" s="9" t="s">
        <v>146</v>
      </c>
      <c r="F1072" s="9" t="s">
        <v>152</v>
      </c>
      <c r="G1072" s="9"/>
      <c r="H1072" s="9" t="n">
        <v>2</v>
      </c>
      <c r="I1072" s="9" t="s">
        <v>117</v>
      </c>
    </row>
    <row r="1073" customFormat="false" ht="15" hidden="false" customHeight="false" outlineLevel="0" collapsed="false">
      <c r="A1073" s="9" t="s">
        <v>3364</v>
      </c>
      <c r="B1073" s="9" t="s">
        <v>3365</v>
      </c>
      <c r="C1073" s="9" t="s">
        <v>309</v>
      </c>
      <c r="D1073" s="9" t="s">
        <v>308</v>
      </c>
      <c r="E1073" s="9" t="s">
        <v>146</v>
      </c>
      <c r="F1073" s="9" t="s">
        <v>152</v>
      </c>
      <c r="G1073" s="9"/>
      <c r="H1073" s="9" t="n">
        <v>3</v>
      </c>
      <c r="I1073" s="9" t="s">
        <v>117</v>
      </c>
    </row>
    <row r="1074" customFormat="false" ht="15" hidden="false" customHeight="false" outlineLevel="0" collapsed="false">
      <c r="A1074" s="9" t="s">
        <v>3366</v>
      </c>
      <c r="B1074" s="9" t="s">
        <v>3367</v>
      </c>
      <c r="C1074" s="9" t="s">
        <v>309</v>
      </c>
      <c r="D1074" s="9" t="s">
        <v>308</v>
      </c>
      <c r="E1074" s="9" t="s">
        <v>146</v>
      </c>
      <c r="F1074" s="9" t="s">
        <v>152</v>
      </c>
      <c r="G1074" s="9"/>
      <c r="H1074" s="9" t="n">
        <v>4</v>
      </c>
      <c r="I1074" s="9" t="s">
        <v>117</v>
      </c>
    </row>
    <row r="1075" customFormat="false" ht="15" hidden="false" customHeight="false" outlineLevel="0" collapsed="false">
      <c r="A1075" s="9" t="s">
        <v>3368</v>
      </c>
      <c r="B1075" s="9" t="s">
        <v>3369</v>
      </c>
      <c r="C1075" s="9" t="s">
        <v>309</v>
      </c>
      <c r="D1075" s="9" t="s">
        <v>308</v>
      </c>
      <c r="E1075" s="9" t="s">
        <v>146</v>
      </c>
      <c r="F1075" s="9" t="s">
        <v>152</v>
      </c>
      <c r="G1075" s="9"/>
      <c r="H1075" s="9" t="n">
        <v>5</v>
      </c>
      <c r="I1075" s="9" t="s">
        <v>117</v>
      </c>
    </row>
    <row r="1076" customFormat="false" ht="15" hidden="false" customHeight="false" outlineLevel="0" collapsed="false">
      <c r="A1076" s="9" t="s">
        <v>2592</v>
      </c>
      <c r="B1076" s="9" t="s">
        <v>3370</v>
      </c>
      <c r="C1076" s="9" t="s">
        <v>309</v>
      </c>
      <c r="D1076" s="9" t="s">
        <v>308</v>
      </c>
      <c r="E1076" s="9" t="s">
        <v>146</v>
      </c>
      <c r="F1076" s="9" t="s">
        <v>152</v>
      </c>
      <c r="G1076" s="9" t="s">
        <v>1510</v>
      </c>
      <c r="H1076" s="9" t="n">
        <v>9</v>
      </c>
      <c r="I1076" s="9" t="s">
        <v>117</v>
      </c>
    </row>
    <row r="1077" customFormat="false" ht="15" hidden="false" customHeight="false" outlineLevel="0" collapsed="false">
      <c r="A1077" s="9" t="s">
        <v>3371</v>
      </c>
      <c r="B1077" s="9" t="s">
        <v>3372</v>
      </c>
      <c r="C1077" s="9" t="s">
        <v>100</v>
      </c>
      <c r="D1077" s="9" t="s">
        <v>391</v>
      </c>
      <c r="E1077" s="9" t="s">
        <v>100</v>
      </c>
      <c r="F1077" s="9" t="s">
        <v>173</v>
      </c>
      <c r="G1077" s="9"/>
      <c r="H1077" s="9" t="n">
        <v>4</v>
      </c>
      <c r="I1077" s="9" t="s">
        <v>117</v>
      </c>
    </row>
    <row r="1078" customFormat="false" ht="15" hidden="false" customHeight="false" outlineLevel="0" collapsed="false">
      <c r="A1078" s="9" t="s">
        <v>3373</v>
      </c>
      <c r="B1078" s="9" t="s">
        <v>3374</v>
      </c>
      <c r="C1078" s="9" t="s">
        <v>100</v>
      </c>
      <c r="D1078" s="9" t="s">
        <v>391</v>
      </c>
      <c r="E1078" s="9" t="s">
        <v>100</v>
      </c>
      <c r="F1078" s="9" t="s">
        <v>173</v>
      </c>
      <c r="G1078" s="9" t="s">
        <v>1510</v>
      </c>
      <c r="H1078" s="9" t="n">
        <v>10</v>
      </c>
      <c r="I1078" s="9" t="s">
        <v>117</v>
      </c>
    </row>
    <row r="1079" customFormat="false" ht="15" hidden="false" customHeight="false" outlineLevel="0" collapsed="false">
      <c r="A1079" s="9" t="s">
        <v>3375</v>
      </c>
      <c r="B1079" s="9" t="s">
        <v>3376</v>
      </c>
      <c r="C1079" s="9" t="s">
        <v>100</v>
      </c>
      <c r="D1079" s="9" t="s">
        <v>391</v>
      </c>
      <c r="E1079" s="9" t="s">
        <v>100</v>
      </c>
      <c r="F1079" s="9" t="s">
        <v>173</v>
      </c>
      <c r="G1079" s="9" t="s">
        <v>1510</v>
      </c>
      <c r="H1079" s="9" t="n">
        <v>12</v>
      </c>
      <c r="I1079" s="9" t="s">
        <v>117</v>
      </c>
    </row>
    <row r="1080" customFormat="false" ht="15" hidden="false" customHeight="false" outlineLevel="0" collapsed="false">
      <c r="A1080" s="9" t="s">
        <v>3377</v>
      </c>
      <c r="B1080" s="9" t="s">
        <v>3305</v>
      </c>
      <c r="C1080" s="9" t="s">
        <v>100</v>
      </c>
      <c r="D1080" s="9" t="s">
        <v>391</v>
      </c>
      <c r="E1080" s="9" t="s">
        <v>100</v>
      </c>
      <c r="F1080" s="9" t="s">
        <v>173</v>
      </c>
      <c r="G1080" s="9"/>
      <c r="H1080" s="9" t="n">
        <v>14</v>
      </c>
      <c r="I1080" s="9" t="s">
        <v>117</v>
      </c>
    </row>
    <row r="1081" customFormat="false" ht="15" hidden="false" customHeight="false" outlineLevel="0" collapsed="false">
      <c r="A1081" s="9" t="s">
        <v>3378</v>
      </c>
      <c r="B1081" s="9" t="s">
        <v>1579</v>
      </c>
      <c r="C1081" s="9" t="s">
        <v>100</v>
      </c>
      <c r="D1081" s="9" t="s">
        <v>391</v>
      </c>
      <c r="E1081" s="9" t="s">
        <v>100</v>
      </c>
      <c r="F1081" s="9" t="s">
        <v>173</v>
      </c>
      <c r="G1081" s="9"/>
      <c r="H1081" s="9" t="n">
        <v>17</v>
      </c>
      <c r="I1081" s="9" t="s">
        <v>117</v>
      </c>
    </row>
    <row r="1082" customFormat="false" ht="15" hidden="false" customHeight="false" outlineLevel="0" collapsed="false">
      <c r="A1082" s="9" t="s">
        <v>3379</v>
      </c>
      <c r="B1082" s="9" t="s">
        <v>3380</v>
      </c>
      <c r="C1082" s="9" t="s">
        <v>100</v>
      </c>
      <c r="D1082" s="9" t="s">
        <v>391</v>
      </c>
      <c r="E1082" s="9" t="s">
        <v>100</v>
      </c>
      <c r="F1082" s="9" t="s">
        <v>173</v>
      </c>
      <c r="G1082" s="9"/>
      <c r="H1082" s="9" t="n">
        <v>34</v>
      </c>
      <c r="I1082" s="9" t="s">
        <v>117</v>
      </c>
    </row>
    <row r="1083" customFormat="false" ht="15" hidden="false" customHeight="false" outlineLevel="0" collapsed="false">
      <c r="A1083" s="9" t="s">
        <v>3381</v>
      </c>
      <c r="B1083" s="9" t="s">
        <v>3382</v>
      </c>
      <c r="C1083" s="9" t="s">
        <v>100</v>
      </c>
      <c r="D1083" s="9" t="s">
        <v>391</v>
      </c>
      <c r="E1083" s="9" t="s">
        <v>100</v>
      </c>
      <c r="F1083" s="9" t="s">
        <v>173</v>
      </c>
      <c r="G1083" s="9"/>
      <c r="H1083" s="9" t="n">
        <v>39</v>
      </c>
      <c r="I1083" s="9" t="s">
        <v>117</v>
      </c>
    </row>
    <row r="1084" customFormat="false" ht="15" hidden="false" customHeight="false" outlineLevel="0" collapsed="false">
      <c r="A1084" s="9" t="s">
        <v>3383</v>
      </c>
      <c r="B1084" s="9" t="s">
        <v>3384</v>
      </c>
      <c r="C1084" s="9" t="s">
        <v>100</v>
      </c>
      <c r="D1084" s="9" t="s">
        <v>391</v>
      </c>
      <c r="E1084" s="9" t="s">
        <v>100</v>
      </c>
      <c r="F1084" s="9" t="s">
        <v>173</v>
      </c>
      <c r="G1084" s="9" t="s">
        <v>1510</v>
      </c>
      <c r="H1084" s="9" t="n">
        <v>53</v>
      </c>
      <c r="I1084" s="9" t="s">
        <v>117</v>
      </c>
    </row>
    <row r="1085" customFormat="false" ht="15" hidden="false" customHeight="false" outlineLevel="0" collapsed="false">
      <c r="A1085" s="9" t="s">
        <v>3385</v>
      </c>
      <c r="B1085" s="9" t="s">
        <v>3386</v>
      </c>
      <c r="C1085" s="9" t="s">
        <v>393</v>
      </c>
      <c r="D1085" s="9" t="s">
        <v>392</v>
      </c>
      <c r="E1085" s="9" t="s">
        <v>155</v>
      </c>
      <c r="F1085" s="9" t="s">
        <v>197</v>
      </c>
      <c r="G1085" s="9" t="s">
        <v>1631</v>
      </c>
      <c r="H1085" s="9" t="n">
        <v>1</v>
      </c>
      <c r="I1085" s="9" t="s">
        <v>135</v>
      </c>
    </row>
    <row r="1086" customFormat="false" ht="15" hidden="false" customHeight="false" outlineLevel="0" collapsed="false">
      <c r="A1086" s="9" t="s">
        <v>3387</v>
      </c>
      <c r="B1086" s="9" t="s">
        <v>2512</v>
      </c>
      <c r="C1086" s="9" t="s">
        <v>397</v>
      </c>
      <c r="D1086" s="9" t="s">
        <v>396</v>
      </c>
      <c r="E1086" s="9" t="s">
        <v>133</v>
      </c>
      <c r="F1086" s="9" t="s">
        <v>125</v>
      </c>
      <c r="G1086" s="9"/>
      <c r="H1086" s="9" t="n">
        <v>1</v>
      </c>
      <c r="I1086" s="9" t="s">
        <v>157</v>
      </c>
    </row>
    <row r="1087" customFormat="false" ht="15" hidden="false" customHeight="false" outlineLevel="0" collapsed="false">
      <c r="A1087" s="9" t="s">
        <v>3306</v>
      </c>
      <c r="B1087" s="9" t="s">
        <v>1613</v>
      </c>
      <c r="C1087" s="9" t="s">
        <v>397</v>
      </c>
      <c r="D1087" s="9" t="s">
        <v>396</v>
      </c>
      <c r="E1087" s="9" t="s">
        <v>133</v>
      </c>
      <c r="F1087" s="9" t="s">
        <v>125</v>
      </c>
      <c r="G1087" s="9"/>
      <c r="H1087" s="9" t="n">
        <v>3</v>
      </c>
      <c r="I1087" s="9" t="s">
        <v>157</v>
      </c>
    </row>
    <row r="1088" customFormat="false" ht="15" hidden="false" customHeight="false" outlineLevel="0" collapsed="false">
      <c r="A1088" s="9" t="s">
        <v>2398</v>
      </c>
      <c r="B1088" s="9" t="s">
        <v>3388</v>
      </c>
      <c r="C1088" s="9" t="s">
        <v>395</v>
      </c>
      <c r="D1088" s="9" t="s">
        <v>394</v>
      </c>
      <c r="E1088" s="9" t="s">
        <v>100</v>
      </c>
      <c r="F1088" s="9" t="s">
        <v>173</v>
      </c>
      <c r="G1088" s="9"/>
      <c r="H1088" s="9" t="n">
        <v>2</v>
      </c>
      <c r="I1088" s="9" t="s">
        <v>135</v>
      </c>
    </row>
    <row r="1089" customFormat="false" ht="15" hidden="false" customHeight="false" outlineLevel="0" collapsed="false">
      <c r="A1089" s="9" t="s">
        <v>3389</v>
      </c>
      <c r="B1089" s="9" t="s">
        <v>3390</v>
      </c>
      <c r="C1089" s="9" t="s">
        <v>295</v>
      </c>
      <c r="D1089" s="9" t="s">
        <v>294</v>
      </c>
      <c r="E1089" s="9" t="s">
        <v>106</v>
      </c>
      <c r="F1089" s="9" t="s">
        <v>108</v>
      </c>
      <c r="G1089" s="9"/>
      <c r="H1089" s="9" t="n">
        <v>2</v>
      </c>
      <c r="I1089" s="9" t="s">
        <v>103</v>
      </c>
    </row>
    <row r="1090" customFormat="false" ht="15" hidden="false" customHeight="false" outlineLevel="0" collapsed="false">
      <c r="A1090" s="9" t="s">
        <v>3391</v>
      </c>
      <c r="B1090" s="9" t="s">
        <v>3392</v>
      </c>
      <c r="C1090" s="9" t="s">
        <v>295</v>
      </c>
      <c r="D1090" s="9" t="s">
        <v>294</v>
      </c>
      <c r="E1090" s="9" t="s">
        <v>106</v>
      </c>
      <c r="F1090" s="9" t="s">
        <v>108</v>
      </c>
      <c r="G1090" s="9"/>
      <c r="H1090" s="9" t="n">
        <v>5</v>
      </c>
      <c r="I1090" s="9" t="s">
        <v>103</v>
      </c>
    </row>
    <row r="1091" customFormat="false" ht="15" hidden="false" customHeight="false" outlineLevel="0" collapsed="false">
      <c r="A1091" s="9" t="s">
        <v>3393</v>
      </c>
      <c r="B1091" s="9" t="s">
        <v>3394</v>
      </c>
      <c r="C1091" s="9" t="s">
        <v>399</v>
      </c>
      <c r="D1091" s="9" t="s">
        <v>398</v>
      </c>
      <c r="E1091" s="9" t="s">
        <v>182</v>
      </c>
      <c r="F1091" s="9" t="s">
        <v>125</v>
      </c>
      <c r="G1091" s="9" t="s">
        <v>1631</v>
      </c>
      <c r="H1091" s="9" t="n">
        <v>2</v>
      </c>
      <c r="I1091" s="9" t="s">
        <v>143</v>
      </c>
    </row>
    <row r="1092" customFormat="false" ht="15" hidden="false" customHeight="false" outlineLevel="0" collapsed="false">
      <c r="A1092" s="9" t="s">
        <v>3395</v>
      </c>
      <c r="B1092" s="9" t="s">
        <v>3396</v>
      </c>
      <c r="C1092" s="9" t="s">
        <v>399</v>
      </c>
      <c r="D1092" s="9" t="s">
        <v>398</v>
      </c>
      <c r="E1092" s="9" t="s">
        <v>182</v>
      </c>
      <c r="F1092" s="9" t="s">
        <v>125</v>
      </c>
      <c r="G1092" s="9"/>
      <c r="H1092" s="9" t="n">
        <v>4</v>
      </c>
      <c r="I1092" s="9" t="s">
        <v>143</v>
      </c>
    </row>
    <row r="1093" customFormat="false" ht="15" hidden="false" customHeight="false" outlineLevel="0" collapsed="false">
      <c r="A1093" s="9" t="s">
        <v>3397</v>
      </c>
      <c r="B1093" s="9" t="s">
        <v>3398</v>
      </c>
      <c r="C1093" s="9" t="s">
        <v>399</v>
      </c>
      <c r="D1093" s="9" t="s">
        <v>398</v>
      </c>
      <c r="E1093" s="9" t="s">
        <v>182</v>
      </c>
      <c r="F1093" s="9" t="s">
        <v>125</v>
      </c>
      <c r="G1093" s="9"/>
      <c r="H1093" s="9" t="n">
        <v>9</v>
      </c>
      <c r="I1093" s="9" t="s">
        <v>143</v>
      </c>
    </row>
    <row r="1094" customFormat="false" ht="15" hidden="false" customHeight="false" outlineLevel="0" collapsed="false">
      <c r="A1094" s="9" t="s">
        <v>3399</v>
      </c>
      <c r="B1094" s="9" t="s">
        <v>1626</v>
      </c>
      <c r="C1094" s="9" t="s">
        <v>401</v>
      </c>
      <c r="D1094" s="9" t="s">
        <v>400</v>
      </c>
      <c r="E1094" s="9" t="s">
        <v>155</v>
      </c>
      <c r="F1094" s="9" t="s">
        <v>156</v>
      </c>
      <c r="G1094" s="9" t="s">
        <v>1510</v>
      </c>
      <c r="H1094" s="9" t="n">
        <v>1</v>
      </c>
      <c r="I1094" s="9" t="s">
        <v>135</v>
      </c>
    </row>
    <row r="1095" customFormat="false" ht="15" hidden="false" customHeight="false" outlineLevel="0" collapsed="false">
      <c r="A1095" s="9" t="s">
        <v>3400</v>
      </c>
      <c r="B1095" s="9" t="s">
        <v>3401</v>
      </c>
      <c r="C1095" s="9" t="s">
        <v>401</v>
      </c>
      <c r="D1095" s="9" t="s">
        <v>400</v>
      </c>
      <c r="E1095" s="9" t="s">
        <v>155</v>
      </c>
      <c r="F1095" s="9" t="s">
        <v>156</v>
      </c>
      <c r="G1095" s="9"/>
      <c r="H1095" s="9" t="n">
        <v>2</v>
      </c>
      <c r="I1095" s="9" t="s">
        <v>135</v>
      </c>
    </row>
    <row r="1096" customFormat="false" ht="15" hidden="false" customHeight="false" outlineLevel="0" collapsed="false">
      <c r="A1096" s="9" t="s">
        <v>2398</v>
      </c>
      <c r="B1096" s="9" t="s">
        <v>3402</v>
      </c>
      <c r="C1096" s="9" t="s">
        <v>403</v>
      </c>
      <c r="D1096" s="9" t="s">
        <v>402</v>
      </c>
      <c r="E1096" s="9" t="s">
        <v>106</v>
      </c>
      <c r="F1096" s="9" t="s">
        <v>102</v>
      </c>
      <c r="G1096" s="9"/>
      <c r="H1096" s="9" t="n">
        <v>2</v>
      </c>
      <c r="I1096" s="9" t="s">
        <v>103</v>
      </c>
    </row>
    <row r="1097" customFormat="false" ht="15" hidden="false" customHeight="false" outlineLevel="0" collapsed="false">
      <c r="A1097" s="9" t="s">
        <v>3403</v>
      </c>
      <c r="B1097" s="9" t="s">
        <v>3404</v>
      </c>
      <c r="C1097" s="9" t="s">
        <v>405</v>
      </c>
      <c r="D1097" s="9" t="s">
        <v>404</v>
      </c>
      <c r="E1097" s="9" t="s">
        <v>237</v>
      </c>
      <c r="F1097" s="9" t="s">
        <v>116</v>
      </c>
      <c r="G1097" s="9"/>
      <c r="H1097" s="9" t="n">
        <v>1</v>
      </c>
      <c r="I1097" s="9" t="s">
        <v>117</v>
      </c>
    </row>
    <row r="1098" customFormat="false" ht="15" hidden="false" customHeight="false" outlineLevel="0" collapsed="false">
      <c r="A1098" s="9" t="s">
        <v>3405</v>
      </c>
      <c r="B1098" s="9" t="s">
        <v>2622</v>
      </c>
      <c r="C1098" s="9" t="s">
        <v>405</v>
      </c>
      <c r="D1098" s="9" t="s">
        <v>404</v>
      </c>
      <c r="E1098" s="9" t="s">
        <v>237</v>
      </c>
      <c r="F1098" s="9" t="s">
        <v>116</v>
      </c>
      <c r="G1098" s="9"/>
      <c r="H1098" s="9" t="n">
        <v>2</v>
      </c>
      <c r="I1098" s="9" t="s">
        <v>117</v>
      </c>
    </row>
    <row r="1099" customFormat="false" ht="15" hidden="false" customHeight="false" outlineLevel="0" collapsed="false">
      <c r="A1099" s="9" t="s">
        <v>3406</v>
      </c>
      <c r="B1099" s="9" t="s">
        <v>3407</v>
      </c>
      <c r="C1099" s="9" t="s">
        <v>405</v>
      </c>
      <c r="D1099" s="9" t="s">
        <v>404</v>
      </c>
      <c r="E1099" s="9" t="s">
        <v>237</v>
      </c>
      <c r="F1099" s="9" t="s">
        <v>116</v>
      </c>
      <c r="G1099" s="9"/>
      <c r="H1099" s="9" t="n">
        <v>9</v>
      </c>
      <c r="I1099" s="9" t="s">
        <v>117</v>
      </c>
    </row>
    <row r="1100" customFormat="false" ht="15" hidden="false" customHeight="false" outlineLevel="0" collapsed="false">
      <c r="A1100" s="9" t="s">
        <v>3408</v>
      </c>
      <c r="B1100" s="9" t="s">
        <v>3409</v>
      </c>
      <c r="C1100" s="9" t="s">
        <v>411</v>
      </c>
      <c r="D1100" s="9" t="s">
        <v>410</v>
      </c>
      <c r="E1100" s="9" t="s">
        <v>106</v>
      </c>
      <c r="F1100" s="9" t="s">
        <v>108</v>
      </c>
      <c r="G1100" s="9"/>
      <c r="H1100" s="9" t="n">
        <v>1</v>
      </c>
      <c r="I1100" s="9" t="s">
        <v>209</v>
      </c>
    </row>
    <row r="1101" customFormat="false" ht="15" hidden="false" customHeight="false" outlineLevel="0" collapsed="false">
      <c r="A1101" s="9" t="s">
        <v>1774</v>
      </c>
      <c r="B1101" s="9" t="s">
        <v>3410</v>
      </c>
      <c r="C1101" s="9" t="s">
        <v>411</v>
      </c>
      <c r="D1101" s="9" t="s">
        <v>410</v>
      </c>
      <c r="E1101" s="9" t="s">
        <v>106</v>
      </c>
      <c r="F1101" s="9" t="s">
        <v>108</v>
      </c>
      <c r="G1101" s="9"/>
      <c r="H1101" s="9" t="n">
        <v>2</v>
      </c>
      <c r="I1101" s="9" t="s">
        <v>209</v>
      </c>
    </row>
    <row r="1102" customFormat="false" ht="15" hidden="false" customHeight="false" outlineLevel="0" collapsed="false">
      <c r="A1102" s="9" t="s">
        <v>3411</v>
      </c>
      <c r="B1102" s="9" t="s">
        <v>3412</v>
      </c>
      <c r="C1102" s="9" t="s">
        <v>413</v>
      </c>
      <c r="D1102" s="9" t="s">
        <v>412</v>
      </c>
      <c r="E1102" s="9" t="s">
        <v>120</v>
      </c>
      <c r="F1102" s="9" t="s">
        <v>116</v>
      </c>
      <c r="G1102" s="9"/>
      <c r="H1102" s="9" t="n">
        <v>1</v>
      </c>
      <c r="I1102" s="9" t="s">
        <v>117</v>
      </c>
    </row>
    <row r="1103" customFormat="false" ht="15" hidden="false" customHeight="false" outlineLevel="0" collapsed="false">
      <c r="A1103" s="9" t="s">
        <v>3413</v>
      </c>
      <c r="B1103" s="9" t="s">
        <v>3414</v>
      </c>
      <c r="C1103" s="9" t="s">
        <v>413</v>
      </c>
      <c r="D1103" s="9" t="s">
        <v>412</v>
      </c>
      <c r="E1103" s="9" t="s">
        <v>120</v>
      </c>
      <c r="F1103" s="9" t="s">
        <v>116</v>
      </c>
      <c r="G1103" s="9"/>
      <c r="H1103" s="9" t="n">
        <v>5</v>
      </c>
      <c r="I1103" s="9" t="s">
        <v>117</v>
      </c>
    </row>
    <row r="1104" customFormat="false" ht="15" hidden="false" customHeight="false" outlineLevel="0" collapsed="false">
      <c r="A1104" s="9" t="s">
        <v>3415</v>
      </c>
      <c r="B1104" s="9" t="s">
        <v>3416</v>
      </c>
      <c r="C1104" s="9" t="s">
        <v>413</v>
      </c>
      <c r="D1104" s="9" t="s">
        <v>412</v>
      </c>
      <c r="E1104" s="9" t="s">
        <v>120</v>
      </c>
      <c r="F1104" s="9" t="s">
        <v>116</v>
      </c>
      <c r="G1104" s="9"/>
      <c r="H1104" s="9" t="n">
        <v>6</v>
      </c>
      <c r="I1104" s="9" t="s">
        <v>117</v>
      </c>
    </row>
    <row r="1105" customFormat="false" ht="15" hidden="false" customHeight="false" outlineLevel="0" collapsed="false">
      <c r="A1105" s="9" t="s">
        <v>3417</v>
      </c>
      <c r="B1105" s="9" t="s">
        <v>3418</v>
      </c>
      <c r="C1105" s="9" t="s">
        <v>413</v>
      </c>
      <c r="D1105" s="9" t="s">
        <v>412</v>
      </c>
      <c r="E1105" s="9" t="s">
        <v>120</v>
      </c>
      <c r="F1105" s="9" t="s">
        <v>116</v>
      </c>
      <c r="G1105" s="9"/>
      <c r="H1105" s="9" t="n">
        <v>9</v>
      </c>
      <c r="I1105" s="9" t="s">
        <v>117</v>
      </c>
    </row>
    <row r="1106" customFormat="false" ht="15" hidden="false" customHeight="false" outlineLevel="0" collapsed="false">
      <c r="A1106" s="9" t="s">
        <v>3419</v>
      </c>
      <c r="B1106" s="9" t="s">
        <v>3420</v>
      </c>
      <c r="C1106" s="9" t="s">
        <v>413</v>
      </c>
      <c r="D1106" s="9" t="s">
        <v>412</v>
      </c>
      <c r="E1106" s="9" t="s">
        <v>120</v>
      </c>
      <c r="F1106" s="9" t="s">
        <v>116</v>
      </c>
      <c r="G1106" s="9"/>
      <c r="H1106" s="9" t="n">
        <v>11</v>
      </c>
      <c r="I1106" s="9" t="s">
        <v>117</v>
      </c>
    </row>
    <row r="1107" customFormat="false" ht="15" hidden="false" customHeight="false" outlineLevel="0" collapsed="false">
      <c r="A1107" s="9" t="s">
        <v>3421</v>
      </c>
      <c r="B1107" s="9" t="s">
        <v>3422</v>
      </c>
      <c r="C1107" s="9" t="s">
        <v>413</v>
      </c>
      <c r="D1107" s="9" t="s">
        <v>412</v>
      </c>
      <c r="E1107" s="9" t="s">
        <v>120</v>
      </c>
      <c r="F1107" s="9" t="s">
        <v>116</v>
      </c>
      <c r="G1107" s="9"/>
      <c r="H1107" s="9" t="n">
        <v>16</v>
      </c>
      <c r="I1107" s="9" t="s">
        <v>117</v>
      </c>
    </row>
    <row r="1108" customFormat="false" ht="15" hidden="false" customHeight="false" outlineLevel="0" collapsed="false">
      <c r="A1108" s="9" t="s">
        <v>3423</v>
      </c>
      <c r="B1108" s="9" t="s">
        <v>3424</v>
      </c>
      <c r="C1108" s="9" t="s">
        <v>413</v>
      </c>
      <c r="D1108" s="9" t="s">
        <v>412</v>
      </c>
      <c r="E1108" s="9" t="s">
        <v>120</v>
      </c>
      <c r="F1108" s="9" t="s">
        <v>116</v>
      </c>
      <c r="G1108" s="9"/>
      <c r="H1108" s="9" t="n">
        <v>19</v>
      </c>
      <c r="I1108" s="9" t="s">
        <v>117</v>
      </c>
    </row>
    <row r="1109" customFormat="false" ht="15" hidden="false" customHeight="false" outlineLevel="0" collapsed="false">
      <c r="A1109" s="9" t="s">
        <v>2716</v>
      </c>
      <c r="B1109" s="9" t="s">
        <v>3425</v>
      </c>
      <c r="C1109" s="9" t="s">
        <v>413</v>
      </c>
      <c r="D1109" s="9" t="s">
        <v>412</v>
      </c>
      <c r="E1109" s="9" t="s">
        <v>120</v>
      </c>
      <c r="F1109" s="9" t="s">
        <v>116</v>
      </c>
      <c r="G1109" s="9" t="s">
        <v>1510</v>
      </c>
      <c r="H1109" s="9" t="n">
        <v>26</v>
      </c>
      <c r="I1109" s="9" t="s">
        <v>117</v>
      </c>
    </row>
    <row r="1110" customFormat="false" ht="15" hidden="false" customHeight="false" outlineLevel="0" collapsed="false">
      <c r="A1110" s="9" t="s">
        <v>3426</v>
      </c>
      <c r="B1110" s="9" t="s">
        <v>3427</v>
      </c>
      <c r="C1110" s="9" t="s">
        <v>413</v>
      </c>
      <c r="D1110" s="9" t="s">
        <v>412</v>
      </c>
      <c r="E1110" s="9" t="s">
        <v>120</v>
      </c>
      <c r="F1110" s="9" t="s">
        <v>116</v>
      </c>
      <c r="G1110" s="9" t="s">
        <v>1510</v>
      </c>
      <c r="H1110" s="9" t="n">
        <v>27</v>
      </c>
      <c r="I1110" s="9" t="s">
        <v>117</v>
      </c>
    </row>
    <row r="1111" customFormat="false" ht="15" hidden="false" customHeight="false" outlineLevel="0" collapsed="false">
      <c r="A1111" s="9" t="s">
        <v>2315</v>
      </c>
      <c r="B1111" s="9" t="s">
        <v>3425</v>
      </c>
      <c r="C1111" s="9" t="s">
        <v>413</v>
      </c>
      <c r="D1111" s="9" t="s">
        <v>412</v>
      </c>
      <c r="E1111" s="9" t="s">
        <v>120</v>
      </c>
      <c r="F1111" s="9" t="s">
        <v>116</v>
      </c>
      <c r="G1111" s="9" t="s">
        <v>1510</v>
      </c>
      <c r="H1111" s="9" t="n">
        <v>30</v>
      </c>
      <c r="I1111" s="9" t="s">
        <v>117</v>
      </c>
    </row>
    <row r="1112" customFormat="false" ht="15" hidden="false" customHeight="false" outlineLevel="0" collapsed="false">
      <c r="A1112" s="9" t="s">
        <v>3428</v>
      </c>
      <c r="B1112" s="9" t="s">
        <v>2556</v>
      </c>
      <c r="C1112" s="9" t="s">
        <v>415</v>
      </c>
      <c r="D1112" s="9" t="s">
        <v>414</v>
      </c>
      <c r="E1112" s="9" t="s">
        <v>146</v>
      </c>
      <c r="F1112" s="9" t="s">
        <v>152</v>
      </c>
      <c r="G1112" s="9"/>
      <c r="H1112" s="9" t="n">
        <v>3</v>
      </c>
      <c r="I1112" s="9" t="s">
        <v>117</v>
      </c>
    </row>
    <row r="1113" customFormat="false" ht="15" hidden="false" customHeight="false" outlineLevel="0" collapsed="false">
      <c r="A1113" s="9" t="s">
        <v>3429</v>
      </c>
      <c r="B1113" s="9" t="s">
        <v>2556</v>
      </c>
      <c r="C1113" s="9" t="s">
        <v>415</v>
      </c>
      <c r="D1113" s="9" t="s">
        <v>414</v>
      </c>
      <c r="E1113" s="9" t="s">
        <v>146</v>
      </c>
      <c r="F1113" s="9" t="s">
        <v>152</v>
      </c>
      <c r="G1113" s="9"/>
      <c r="H1113" s="9" t="n">
        <v>5</v>
      </c>
      <c r="I1113" s="9" t="s">
        <v>117</v>
      </c>
    </row>
    <row r="1114" customFormat="false" ht="15" hidden="false" customHeight="false" outlineLevel="0" collapsed="false">
      <c r="A1114" s="9" t="s">
        <v>3430</v>
      </c>
      <c r="B1114" s="9" t="s">
        <v>3431</v>
      </c>
      <c r="C1114" s="9" t="s">
        <v>415</v>
      </c>
      <c r="D1114" s="9" t="s">
        <v>414</v>
      </c>
      <c r="E1114" s="9" t="s">
        <v>146</v>
      </c>
      <c r="F1114" s="9" t="s">
        <v>152</v>
      </c>
      <c r="G1114" s="9"/>
      <c r="H1114" s="9" t="n">
        <v>6</v>
      </c>
      <c r="I1114" s="9" t="s">
        <v>117</v>
      </c>
    </row>
    <row r="1115" customFormat="false" ht="15" hidden="false" customHeight="false" outlineLevel="0" collapsed="false">
      <c r="A1115" s="9" t="s">
        <v>1578</v>
      </c>
      <c r="B1115" s="9" t="s">
        <v>2558</v>
      </c>
      <c r="C1115" s="9" t="s">
        <v>415</v>
      </c>
      <c r="D1115" s="9" t="s">
        <v>414</v>
      </c>
      <c r="E1115" s="9" t="s">
        <v>146</v>
      </c>
      <c r="F1115" s="9" t="s">
        <v>152</v>
      </c>
      <c r="G1115" s="9"/>
      <c r="H1115" s="9" t="n">
        <v>7</v>
      </c>
      <c r="I1115" s="9" t="s">
        <v>117</v>
      </c>
    </row>
    <row r="1116" customFormat="false" ht="15" hidden="false" customHeight="false" outlineLevel="0" collapsed="false">
      <c r="A1116" s="9" t="s">
        <v>3432</v>
      </c>
      <c r="B1116" s="9" t="s">
        <v>3433</v>
      </c>
      <c r="C1116" s="9" t="s">
        <v>415</v>
      </c>
      <c r="D1116" s="9" t="s">
        <v>414</v>
      </c>
      <c r="E1116" s="9" t="s">
        <v>146</v>
      </c>
      <c r="F1116" s="9" t="s">
        <v>152</v>
      </c>
      <c r="G1116" s="9"/>
      <c r="H1116" s="9" t="n">
        <v>11</v>
      </c>
      <c r="I1116" s="9" t="s">
        <v>117</v>
      </c>
    </row>
    <row r="1117" customFormat="false" ht="15" hidden="false" customHeight="false" outlineLevel="0" collapsed="false">
      <c r="A1117" s="9" t="s">
        <v>3434</v>
      </c>
      <c r="B1117" s="9" t="s">
        <v>3435</v>
      </c>
      <c r="C1117" s="9" t="s">
        <v>415</v>
      </c>
      <c r="D1117" s="9" t="s">
        <v>414</v>
      </c>
      <c r="E1117" s="9" t="s">
        <v>146</v>
      </c>
      <c r="F1117" s="9" t="s">
        <v>152</v>
      </c>
      <c r="G1117" s="9"/>
      <c r="H1117" s="9" t="n">
        <v>13</v>
      </c>
      <c r="I1117" s="9" t="s">
        <v>117</v>
      </c>
    </row>
    <row r="1118" customFormat="false" ht="15" hidden="false" customHeight="false" outlineLevel="0" collapsed="false">
      <c r="A1118" s="9" t="s">
        <v>3436</v>
      </c>
      <c r="B1118" s="9" t="s">
        <v>3437</v>
      </c>
      <c r="C1118" s="9" t="s">
        <v>417</v>
      </c>
      <c r="D1118" s="9" t="s">
        <v>416</v>
      </c>
      <c r="E1118" s="9" t="s">
        <v>133</v>
      </c>
      <c r="F1118" s="9" t="s">
        <v>134</v>
      </c>
      <c r="G1118" s="9"/>
      <c r="H1118" s="9" t="n">
        <v>4</v>
      </c>
      <c r="I1118" s="9" t="s">
        <v>135</v>
      </c>
    </row>
    <row r="1119" customFormat="false" ht="15" hidden="false" customHeight="false" outlineLevel="0" collapsed="false">
      <c r="A1119" s="9" t="s">
        <v>3000</v>
      </c>
      <c r="B1119" s="9" t="s">
        <v>3438</v>
      </c>
      <c r="C1119" s="9" t="s">
        <v>417</v>
      </c>
      <c r="D1119" s="9" t="s">
        <v>416</v>
      </c>
      <c r="E1119" s="9" t="s">
        <v>133</v>
      </c>
      <c r="F1119" s="9" t="s">
        <v>134</v>
      </c>
      <c r="G1119" s="9"/>
      <c r="H1119" s="9" t="n">
        <v>5</v>
      </c>
      <c r="I1119" s="9" t="s">
        <v>135</v>
      </c>
    </row>
    <row r="1120" customFormat="false" ht="15" hidden="false" customHeight="false" outlineLevel="0" collapsed="false">
      <c r="A1120" s="9" t="s">
        <v>3439</v>
      </c>
      <c r="B1120" s="9" t="s">
        <v>3440</v>
      </c>
      <c r="C1120" s="9" t="s">
        <v>417</v>
      </c>
      <c r="D1120" s="9" t="s">
        <v>416</v>
      </c>
      <c r="E1120" s="9" t="s">
        <v>133</v>
      </c>
      <c r="F1120" s="9" t="s">
        <v>134</v>
      </c>
      <c r="G1120" s="9" t="s">
        <v>1510</v>
      </c>
      <c r="H1120" s="9" t="n">
        <v>6</v>
      </c>
      <c r="I1120" s="9" t="s">
        <v>135</v>
      </c>
    </row>
    <row r="1121" customFormat="false" ht="15" hidden="false" customHeight="false" outlineLevel="0" collapsed="false">
      <c r="A1121" s="9" t="s">
        <v>3441</v>
      </c>
      <c r="B1121" s="9" t="s">
        <v>3442</v>
      </c>
      <c r="C1121" s="9" t="s">
        <v>417</v>
      </c>
      <c r="D1121" s="9" t="s">
        <v>416</v>
      </c>
      <c r="E1121" s="9" t="s">
        <v>133</v>
      </c>
      <c r="F1121" s="9" t="s">
        <v>134</v>
      </c>
      <c r="G1121" s="9"/>
      <c r="H1121" s="9" t="n">
        <v>8</v>
      </c>
      <c r="I1121" s="9" t="s">
        <v>135</v>
      </c>
    </row>
    <row r="1122" customFormat="false" ht="15" hidden="false" customHeight="false" outlineLevel="0" collapsed="false">
      <c r="A1122" s="9" t="s">
        <v>3443</v>
      </c>
      <c r="B1122" s="9" t="s">
        <v>3444</v>
      </c>
      <c r="C1122" s="9" t="s">
        <v>417</v>
      </c>
      <c r="D1122" s="9" t="s">
        <v>416</v>
      </c>
      <c r="E1122" s="9" t="s">
        <v>133</v>
      </c>
      <c r="F1122" s="9" t="s">
        <v>134</v>
      </c>
      <c r="G1122" s="9"/>
      <c r="H1122" s="9" t="n">
        <v>10</v>
      </c>
      <c r="I1122" s="9" t="s">
        <v>135</v>
      </c>
    </row>
    <row r="1123" customFormat="false" ht="15" hidden="false" customHeight="false" outlineLevel="0" collapsed="false">
      <c r="A1123" s="9" t="s">
        <v>1834</v>
      </c>
      <c r="B1123" s="9" t="s">
        <v>3445</v>
      </c>
      <c r="C1123" s="9" t="s">
        <v>417</v>
      </c>
      <c r="D1123" s="9" t="s">
        <v>416</v>
      </c>
      <c r="E1123" s="9" t="s">
        <v>133</v>
      </c>
      <c r="F1123" s="9" t="s">
        <v>134</v>
      </c>
      <c r="G1123" s="9" t="s">
        <v>1510</v>
      </c>
      <c r="H1123" s="9" t="n">
        <v>11</v>
      </c>
      <c r="I1123" s="9" t="s">
        <v>135</v>
      </c>
    </row>
    <row r="1124" customFormat="false" ht="15" hidden="false" customHeight="false" outlineLevel="0" collapsed="false">
      <c r="A1124" s="9" t="s">
        <v>1816</v>
      </c>
      <c r="B1124" s="9" t="s">
        <v>3446</v>
      </c>
      <c r="C1124" s="9" t="s">
        <v>420</v>
      </c>
      <c r="D1124" s="9" t="s">
        <v>419</v>
      </c>
      <c r="E1124" s="9" t="s">
        <v>146</v>
      </c>
      <c r="F1124" s="9" t="s">
        <v>116</v>
      </c>
      <c r="G1124" s="9"/>
      <c r="H1124" s="9" t="n">
        <v>3</v>
      </c>
      <c r="I1124" s="9" t="s">
        <v>117</v>
      </c>
    </row>
    <row r="1125" customFormat="false" ht="15" hidden="false" customHeight="false" outlineLevel="0" collapsed="false">
      <c r="A1125" s="9" t="s">
        <v>3447</v>
      </c>
      <c r="B1125" s="9" t="s">
        <v>3448</v>
      </c>
      <c r="C1125" s="9" t="s">
        <v>422</v>
      </c>
      <c r="D1125" s="9" t="s">
        <v>421</v>
      </c>
      <c r="E1125" s="9" t="s">
        <v>216</v>
      </c>
      <c r="F1125" s="9" t="s">
        <v>125</v>
      </c>
      <c r="G1125" s="9"/>
      <c r="H1125" s="9" t="n">
        <v>1</v>
      </c>
      <c r="I1125" s="9" t="s">
        <v>135</v>
      </c>
    </row>
    <row r="1126" customFormat="false" ht="15" hidden="false" customHeight="false" outlineLevel="0" collapsed="false">
      <c r="A1126" s="9" t="s">
        <v>3449</v>
      </c>
      <c r="B1126" s="9" t="s">
        <v>3450</v>
      </c>
      <c r="C1126" s="9" t="s">
        <v>422</v>
      </c>
      <c r="D1126" s="9" t="s">
        <v>421</v>
      </c>
      <c r="E1126" s="9" t="s">
        <v>216</v>
      </c>
      <c r="F1126" s="9" t="s">
        <v>125</v>
      </c>
      <c r="G1126" s="9"/>
      <c r="H1126" s="9" t="n">
        <v>8</v>
      </c>
      <c r="I1126" s="9" t="s">
        <v>135</v>
      </c>
    </row>
    <row r="1127" customFormat="false" ht="15" hidden="false" customHeight="false" outlineLevel="0" collapsed="false">
      <c r="A1127" s="9" t="s">
        <v>3451</v>
      </c>
      <c r="B1127" s="9" t="s">
        <v>3452</v>
      </c>
      <c r="C1127" s="9" t="s">
        <v>424</v>
      </c>
      <c r="D1127" s="9" t="s">
        <v>423</v>
      </c>
      <c r="E1127" s="9" t="s">
        <v>120</v>
      </c>
      <c r="F1127" s="9" t="s">
        <v>152</v>
      </c>
      <c r="G1127" s="9"/>
      <c r="H1127" s="9" t="n">
        <v>1</v>
      </c>
      <c r="I1127" s="9" t="s">
        <v>117</v>
      </c>
    </row>
    <row r="1128" customFormat="false" ht="15" hidden="false" customHeight="false" outlineLevel="0" collapsed="false">
      <c r="A1128" s="9" t="s">
        <v>3453</v>
      </c>
      <c r="B1128" s="9" t="s">
        <v>3454</v>
      </c>
      <c r="C1128" s="9" t="s">
        <v>424</v>
      </c>
      <c r="D1128" s="9" t="s">
        <v>423</v>
      </c>
      <c r="E1128" s="9" t="s">
        <v>120</v>
      </c>
      <c r="F1128" s="9" t="s">
        <v>152</v>
      </c>
      <c r="G1128" s="9"/>
      <c r="H1128" s="9" t="n">
        <v>2</v>
      </c>
      <c r="I1128" s="9" t="s">
        <v>117</v>
      </c>
    </row>
    <row r="1129" customFormat="false" ht="15" hidden="false" customHeight="false" outlineLevel="0" collapsed="false">
      <c r="A1129" s="9" t="s">
        <v>3455</v>
      </c>
      <c r="B1129" s="9" t="s">
        <v>3456</v>
      </c>
      <c r="C1129" s="9" t="s">
        <v>424</v>
      </c>
      <c r="D1129" s="9" t="s">
        <v>423</v>
      </c>
      <c r="E1129" s="9" t="s">
        <v>120</v>
      </c>
      <c r="F1129" s="9" t="s">
        <v>152</v>
      </c>
      <c r="G1129" s="9" t="s">
        <v>1543</v>
      </c>
      <c r="H1129" s="9" t="n">
        <v>4</v>
      </c>
      <c r="I1129" s="9" t="s">
        <v>117</v>
      </c>
    </row>
    <row r="1130" customFormat="false" ht="15" hidden="false" customHeight="false" outlineLevel="0" collapsed="false">
      <c r="A1130" s="9" t="s">
        <v>3457</v>
      </c>
      <c r="B1130" s="9" t="s">
        <v>3458</v>
      </c>
      <c r="C1130" s="9" t="s">
        <v>424</v>
      </c>
      <c r="D1130" s="9" t="s">
        <v>423</v>
      </c>
      <c r="E1130" s="9" t="s">
        <v>120</v>
      </c>
      <c r="F1130" s="9" t="s">
        <v>152</v>
      </c>
      <c r="G1130" s="9"/>
      <c r="H1130" s="9" t="n">
        <v>10</v>
      </c>
      <c r="I1130" s="9" t="s">
        <v>117</v>
      </c>
    </row>
    <row r="1131" customFormat="false" ht="15" hidden="false" customHeight="false" outlineLevel="0" collapsed="false">
      <c r="A1131" s="9" t="s">
        <v>3459</v>
      </c>
      <c r="B1131" s="9" t="s">
        <v>3460</v>
      </c>
      <c r="C1131" s="9" t="s">
        <v>424</v>
      </c>
      <c r="D1131" s="9" t="s">
        <v>423</v>
      </c>
      <c r="E1131" s="9" t="s">
        <v>120</v>
      </c>
      <c r="F1131" s="9" t="s">
        <v>152</v>
      </c>
      <c r="G1131" s="9" t="s">
        <v>1631</v>
      </c>
      <c r="H1131" s="9" t="n">
        <v>18</v>
      </c>
      <c r="I1131" s="9" t="s">
        <v>117</v>
      </c>
    </row>
    <row r="1132" customFormat="false" ht="15" hidden="false" customHeight="false" outlineLevel="0" collapsed="false">
      <c r="A1132" s="9" t="s">
        <v>3461</v>
      </c>
      <c r="B1132" s="9" t="s">
        <v>1609</v>
      </c>
      <c r="C1132" s="9" t="s">
        <v>424</v>
      </c>
      <c r="D1132" s="9" t="s">
        <v>423</v>
      </c>
      <c r="E1132" s="9" t="s">
        <v>120</v>
      </c>
      <c r="F1132" s="9" t="s">
        <v>152</v>
      </c>
      <c r="G1132" s="9"/>
      <c r="H1132" s="9" t="n">
        <v>20</v>
      </c>
      <c r="I1132" s="9" t="s">
        <v>117</v>
      </c>
    </row>
    <row r="1133" customFormat="false" ht="15" hidden="false" customHeight="false" outlineLevel="0" collapsed="false">
      <c r="A1133" s="9" t="s">
        <v>3462</v>
      </c>
      <c r="B1133" s="9" t="s">
        <v>3463</v>
      </c>
      <c r="C1133" s="9" t="s">
        <v>424</v>
      </c>
      <c r="D1133" s="9" t="s">
        <v>423</v>
      </c>
      <c r="E1133" s="9" t="s">
        <v>120</v>
      </c>
      <c r="F1133" s="9" t="s">
        <v>152</v>
      </c>
      <c r="G1133" s="9" t="s">
        <v>1510</v>
      </c>
      <c r="H1133" s="9" t="n">
        <v>22</v>
      </c>
      <c r="I1133" s="9" t="s">
        <v>117</v>
      </c>
    </row>
    <row r="1134" customFormat="false" ht="15" hidden="false" customHeight="false" outlineLevel="0" collapsed="false">
      <c r="A1134" s="9" t="s">
        <v>3464</v>
      </c>
      <c r="B1134" s="9" t="s">
        <v>1561</v>
      </c>
      <c r="C1134" s="9" t="s">
        <v>424</v>
      </c>
      <c r="D1134" s="9" t="s">
        <v>423</v>
      </c>
      <c r="E1134" s="9" t="s">
        <v>120</v>
      </c>
      <c r="F1134" s="9" t="s">
        <v>152</v>
      </c>
      <c r="G1134" s="9" t="s">
        <v>1510</v>
      </c>
      <c r="H1134" s="9" t="n">
        <v>23</v>
      </c>
      <c r="I1134" s="9" t="s">
        <v>117</v>
      </c>
    </row>
    <row r="1135" customFormat="false" ht="15" hidden="false" customHeight="false" outlineLevel="0" collapsed="false">
      <c r="A1135" s="9" t="s">
        <v>3465</v>
      </c>
      <c r="B1135" s="9" t="s">
        <v>3466</v>
      </c>
      <c r="C1135" s="9" t="s">
        <v>424</v>
      </c>
      <c r="D1135" s="9" t="s">
        <v>423</v>
      </c>
      <c r="E1135" s="9" t="s">
        <v>120</v>
      </c>
      <c r="F1135" s="9" t="s">
        <v>152</v>
      </c>
      <c r="G1135" s="9"/>
      <c r="H1135" s="9" t="n">
        <v>26</v>
      </c>
      <c r="I1135" s="9" t="s">
        <v>117</v>
      </c>
    </row>
    <row r="1136" customFormat="false" ht="15" hidden="false" customHeight="false" outlineLevel="0" collapsed="false">
      <c r="A1136" s="9" t="s">
        <v>3467</v>
      </c>
      <c r="B1136" s="9" t="s">
        <v>2589</v>
      </c>
      <c r="C1136" s="9" t="s">
        <v>424</v>
      </c>
      <c r="D1136" s="9" t="s">
        <v>423</v>
      </c>
      <c r="E1136" s="9" t="s">
        <v>120</v>
      </c>
      <c r="F1136" s="9" t="s">
        <v>152</v>
      </c>
      <c r="G1136" s="9" t="s">
        <v>1510</v>
      </c>
      <c r="H1136" s="9" t="n">
        <v>30</v>
      </c>
      <c r="I1136" s="9" t="s">
        <v>117</v>
      </c>
    </row>
    <row r="1137" customFormat="false" ht="15" hidden="false" customHeight="false" outlineLevel="0" collapsed="false">
      <c r="A1137" s="9" t="s">
        <v>3468</v>
      </c>
      <c r="B1137" s="9" t="s">
        <v>3469</v>
      </c>
      <c r="C1137" s="9" t="s">
        <v>424</v>
      </c>
      <c r="D1137" s="9" t="s">
        <v>423</v>
      </c>
      <c r="E1137" s="9" t="s">
        <v>120</v>
      </c>
      <c r="F1137" s="9" t="s">
        <v>152</v>
      </c>
      <c r="G1137" s="9" t="s">
        <v>1510</v>
      </c>
      <c r="H1137" s="9" t="n">
        <v>32</v>
      </c>
      <c r="I1137" s="9" t="s">
        <v>117</v>
      </c>
    </row>
    <row r="1138" customFormat="false" ht="15" hidden="false" customHeight="false" outlineLevel="0" collapsed="false">
      <c r="A1138" s="9" t="s">
        <v>3470</v>
      </c>
      <c r="B1138" s="9" t="s">
        <v>3469</v>
      </c>
      <c r="C1138" s="9" t="s">
        <v>424</v>
      </c>
      <c r="D1138" s="9" t="s">
        <v>423</v>
      </c>
      <c r="E1138" s="9" t="s">
        <v>120</v>
      </c>
      <c r="F1138" s="9" t="s">
        <v>152</v>
      </c>
      <c r="G1138" s="9" t="s">
        <v>1510</v>
      </c>
      <c r="H1138" s="9" t="n">
        <v>33</v>
      </c>
      <c r="I1138" s="9" t="s">
        <v>117</v>
      </c>
    </row>
    <row r="1139" customFormat="false" ht="15" hidden="false" customHeight="false" outlineLevel="0" collapsed="false">
      <c r="A1139" s="9" t="s">
        <v>3471</v>
      </c>
      <c r="B1139" s="9" t="s">
        <v>3425</v>
      </c>
      <c r="C1139" s="9" t="s">
        <v>424</v>
      </c>
      <c r="D1139" s="9" t="s">
        <v>423</v>
      </c>
      <c r="E1139" s="9" t="s">
        <v>120</v>
      </c>
      <c r="F1139" s="9" t="s">
        <v>152</v>
      </c>
      <c r="G1139" s="9" t="s">
        <v>1510</v>
      </c>
      <c r="H1139" s="9" t="n">
        <v>35</v>
      </c>
      <c r="I1139" s="9" t="s">
        <v>117</v>
      </c>
    </row>
    <row r="1140" customFormat="false" ht="15" hidden="false" customHeight="false" outlineLevel="0" collapsed="false">
      <c r="A1140" s="9" t="s">
        <v>3472</v>
      </c>
      <c r="B1140" s="9" t="s">
        <v>3473</v>
      </c>
      <c r="C1140" s="9" t="s">
        <v>424</v>
      </c>
      <c r="D1140" s="9" t="s">
        <v>423</v>
      </c>
      <c r="E1140" s="9" t="s">
        <v>120</v>
      </c>
      <c r="F1140" s="9" t="s">
        <v>152</v>
      </c>
      <c r="G1140" s="9" t="s">
        <v>1510</v>
      </c>
      <c r="H1140" s="9" t="n">
        <v>38</v>
      </c>
      <c r="I1140" s="9" t="s">
        <v>117</v>
      </c>
    </row>
    <row r="1141" customFormat="false" ht="15" hidden="false" customHeight="false" outlineLevel="0" collapsed="false">
      <c r="A1141" s="9" t="s">
        <v>3474</v>
      </c>
      <c r="B1141" s="9" t="s">
        <v>3349</v>
      </c>
      <c r="C1141" s="9" t="s">
        <v>426</v>
      </c>
      <c r="D1141" s="9" t="s">
        <v>425</v>
      </c>
      <c r="E1141" s="9" t="s">
        <v>100</v>
      </c>
      <c r="F1141" s="9" t="s">
        <v>102</v>
      </c>
      <c r="G1141" s="9"/>
      <c r="H1141" s="9" t="n">
        <v>3</v>
      </c>
      <c r="I1141" s="9" t="s">
        <v>143</v>
      </c>
    </row>
    <row r="1142" customFormat="false" ht="15" hidden="false" customHeight="false" outlineLevel="0" collapsed="false">
      <c r="A1142" s="9" t="s">
        <v>3475</v>
      </c>
      <c r="B1142" s="9" t="s">
        <v>3476</v>
      </c>
      <c r="C1142" s="9" t="s">
        <v>428</v>
      </c>
      <c r="D1142" s="9" t="s">
        <v>427</v>
      </c>
      <c r="E1142" s="9" t="s">
        <v>428</v>
      </c>
      <c r="F1142" s="9" t="s">
        <v>125</v>
      </c>
      <c r="G1142" s="9"/>
      <c r="H1142" s="9" t="n">
        <v>2</v>
      </c>
      <c r="I1142" s="9" t="s">
        <v>117</v>
      </c>
    </row>
    <row r="1143" customFormat="false" ht="15" hidden="false" customHeight="false" outlineLevel="0" collapsed="false">
      <c r="A1143" s="9" t="s">
        <v>3477</v>
      </c>
      <c r="B1143" s="9" t="s">
        <v>3478</v>
      </c>
      <c r="C1143" s="9" t="s">
        <v>428</v>
      </c>
      <c r="D1143" s="9" t="s">
        <v>427</v>
      </c>
      <c r="E1143" s="9" t="s">
        <v>428</v>
      </c>
      <c r="F1143" s="9" t="s">
        <v>125</v>
      </c>
      <c r="G1143" s="9"/>
      <c r="H1143" s="9" t="n">
        <v>3</v>
      </c>
      <c r="I1143" s="9" t="s">
        <v>117</v>
      </c>
    </row>
    <row r="1144" customFormat="false" ht="15" hidden="false" customHeight="false" outlineLevel="0" collapsed="false">
      <c r="A1144" s="9" t="s">
        <v>3479</v>
      </c>
      <c r="B1144" s="9" t="s">
        <v>2599</v>
      </c>
      <c r="C1144" s="9" t="s">
        <v>428</v>
      </c>
      <c r="D1144" s="9" t="s">
        <v>427</v>
      </c>
      <c r="E1144" s="9" t="s">
        <v>428</v>
      </c>
      <c r="F1144" s="9" t="s">
        <v>125</v>
      </c>
      <c r="G1144" s="9" t="s">
        <v>1631</v>
      </c>
      <c r="H1144" s="9" t="n">
        <v>5</v>
      </c>
      <c r="I1144" s="9" t="s">
        <v>117</v>
      </c>
    </row>
    <row r="1145" customFormat="false" ht="15" hidden="false" customHeight="false" outlineLevel="0" collapsed="false">
      <c r="A1145" s="9" t="s">
        <v>2049</v>
      </c>
      <c r="B1145" s="9" t="s">
        <v>3480</v>
      </c>
      <c r="C1145" s="9" t="s">
        <v>428</v>
      </c>
      <c r="D1145" s="9" t="s">
        <v>427</v>
      </c>
      <c r="E1145" s="9" t="s">
        <v>428</v>
      </c>
      <c r="F1145" s="9" t="s">
        <v>125</v>
      </c>
      <c r="G1145" s="9"/>
      <c r="H1145" s="9" t="n">
        <v>6</v>
      </c>
      <c r="I1145" s="9" t="s">
        <v>117</v>
      </c>
    </row>
    <row r="1146" customFormat="false" ht="15" hidden="false" customHeight="false" outlineLevel="0" collapsed="false">
      <c r="A1146" s="9" t="s">
        <v>1766</v>
      </c>
      <c r="B1146" s="9" t="s">
        <v>3481</v>
      </c>
      <c r="C1146" s="9" t="s">
        <v>428</v>
      </c>
      <c r="D1146" s="9" t="s">
        <v>427</v>
      </c>
      <c r="E1146" s="9" t="s">
        <v>428</v>
      </c>
      <c r="F1146" s="9" t="s">
        <v>125</v>
      </c>
      <c r="G1146" s="9"/>
      <c r="H1146" s="9" t="n">
        <v>9</v>
      </c>
      <c r="I1146" s="9" t="s">
        <v>117</v>
      </c>
    </row>
    <row r="1147" customFormat="false" ht="15" hidden="false" customHeight="false" outlineLevel="0" collapsed="false">
      <c r="A1147" s="9" t="s">
        <v>3482</v>
      </c>
      <c r="B1147" s="9" t="s">
        <v>3483</v>
      </c>
      <c r="C1147" s="9" t="s">
        <v>428</v>
      </c>
      <c r="D1147" s="9" t="s">
        <v>427</v>
      </c>
      <c r="E1147" s="9" t="s">
        <v>428</v>
      </c>
      <c r="F1147" s="9" t="s">
        <v>125</v>
      </c>
      <c r="G1147" s="9"/>
      <c r="H1147" s="9" t="n">
        <v>14</v>
      </c>
      <c r="I1147" s="9" t="s">
        <v>117</v>
      </c>
    </row>
    <row r="1148" customFormat="false" ht="15" hidden="false" customHeight="false" outlineLevel="0" collapsed="false">
      <c r="A1148" s="9" t="s">
        <v>3484</v>
      </c>
      <c r="B1148" s="9" t="s">
        <v>3485</v>
      </c>
      <c r="C1148" s="9" t="s">
        <v>428</v>
      </c>
      <c r="D1148" s="9" t="s">
        <v>427</v>
      </c>
      <c r="E1148" s="9" t="s">
        <v>428</v>
      </c>
      <c r="F1148" s="9" t="s">
        <v>125</v>
      </c>
      <c r="G1148" s="9"/>
      <c r="H1148" s="9" t="n">
        <v>16</v>
      </c>
      <c r="I1148" s="9" t="s">
        <v>117</v>
      </c>
    </row>
    <row r="1149" customFormat="false" ht="15" hidden="false" customHeight="false" outlineLevel="0" collapsed="false">
      <c r="A1149" s="9" t="s">
        <v>1897</v>
      </c>
      <c r="B1149" s="9" t="s">
        <v>2052</v>
      </c>
      <c r="C1149" s="9" t="s">
        <v>428</v>
      </c>
      <c r="D1149" s="9" t="s">
        <v>427</v>
      </c>
      <c r="E1149" s="9" t="s">
        <v>428</v>
      </c>
      <c r="F1149" s="9" t="s">
        <v>125</v>
      </c>
      <c r="G1149" s="9"/>
      <c r="H1149" s="9" t="n">
        <v>18</v>
      </c>
      <c r="I1149" s="9" t="s">
        <v>117</v>
      </c>
    </row>
    <row r="1150" customFormat="false" ht="15" hidden="false" customHeight="false" outlineLevel="0" collapsed="false">
      <c r="A1150" s="9" t="s">
        <v>3486</v>
      </c>
      <c r="B1150" s="9" t="s">
        <v>3487</v>
      </c>
      <c r="C1150" s="9" t="s">
        <v>428</v>
      </c>
      <c r="D1150" s="9" t="s">
        <v>427</v>
      </c>
      <c r="E1150" s="9" t="s">
        <v>428</v>
      </c>
      <c r="F1150" s="9" t="s">
        <v>125</v>
      </c>
      <c r="G1150" s="9"/>
      <c r="H1150" s="9" t="n">
        <v>19</v>
      </c>
      <c r="I1150" s="9" t="s">
        <v>117</v>
      </c>
    </row>
    <row r="1151" customFormat="false" ht="15" hidden="false" customHeight="false" outlineLevel="0" collapsed="false">
      <c r="A1151" s="9" t="s">
        <v>3260</v>
      </c>
      <c r="B1151" s="9" t="s">
        <v>3488</v>
      </c>
      <c r="C1151" s="9" t="s">
        <v>428</v>
      </c>
      <c r="D1151" s="9" t="s">
        <v>427</v>
      </c>
      <c r="E1151" s="9" t="s">
        <v>428</v>
      </c>
      <c r="F1151" s="9" t="s">
        <v>125</v>
      </c>
      <c r="G1151" s="9" t="s">
        <v>1510</v>
      </c>
      <c r="H1151" s="9" t="n">
        <v>20</v>
      </c>
      <c r="I1151" s="9" t="s">
        <v>117</v>
      </c>
    </row>
    <row r="1152" customFormat="false" ht="15" hidden="false" customHeight="false" outlineLevel="0" collapsed="false">
      <c r="A1152" s="9" t="s">
        <v>3489</v>
      </c>
      <c r="B1152" s="9" t="s">
        <v>3490</v>
      </c>
      <c r="C1152" s="9" t="s">
        <v>428</v>
      </c>
      <c r="D1152" s="9" t="s">
        <v>427</v>
      </c>
      <c r="E1152" s="9" t="s">
        <v>428</v>
      </c>
      <c r="F1152" s="9" t="s">
        <v>125</v>
      </c>
      <c r="G1152" s="9" t="s">
        <v>1510</v>
      </c>
      <c r="H1152" s="9" t="n">
        <v>27</v>
      </c>
      <c r="I1152" s="9" t="s">
        <v>117</v>
      </c>
    </row>
    <row r="1153" customFormat="false" ht="15" hidden="false" customHeight="false" outlineLevel="0" collapsed="false">
      <c r="A1153" s="9" t="s">
        <v>3491</v>
      </c>
      <c r="B1153" s="9" t="s">
        <v>3492</v>
      </c>
      <c r="C1153" s="9" t="s">
        <v>430</v>
      </c>
      <c r="D1153" s="9" t="s">
        <v>429</v>
      </c>
      <c r="E1153" s="9" t="s">
        <v>106</v>
      </c>
      <c r="F1153" s="9" t="s">
        <v>102</v>
      </c>
      <c r="G1153" s="9"/>
      <c r="H1153" s="9" t="n">
        <v>1</v>
      </c>
      <c r="I1153" s="9" t="s">
        <v>143</v>
      </c>
    </row>
    <row r="1154" customFormat="false" ht="15" hidden="false" customHeight="false" outlineLevel="0" collapsed="false">
      <c r="A1154" s="9" t="s">
        <v>2220</v>
      </c>
      <c r="B1154" s="9" t="s">
        <v>3493</v>
      </c>
      <c r="C1154" s="9" t="s">
        <v>432</v>
      </c>
      <c r="D1154" s="9" t="s">
        <v>431</v>
      </c>
      <c r="E1154" s="9" t="s">
        <v>133</v>
      </c>
      <c r="F1154" s="9" t="s">
        <v>134</v>
      </c>
      <c r="G1154" s="9"/>
      <c r="H1154" s="9" t="n">
        <v>2</v>
      </c>
      <c r="I1154" s="9" t="s">
        <v>135</v>
      </c>
    </row>
    <row r="1155" customFormat="false" ht="15" hidden="false" customHeight="false" outlineLevel="0" collapsed="false">
      <c r="A1155" s="9" t="s">
        <v>3494</v>
      </c>
      <c r="B1155" s="9" t="s">
        <v>3495</v>
      </c>
      <c r="C1155" s="9" t="s">
        <v>434</v>
      </c>
      <c r="D1155" s="9" t="s">
        <v>433</v>
      </c>
      <c r="E1155" s="9" t="s">
        <v>115</v>
      </c>
      <c r="F1155" s="9" t="s">
        <v>116</v>
      </c>
      <c r="G1155" s="9" t="s">
        <v>1510</v>
      </c>
      <c r="H1155" s="9" t="n">
        <v>1</v>
      </c>
      <c r="I1155" s="9" t="s">
        <v>117</v>
      </c>
    </row>
    <row r="1156" customFormat="false" ht="15" hidden="false" customHeight="false" outlineLevel="0" collapsed="false">
      <c r="A1156" s="9" t="s">
        <v>3496</v>
      </c>
      <c r="B1156" s="9" t="s">
        <v>3497</v>
      </c>
      <c r="C1156" s="9" t="s">
        <v>434</v>
      </c>
      <c r="D1156" s="9" t="s">
        <v>433</v>
      </c>
      <c r="E1156" s="9" t="s">
        <v>115</v>
      </c>
      <c r="F1156" s="9" t="s">
        <v>116</v>
      </c>
      <c r="G1156" s="9"/>
      <c r="H1156" s="9" t="n">
        <v>2</v>
      </c>
      <c r="I1156" s="9" t="s">
        <v>117</v>
      </c>
    </row>
    <row r="1157" customFormat="false" ht="15" hidden="false" customHeight="false" outlineLevel="0" collapsed="false">
      <c r="A1157" s="9" t="s">
        <v>1987</v>
      </c>
      <c r="B1157" s="9" t="s">
        <v>3498</v>
      </c>
      <c r="C1157" s="9" t="s">
        <v>434</v>
      </c>
      <c r="D1157" s="9" t="s">
        <v>433</v>
      </c>
      <c r="E1157" s="9" t="s">
        <v>115</v>
      </c>
      <c r="F1157" s="9" t="s">
        <v>116</v>
      </c>
      <c r="G1157" s="9"/>
      <c r="H1157" s="9" t="n">
        <v>4</v>
      </c>
      <c r="I1157" s="9" t="s">
        <v>117</v>
      </c>
    </row>
    <row r="1158" customFormat="false" ht="15" hidden="false" customHeight="false" outlineLevel="0" collapsed="false">
      <c r="A1158" s="9" t="s">
        <v>3499</v>
      </c>
      <c r="B1158" s="9" t="s">
        <v>3500</v>
      </c>
      <c r="C1158" s="9" t="s">
        <v>434</v>
      </c>
      <c r="D1158" s="9" t="s">
        <v>433</v>
      </c>
      <c r="E1158" s="9" t="s">
        <v>115</v>
      </c>
      <c r="F1158" s="9" t="s">
        <v>116</v>
      </c>
      <c r="G1158" s="9" t="s">
        <v>1510</v>
      </c>
      <c r="H1158" s="9" t="n">
        <v>10</v>
      </c>
      <c r="I1158" s="9" t="s">
        <v>117</v>
      </c>
    </row>
    <row r="1159" customFormat="false" ht="15" hidden="false" customHeight="false" outlineLevel="0" collapsed="false">
      <c r="A1159" s="9" t="s">
        <v>2980</v>
      </c>
      <c r="B1159" s="9" t="s">
        <v>1757</v>
      </c>
      <c r="C1159" s="9" t="s">
        <v>434</v>
      </c>
      <c r="D1159" s="9" t="s">
        <v>433</v>
      </c>
      <c r="E1159" s="9" t="s">
        <v>115</v>
      </c>
      <c r="F1159" s="9" t="s">
        <v>116</v>
      </c>
      <c r="G1159" s="9" t="s">
        <v>1510</v>
      </c>
      <c r="H1159" s="9" t="n">
        <v>16</v>
      </c>
      <c r="I1159" s="9" t="s">
        <v>117</v>
      </c>
    </row>
    <row r="1160" customFormat="false" ht="15" hidden="false" customHeight="false" outlineLevel="0" collapsed="false">
      <c r="A1160" s="9" t="s">
        <v>2226</v>
      </c>
      <c r="B1160" s="9" t="s">
        <v>2624</v>
      </c>
      <c r="C1160" s="9" t="s">
        <v>436</v>
      </c>
      <c r="D1160" s="9" t="s">
        <v>435</v>
      </c>
      <c r="E1160" s="9" t="s">
        <v>216</v>
      </c>
      <c r="F1160" s="9" t="s">
        <v>125</v>
      </c>
      <c r="G1160" s="9"/>
      <c r="H1160" s="9" t="n">
        <v>3</v>
      </c>
      <c r="I1160" s="9" t="s">
        <v>135</v>
      </c>
    </row>
    <row r="1161" customFormat="false" ht="15" hidden="false" customHeight="false" outlineLevel="0" collapsed="false">
      <c r="A1161" s="9" t="s">
        <v>3501</v>
      </c>
      <c r="B1161" s="9" t="s">
        <v>3502</v>
      </c>
      <c r="C1161" s="9" t="s">
        <v>151</v>
      </c>
      <c r="D1161" s="9" t="s">
        <v>437</v>
      </c>
      <c r="E1161" s="9" t="s">
        <v>151</v>
      </c>
      <c r="F1161" s="9" t="s">
        <v>152</v>
      </c>
      <c r="G1161" s="9"/>
      <c r="H1161" s="9" t="n">
        <v>8</v>
      </c>
      <c r="I1161" s="9" t="s">
        <v>117</v>
      </c>
    </row>
    <row r="1162" customFormat="false" ht="15" hidden="false" customHeight="false" outlineLevel="0" collapsed="false">
      <c r="A1162" s="9" t="s">
        <v>3503</v>
      </c>
      <c r="B1162" s="9" t="s">
        <v>3504</v>
      </c>
      <c r="C1162" s="9" t="s">
        <v>151</v>
      </c>
      <c r="D1162" s="9" t="s">
        <v>437</v>
      </c>
      <c r="E1162" s="9" t="s">
        <v>151</v>
      </c>
      <c r="F1162" s="9" t="s">
        <v>152</v>
      </c>
      <c r="G1162" s="9"/>
      <c r="H1162" s="9" t="n">
        <v>9</v>
      </c>
      <c r="I1162" s="9" t="s">
        <v>117</v>
      </c>
    </row>
    <row r="1163" customFormat="false" ht="15" hidden="false" customHeight="false" outlineLevel="0" collapsed="false">
      <c r="A1163" s="9" t="s">
        <v>2428</v>
      </c>
      <c r="B1163" s="9" t="s">
        <v>3502</v>
      </c>
      <c r="C1163" s="9" t="s">
        <v>151</v>
      </c>
      <c r="D1163" s="9" t="s">
        <v>437</v>
      </c>
      <c r="E1163" s="9" t="s">
        <v>151</v>
      </c>
      <c r="F1163" s="9" t="s">
        <v>152</v>
      </c>
      <c r="G1163" s="9"/>
      <c r="H1163" s="9" t="n">
        <v>13</v>
      </c>
      <c r="I1163" s="9" t="s">
        <v>117</v>
      </c>
    </row>
    <row r="1164" customFormat="false" ht="15" hidden="false" customHeight="false" outlineLevel="0" collapsed="false">
      <c r="A1164" s="9" t="s">
        <v>3505</v>
      </c>
      <c r="B1164" s="9" t="s">
        <v>3506</v>
      </c>
      <c r="C1164" s="9" t="s">
        <v>151</v>
      </c>
      <c r="D1164" s="9" t="s">
        <v>437</v>
      </c>
      <c r="E1164" s="9" t="s">
        <v>151</v>
      </c>
      <c r="F1164" s="9" t="s">
        <v>152</v>
      </c>
      <c r="G1164" s="9"/>
      <c r="H1164" s="9" t="n">
        <v>19</v>
      </c>
      <c r="I1164" s="9" t="s">
        <v>117</v>
      </c>
    </row>
    <row r="1165" customFormat="false" ht="15" hidden="false" customHeight="false" outlineLevel="0" collapsed="false">
      <c r="A1165" s="9" t="s">
        <v>3507</v>
      </c>
      <c r="B1165" s="9" t="s">
        <v>3508</v>
      </c>
      <c r="C1165" s="9" t="s">
        <v>315</v>
      </c>
      <c r="D1165" s="9" t="s">
        <v>314</v>
      </c>
      <c r="E1165" s="9" t="s">
        <v>182</v>
      </c>
      <c r="F1165" s="9" t="s">
        <v>125</v>
      </c>
      <c r="G1165" s="9"/>
      <c r="H1165" s="9" t="n">
        <v>1</v>
      </c>
      <c r="I1165" s="9" t="s">
        <v>135</v>
      </c>
    </row>
    <row r="1166" customFormat="false" ht="15" hidden="false" customHeight="false" outlineLevel="0" collapsed="false">
      <c r="A1166" s="9" t="s">
        <v>3509</v>
      </c>
      <c r="B1166" s="9" t="s">
        <v>3510</v>
      </c>
      <c r="C1166" s="9" t="s">
        <v>315</v>
      </c>
      <c r="D1166" s="9" t="s">
        <v>314</v>
      </c>
      <c r="E1166" s="9" t="s">
        <v>182</v>
      </c>
      <c r="F1166" s="9" t="s">
        <v>125</v>
      </c>
      <c r="G1166" s="9"/>
      <c r="H1166" s="9" t="n">
        <v>3</v>
      </c>
      <c r="I1166" s="9" t="s">
        <v>135</v>
      </c>
    </row>
    <row r="1167" customFormat="false" ht="15" hidden="false" customHeight="false" outlineLevel="0" collapsed="false">
      <c r="A1167" s="9" t="s">
        <v>3511</v>
      </c>
      <c r="B1167" s="9" t="s">
        <v>3512</v>
      </c>
      <c r="C1167" s="9" t="s">
        <v>443</v>
      </c>
      <c r="D1167" s="9" t="s">
        <v>442</v>
      </c>
      <c r="E1167" s="9" t="s">
        <v>100</v>
      </c>
      <c r="F1167" s="9" t="s">
        <v>102</v>
      </c>
      <c r="G1167" s="9"/>
      <c r="H1167" s="9" t="n">
        <v>1</v>
      </c>
      <c r="I1167" s="9" t="s">
        <v>143</v>
      </c>
    </row>
    <row r="1168" customFormat="false" ht="15" hidden="false" customHeight="false" outlineLevel="0" collapsed="false">
      <c r="A1168" s="9" t="s">
        <v>3513</v>
      </c>
      <c r="B1168" s="9" t="s">
        <v>3514</v>
      </c>
      <c r="C1168" s="9" t="s">
        <v>443</v>
      </c>
      <c r="D1168" s="9" t="s">
        <v>442</v>
      </c>
      <c r="E1168" s="9" t="s">
        <v>100</v>
      </c>
      <c r="F1168" s="9" t="s">
        <v>102</v>
      </c>
      <c r="G1168" s="9"/>
      <c r="H1168" s="9" t="n">
        <v>2</v>
      </c>
      <c r="I1168" s="9" t="s">
        <v>143</v>
      </c>
    </row>
    <row r="1169" customFormat="false" ht="15" hidden="false" customHeight="false" outlineLevel="0" collapsed="false">
      <c r="A1169" s="9" t="s">
        <v>2398</v>
      </c>
      <c r="B1169" s="9" t="s">
        <v>3515</v>
      </c>
      <c r="C1169" s="9" t="s">
        <v>443</v>
      </c>
      <c r="D1169" s="9" t="s">
        <v>442</v>
      </c>
      <c r="E1169" s="9" t="s">
        <v>100</v>
      </c>
      <c r="F1169" s="9" t="s">
        <v>102</v>
      </c>
      <c r="G1169" s="9"/>
      <c r="H1169" s="9" t="n">
        <v>4</v>
      </c>
      <c r="I1169" s="9" t="s">
        <v>143</v>
      </c>
    </row>
    <row r="1170" customFormat="false" ht="15" hidden="false" customHeight="false" outlineLevel="0" collapsed="false">
      <c r="A1170" s="9" t="s">
        <v>3516</v>
      </c>
      <c r="B1170" s="9" t="s">
        <v>1854</v>
      </c>
      <c r="C1170" s="9" t="s">
        <v>443</v>
      </c>
      <c r="D1170" s="9" t="s">
        <v>442</v>
      </c>
      <c r="E1170" s="9" t="s">
        <v>100</v>
      </c>
      <c r="F1170" s="9" t="s">
        <v>102</v>
      </c>
      <c r="G1170" s="9"/>
      <c r="H1170" s="9" t="n">
        <v>7</v>
      </c>
      <c r="I1170" s="9" t="s">
        <v>143</v>
      </c>
    </row>
    <row r="1171" customFormat="false" ht="15" hidden="false" customHeight="false" outlineLevel="0" collapsed="false">
      <c r="A1171" s="9" t="s">
        <v>3517</v>
      </c>
      <c r="B1171" s="9" t="s">
        <v>3518</v>
      </c>
      <c r="C1171" s="9" t="s">
        <v>445</v>
      </c>
      <c r="D1171" s="9" t="s">
        <v>444</v>
      </c>
      <c r="E1171" s="9" t="s">
        <v>100</v>
      </c>
      <c r="F1171" s="9" t="s">
        <v>128</v>
      </c>
      <c r="G1171" s="9"/>
      <c r="H1171" s="9" t="n">
        <v>6</v>
      </c>
      <c r="I1171" s="9" t="s">
        <v>103</v>
      </c>
    </row>
    <row r="1172" customFormat="false" ht="15" hidden="false" customHeight="false" outlineLevel="0" collapsed="false">
      <c r="A1172" s="9" t="s">
        <v>3519</v>
      </c>
      <c r="B1172" s="9" t="s">
        <v>3520</v>
      </c>
      <c r="C1172" s="9" t="s">
        <v>447</v>
      </c>
      <c r="D1172" s="9" t="s">
        <v>446</v>
      </c>
      <c r="E1172" s="9" t="s">
        <v>140</v>
      </c>
      <c r="F1172" s="9" t="s">
        <v>128</v>
      </c>
      <c r="G1172" s="9"/>
      <c r="H1172" s="9" t="n">
        <v>1</v>
      </c>
      <c r="I1172" s="9" t="s">
        <v>135</v>
      </c>
    </row>
    <row r="1173" customFormat="false" ht="15" hidden="false" customHeight="false" outlineLevel="0" collapsed="false">
      <c r="A1173" s="9" t="s">
        <v>1580</v>
      </c>
      <c r="B1173" s="9" t="s">
        <v>3520</v>
      </c>
      <c r="C1173" s="9" t="s">
        <v>447</v>
      </c>
      <c r="D1173" s="9" t="s">
        <v>446</v>
      </c>
      <c r="E1173" s="9" t="s">
        <v>140</v>
      </c>
      <c r="F1173" s="9" t="s">
        <v>128</v>
      </c>
      <c r="G1173" s="9"/>
      <c r="H1173" s="9" t="n">
        <v>2</v>
      </c>
      <c r="I1173" s="9" t="s">
        <v>135</v>
      </c>
    </row>
    <row r="1174" customFormat="false" ht="15" hidden="false" customHeight="false" outlineLevel="0" collapsed="false">
      <c r="A1174" s="9" t="s">
        <v>3521</v>
      </c>
      <c r="B1174" s="9" t="s">
        <v>3522</v>
      </c>
      <c r="C1174" s="9" t="s">
        <v>106</v>
      </c>
      <c r="D1174" s="9" t="s">
        <v>450</v>
      </c>
      <c r="E1174" s="9" t="s">
        <v>106</v>
      </c>
      <c r="F1174" s="9" t="s">
        <v>173</v>
      </c>
      <c r="G1174" s="9" t="s">
        <v>1543</v>
      </c>
      <c r="H1174" s="9" t="n">
        <v>1</v>
      </c>
      <c r="I1174" s="9" t="s">
        <v>117</v>
      </c>
    </row>
    <row r="1175" customFormat="false" ht="15" hidden="false" customHeight="false" outlineLevel="0" collapsed="false">
      <c r="A1175" s="9" t="s">
        <v>3523</v>
      </c>
      <c r="B1175" s="9" t="s">
        <v>3522</v>
      </c>
      <c r="C1175" s="9" t="s">
        <v>106</v>
      </c>
      <c r="D1175" s="9" t="s">
        <v>450</v>
      </c>
      <c r="E1175" s="9" t="s">
        <v>106</v>
      </c>
      <c r="F1175" s="9" t="s">
        <v>173</v>
      </c>
      <c r="G1175" s="9"/>
      <c r="H1175" s="9" t="n">
        <v>3</v>
      </c>
      <c r="I1175" s="9" t="s">
        <v>117</v>
      </c>
    </row>
    <row r="1176" customFormat="false" ht="15" hidden="false" customHeight="false" outlineLevel="0" collapsed="false">
      <c r="A1176" s="9" t="s">
        <v>3524</v>
      </c>
      <c r="B1176" s="9" t="s">
        <v>3525</v>
      </c>
      <c r="C1176" s="9" t="s">
        <v>106</v>
      </c>
      <c r="D1176" s="9" t="s">
        <v>450</v>
      </c>
      <c r="E1176" s="9" t="s">
        <v>106</v>
      </c>
      <c r="F1176" s="9" t="s">
        <v>173</v>
      </c>
      <c r="G1176" s="9"/>
      <c r="H1176" s="9" t="n">
        <v>5</v>
      </c>
      <c r="I1176" s="9" t="s">
        <v>117</v>
      </c>
    </row>
    <row r="1177" customFormat="false" ht="15" hidden="false" customHeight="false" outlineLevel="0" collapsed="false">
      <c r="A1177" s="9" t="s">
        <v>3526</v>
      </c>
      <c r="B1177" s="9" t="s">
        <v>3527</v>
      </c>
      <c r="C1177" s="9" t="s">
        <v>106</v>
      </c>
      <c r="D1177" s="9" t="s">
        <v>450</v>
      </c>
      <c r="E1177" s="9" t="s">
        <v>106</v>
      </c>
      <c r="F1177" s="9" t="s">
        <v>173</v>
      </c>
      <c r="G1177" s="9"/>
      <c r="H1177" s="9" t="n">
        <v>7</v>
      </c>
      <c r="I1177" s="9" t="s">
        <v>117</v>
      </c>
    </row>
    <row r="1178" customFormat="false" ht="15" hidden="false" customHeight="false" outlineLevel="0" collapsed="false">
      <c r="A1178" s="9" t="s">
        <v>3528</v>
      </c>
      <c r="B1178" s="9" t="s">
        <v>1787</v>
      </c>
      <c r="C1178" s="9" t="s">
        <v>106</v>
      </c>
      <c r="D1178" s="9" t="s">
        <v>450</v>
      </c>
      <c r="E1178" s="9" t="s">
        <v>106</v>
      </c>
      <c r="F1178" s="9" t="s">
        <v>173</v>
      </c>
      <c r="G1178" s="9"/>
      <c r="H1178" s="9" t="n">
        <v>11</v>
      </c>
      <c r="I1178" s="9" t="s">
        <v>117</v>
      </c>
    </row>
    <row r="1179" customFormat="false" ht="15" hidden="false" customHeight="false" outlineLevel="0" collapsed="false">
      <c r="A1179" s="9" t="s">
        <v>2833</v>
      </c>
      <c r="B1179" s="9" t="s">
        <v>2834</v>
      </c>
      <c r="C1179" s="9" t="s">
        <v>106</v>
      </c>
      <c r="D1179" s="9" t="s">
        <v>450</v>
      </c>
      <c r="E1179" s="9" t="s">
        <v>106</v>
      </c>
      <c r="F1179" s="9" t="s">
        <v>173</v>
      </c>
      <c r="G1179" s="9"/>
      <c r="H1179" s="9" t="n">
        <v>18</v>
      </c>
      <c r="I1179" s="9" t="s">
        <v>117</v>
      </c>
    </row>
    <row r="1180" customFormat="false" ht="15" hidden="false" customHeight="false" outlineLevel="0" collapsed="false">
      <c r="A1180" s="9" t="s">
        <v>3529</v>
      </c>
      <c r="B1180" s="9" t="s">
        <v>3525</v>
      </c>
      <c r="C1180" s="9" t="s">
        <v>106</v>
      </c>
      <c r="D1180" s="9" t="s">
        <v>450</v>
      </c>
      <c r="E1180" s="9" t="s">
        <v>106</v>
      </c>
      <c r="F1180" s="9" t="s">
        <v>173</v>
      </c>
      <c r="G1180" s="9"/>
      <c r="H1180" s="9" t="n">
        <v>19</v>
      </c>
      <c r="I1180" s="9" t="s">
        <v>117</v>
      </c>
    </row>
    <row r="1181" customFormat="false" ht="15" hidden="false" customHeight="false" outlineLevel="0" collapsed="false">
      <c r="A1181" s="9" t="s">
        <v>3530</v>
      </c>
      <c r="B1181" s="9" t="s">
        <v>3531</v>
      </c>
      <c r="C1181" s="9" t="s">
        <v>469</v>
      </c>
      <c r="D1181" s="9" t="s">
        <v>468</v>
      </c>
      <c r="E1181" s="9" t="s">
        <v>216</v>
      </c>
      <c r="F1181" s="9" t="s">
        <v>125</v>
      </c>
      <c r="G1181" s="9"/>
      <c r="H1181" s="9" t="n">
        <v>2</v>
      </c>
      <c r="I1181" s="9" t="s">
        <v>143</v>
      </c>
    </row>
    <row r="1182" customFormat="false" ht="15" hidden="false" customHeight="false" outlineLevel="0" collapsed="false">
      <c r="A1182" s="9" t="s">
        <v>3532</v>
      </c>
      <c r="B1182" s="9" t="s">
        <v>3533</v>
      </c>
      <c r="C1182" s="9" t="s">
        <v>469</v>
      </c>
      <c r="D1182" s="9" t="s">
        <v>468</v>
      </c>
      <c r="E1182" s="9" t="s">
        <v>216</v>
      </c>
      <c r="F1182" s="9" t="s">
        <v>125</v>
      </c>
      <c r="G1182" s="9"/>
      <c r="H1182" s="9" t="n">
        <v>5</v>
      </c>
      <c r="I1182" s="9" t="s">
        <v>143</v>
      </c>
    </row>
    <row r="1183" customFormat="false" ht="15" hidden="false" customHeight="false" outlineLevel="0" collapsed="false">
      <c r="A1183" s="9" t="s">
        <v>3534</v>
      </c>
      <c r="B1183" s="9" t="s">
        <v>3535</v>
      </c>
      <c r="C1183" s="9" t="s">
        <v>471</v>
      </c>
      <c r="D1183" s="9" t="s">
        <v>470</v>
      </c>
      <c r="E1183" s="9" t="s">
        <v>106</v>
      </c>
      <c r="F1183" s="9" t="s">
        <v>108</v>
      </c>
      <c r="G1183" s="9" t="s">
        <v>1510</v>
      </c>
      <c r="H1183" s="9" t="n">
        <v>3</v>
      </c>
      <c r="I1183" s="9" t="s">
        <v>143</v>
      </c>
    </row>
    <row r="1184" customFormat="false" ht="15" hidden="false" customHeight="false" outlineLevel="0" collapsed="false">
      <c r="A1184" s="9" t="s">
        <v>1590</v>
      </c>
      <c r="B1184" s="9" t="s">
        <v>3536</v>
      </c>
      <c r="C1184" s="9" t="s">
        <v>452</v>
      </c>
      <c r="D1184" s="9" t="s">
        <v>451</v>
      </c>
      <c r="E1184" s="9" t="s">
        <v>133</v>
      </c>
      <c r="F1184" s="9" t="s">
        <v>134</v>
      </c>
      <c r="G1184" s="9"/>
      <c r="H1184" s="9" t="n">
        <v>3</v>
      </c>
      <c r="I1184" s="9" t="s">
        <v>135</v>
      </c>
    </row>
    <row r="1185" customFormat="false" ht="15" hidden="false" customHeight="false" outlineLevel="0" collapsed="false">
      <c r="A1185" s="9" t="s">
        <v>3265</v>
      </c>
      <c r="B1185" s="9" t="s">
        <v>3537</v>
      </c>
      <c r="C1185" s="9" t="s">
        <v>452</v>
      </c>
      <c r="D1185" s="9" t="s">
        <v>451</v>
      </c>
      <c r="E1185" s="9" t="s">
        <v>133</v>
      </c>
      <c r="F1185" s="9" t="s">
        <v>134</v>
      </c>
      <c r="G1185" s="9" t="s">
        <v>1631</v>
      </c>
      <c r="H1185" s="9" t="n">
        <v>11</v>
      </c>
      <c r="I1185" s="9" t="s">
        <v>135</v>
      </c>
    </row>
    <row r="1186" customFormat="false" ht="15" hidden="false" customHeight="false" outlineLevel="0" collapsed="false">
      <c r="A1186" s="9" t="s">
        <v>3538</v>
      </c>
      <c r="B1186" s="9" t="s">
        <v>2679</v>
      </c>
      <c r="C1186" s="9" t="s">
        <v>452</v>
      </c>
      <c r="D1186" s="9" t="s">
        <v>451</v>
      </c>
      <c r="E1186" s="9" t="s">
        <v>133</v>
      </c>
      <c r="F1186" s="9" t="s">
        <v>134</v>
      </c>
      <c r="G1186" s="9"/>
      <c r="H1186" s="9" t="n">
        <v>13</v>
      </c>
      <c r="I1186" s="9" t="s">
        <v>135</v>
      </c>
    </row>
    <row r="1187" customFormat="false" ht="15" hidden="false" customHeight="false" outlineLevel="0" collapsed="false">
      <c r="A1187" s="9" t="s">
        <v>3539</v>
      </c>
      <c r="B1187" s="9" t="s">
        <v>3540</v>
      </c>
      <c r="C1187" s="9" t="s">
        <v>460</v>
      </c>
      <c r="D1187" s="9" t="s">
        <v>459</v>
      </c>
      <c r="E1187" s="9" t="s">
        <v>216</v>
      </c>
      <c r="F1187" s="9" t="s">
        <v>125</v>
      </c>
      <c r="G1187" s="9" t="s">
        <v>1510</v>
      </c>
      <c r="H1187" s="9" t="n">
        <v>4</v>
      </c>
      <c r="I1187" s="9" t="s">
        <v>143</v>
      </c>
    </row>
    <row r="1188" customFormat="false" ht="15" hidden="false" customHeight="false" outlineLevel="0" collapsed="false">
      <c r="A1188" s="9" t="s">
        <v>3541</v>
      </c>
      <c r="B1188" s="9" t="s">
        <v>3542</v>
      </c>
      <c r="C1188" s="9" t="s">
        <v>462</v>
      </c>
      <c r="D1188" s="9" t="s">
        <v>461</v>
      </c>
      <c r="E1188" s="9" t="s">
        <v>106</v>
      </c>
      <c r="F1188" s="9" t="s">
        <v>108</v>
      </c>
      <c r="G1188" s="9"/>
      <c r="H1188" s="9" t="n">
        <v>2</v>
      </c>
      <c r="I1188" s="9" t="s">
        <v>103</v>
      </c>
    </row>
    <row r="1189" customFormat="false" ht="15" hidden="false" customHeight="false" outlineLevel="0" collapsed="false">
      <c r="A1189" s="9" t="s">
        <v>3543</v>
      </c>
      <c r="B1189" s="9" t="s">
        <v>3544</v>
      </c>
      <c r="C1189" s="9" t="s">
        <v>464</v>
      </c>
      <c r="D1189" s="9" t="s">
        <v>463</v>
      </c>
      <c r="E1189" s="9" t="s">
        <v>155</v>
      </c>
      <c r="F1189" s="9" t="s">
        <v>197</v>
      </c>
      <c r="G1189" s="9"/>
      <c r="H1189" s="9" t="n">
        <v>1</v>
      </c>
      <c r="I1189" s="9" t="s">
        <v>135</v>
      </c>
    </row>
    <row r="1190" customFormat="false" ht="15" hidden="false" customHeight="false" outlineLevel="0" collapsed="false">
      <c r="A1190" s="9" t="s">
        <v>3545</v>
      </c>
      <c r="B1190" s="9" t="s">
        <v>3546</v>
      </c>
      <c r="C1190" s="9" t="s">
        <v>464</v>
      </c>
      <c r="D1190" s="9" t="s">
        <v>463</v>
      </c>
      <c r="E1190" s="9" t="s">
        <v>155</v>
      </c>
      <c r="F1190" s="9" t="s">
        <v>197</v>
      </c>
      <c r="G1190" s="9"/>
      <c r="H1190" s="9" t="n">
        <v>2</v>
      </c>
      <c r="I1190" s="9" t="s">
        <v>135</v>
      </c>
    </row>
    <row r="1191" customFormat="false" ht="15" hidden="false" customHeight="false" outlineLevel="0" collapsed="false">
      <c r="A1191" s="9" t="s">
        <v>2220</v>
      </c>
      <c r="B1191" s="9" t="s">
        <v>3546</v>
      </c>
      <c r="C1191" s="9" t="s">
        <v>464</v>
      </c>
      <c r="D1191" s="9" t="s">
        <v>463</v>
      </c>
      <c r="E1191" s="9" t="s">
        <v>155</v>
      </c>
      <c r="F1191" s="9" t="s">
        <v>197</v>
      </c>
      <c r="G1191" s="9"/>
      <c r="H1191" s="9" t="n">
        <v>3</v>
      </c>
      <c r="I1191" s="9" t="s">
        <v>135</v>
      </c>
    </row>
    <row r="1192" customFormat="false" ht="15" hidden="false" customHeight="false" outlineLevel="0" collapsed="false">
      <c r="A1192" s="9" t="s">
        <v>3547</v>
      </c>
      <c r="B1192" s="9" t="s">
        <v>3548</v>
      </c>
      <c r="C1192" s="9" t="s">
        <v>182</v>
      </c>
      <c r="D1192" s="9" t="s">
        <v>465</v>
      </c>
      <c r="E1192" s="9" t="s">
        <v>182</v>
      </c>
      <c r="F1192" s="9" t="s">
        <v>125</v>
      </c>
      <c r="G1192" s="9"/>
      <c r="H1192" s="9" t="n">
        <v>3</v>
      </c>
      <c r="I1192" s="9" t="s">
        <v>117</v>
      </c>
    </row>
    <row r="1193" customFormat="false" ht="15" hidden="false" customHeight="false" outlineLevel="0" collapsed="false">
      <c r="A1193" s="9" t="s">
        <v>3549</v>
      </c>
      <c r="B1193" s="9" t="s">
        <v>2706</v>
      </c>
      <c r="C1193" s="9" t="s">
        <v>182</v>
      </c>
      <c r="D1193" s="9" t="s">
        <v>465</v>
      </c>
      <c r="E1193" s="9" t="s">
        <v>182</v>
      </c>
      <c r="F1193" s="9" t="s">
        <v>125</v>
      </c>
      <c r="G1193" s="9" t="s">
        <v>1631</v>
      </c>
      <c r="H1193" s="9" t="n">
        <v>7</v>
      </c>
      <c r="I1193" s="9" t="s">
        <v>117</v>
      </c>
    </row>
    <row r="1194" customFormat="false" ht="15" hidden="false" customHeight="false" outlineLevel="0" collapsed="false">
      <c r="A1194" s="9" t="s">
        <v>1524</v>
      </c>
      <c r="B1194" s="9" t="s">
        <v>3550</v>
      </c>
      <c r="C1194" s="9" t="s">
        <v>182</v>
      </c>
      <c r="D1194" s="9" t="s">
        <v>465</v>
      </c>
      <c r="E1194" s="9" t="s">
        <v>182</v>
      </c>
      <c r="F1194" s="9" t="s">
        <v>125</v>
      </c>
      <c r="G1194" s="9"/>
      <c r="H1194" s="9" t="n">
        <v>10</v>
      </c>
      <c r="I1194" s="9" t="s">
        <v>117</v>
      </c>
    </row>
    <row r="1195" customFormat="false" ht="15" hidden="false" customHeight="false" outlineLevel="0" collapsed="false">
      <c r="A1195" s="9" t="s">
        <v>3551</v>
      </c>
      <c r="B1195" s="9" t="s">
        <v>3552</v>
      </c>
      <c r="C1195" s="9" t="s">
        <v>182</v>
      </c>
      <c r="D1195" s="9" t="s">
        <v>465</v>
      </c>
      <c r="E1195" s="9" t="s">
        <v>182</v>
      </c>
      <c r="F1195" s="9" t="s">
        <v>125</v>
      </c>
      <c r="G1195" s="9"/>
      <c r="H1195" s="9" t="n">
        <v>12</v>
      </c>
      <c r="I1195" s="9" t="s">
        <v>117</v>
      </c>
    </row>
    <row r="1196" customFormat="false" ht="15" hidden="false" customHeight="false" outlineLevel="0" collapsed="false">
      <c r="A1196" s="9" t="s">
        <v>3553</v>
      </c>
      <c r="B1196" s="9" t="s">
        <v>3554</v>
      </c>
      <c r="C1196" s="9" t="s">
        <v>182</v>
      </c>
      <c r="D1196" s="9" t="s">
        <v>465</v>
      </c>
      <c r="E1196" s="9" t="s">
        <v>182</v>
      </c>
      <c r="F1196" s="9" t="s">
        <v>125</v>
      </c>
      <c r="G1196" s="9"/>
      <c r="H1196" s="9" t="n">
        <v>16</v>
      </c>
      <c r="I1196" s="9" t="s">
        <v>117</v>
      </c>
    </row>
    <row r="1197" customFormat="false" ht="15" hidden="false" customHeight="false" outlineLevel="0" collapsed="false">
      <c r="A1197" s="9" t="s">
        <v>1506</v>
      </c>
      <c r="B1197" s="9" t="s">
        <v>3555</v>
      </c>
      <c r="C1197" s="9" t="s">
        <v>182</v>
      </c>
      <c r="D1197" s="9" t="s">
        <v>465</v>
      </c>
      <c r="E1197" s="9" t="s">
        <v>182</v>
      </c>
      <c r="F1197" s="9" t="s">
        <v>125</v>
      </c>
      <c r="G1197" s="9"/>
      <c r="H1197" s="9" t="n">
        <v>19</v>
      </c>
      <c r="I1197" s="9" t="s">
        <v>117</v>
      </c>
    </row>
    <row r="1198" customFormat="false" ht="15" hidden="false" customHeight="false" outlineLevel="0" collapsed="false">
      <c r="A1198" s="9" t="s">
        <v>3556</v>
      </c>
      <c r="B1198" s="9" t="s">
        <v>3557</v>
      </c>
      <c r="C1198" s="9" t="s">
        <v>182</v>
      </c>
      <c r="D1198" s="9" t="s">
        <v>465</v>
      </c>
      <c r="E1198" s="9" t="s">
        <v>182</v>
      </c>
      <c r="F1198" s="9" t="s">
        <v>125</v>
      </c>
      <c r="G1198" s="9" t="s">
        <v>1510</v>
      </c>
      <c r="H1198" s="9" t="n">
        <v>21</v>
      </c>
      <c r="I1198" s="9" t="s">
        <v>117</v>
      </c>
    </row>
    <row r="1199" customFormat="false" ht="15" hidden="false" customHeight="false" outlineLevel="0" collapsed="false">
      <c r="A1199" s="9" t="s">
        <v>3558</v>
      </c>
      <c r="B1199" s="9" t="s">
        <v>3559</v>
      </c>
      <c r="C1199" s="9" t="s">
        <v>182</v>
      </c>
      <c r="D1199" s="9" t="s">
        <v>465</v>
      </c>
      <c r="E1199" s="9" t="s">
        <v>182</v>
      </c>
      <c r="F1199" s="9" t="s">
        <v>125</v>
      </c>
      <c r="G1199" s="9" t="s">
        <v>1510</v>
      </c>
      <c r="H1199" s="9" t="n">
        <v>26</v>
      </c>
      <c r="I1199" s="9" t="s">
        <v>117</v>
      </c>
    </row>
    <row r="1200" customFormat="false" ht="15" hidden="false" customHeight="false" outlineLevel="0" collapsed="false">
      <c r="A1200" s="9" t="s">
        <v>3560</v>
      </c>
      <c r="B1200" s="9" t="s">
        <v>3561</v>
      </c>
      <c r="C1200" s="9" t="s">
        <v>182</v>
      </c>
      <c r="D1200" s="9" t="s">
        <v>465</v>
      </c>
      <c r="E1200" s="9" t="s">
        <v>182</v>
      </c>
      <c r="F1200" s="9" t="s">
        <v>125</v>
      </c>
      <c r="G1200" s="9" t="s">
        <v>1510</v>
      </c>
      <c r="H1200" s="9" t="n">
        <v>27</v>
      </c>
      <c r="I1200" s="9" t="s">
        <v>117</v>
      </c>
    </row>
    <row r="1201" customFormat="false" ht="15" hidden="false" customHeight="false" outlineLevel="0" collapsed="false">
      <c r="A1201" s="9" t="s">
        <v>3562</v>
      </c>
      <c r="B1201" s="9" t="s">
        <v>3563</v>
      </c>
      <c r="C1201" s="9" t="s">
        <v>182</v>
      </c>
      <c r="D1201" s="9" t="s">
        <v>465</v>
      </c>
      <c r="E1201" s="9" t="s">
        <v>182</v>
      </c>
      <c r="F1201" s="9" t="s">
        <v>125</v>
      </c>
      <c r="G1201" s="9" t="s">
        <v>1510</v>
      </c>
      <c r="H1201" s="9" t="n">
        <v>29</v>
      </c>
      <c r="I1201" s="9" t="s">
        <v>117</v>
      </c>
    </row>
    <row r="1202" customFormat="false" ht="15" hidden="false" customHeight="false" outlineLevel="0" collapsed="false">
      <c r="A1202" s="9" t="s">
        <v>2466</v>
      </c>
      <c r="B1202" s="9" t="s">
        <v>3564</v>
      </c>
      <c r="C1202" s="9" t="s">
        <v>182</v>
      </c>
      <c r="D1202" s="9" t="s">
        <v>465</v>
      </c>
      <c r="E1202" s="9" t="s">
        <v>182</v>
      </c>
      <c r="F1202" s="9" t="s">
        <v>125</v>
      </c>
      <c r="G1202" s="9" t="s">
        <v>1510</v>
      </c>
      <c r="H1202" s="9" t="n">
        <v>33</v>
      </c>
      <c r="I1202" s="9" t="s">
        <v>117</v>
      </c>
    </row>
    <row r="1203" customFormat="false" ht="15" hidden="false" customHeight="false" outlineLevel="0" collapsed="false">
      <c r="A1203" s="9" t="s">
        <v>1903</v>
      </c>
      <c r="B1203" s="9" t="s">
        <v>3565</v>
      </c>
      <c r="C1203" s="9" t="s">
        <v>182</v>
      </c>
      <c r="D1203" s="9" t="s">
        <v>465</v>
      </c>
      <c r="E1203" s="9" t="s">
        <v>182</v>
      </c>
      <c r="F1203" s="9" t="s">
        <v>125</v>
      </c>
      <c r="G1203" s="9" t="s">
        <v>1510</v>
      </c>
      <c r="H1203" s="9" t="n">
        <v>35</v>
      </c>
      <c r="I1203" s="9" t="s">
        <v>117</v>
      </c>
    </row>
    <row r="1204" customFormat="false" ht="15" hidden="false" customHeight="false" outlineLevel="0" collapsed="false">
      <c r="A1204" s="9" t="s">
        <v>3566</v>
      </c>
      <c r="B1204" s="9" t="s">
        <v>3567</v>
      </c>
      <c r="C1204" s="9" t="s">
        <v>467</v>
      </c>
      <c r="D1204" s="9" t="s">
        <v>466</v>
      </c>
      <c r="E1204" s="9" t="s">
        <v>133</v>
      </c>
      <c r="F1204" s="9" t="s">
        <v>134</v>
      </c>
      <c r="G1204" s="9"/>
      <c r="H1204" s="9" t="n">
        <v>1</v>
      </c>
      <c r="I1204" s="9" t="s">
        <v>103</v>
      </c>
    </row>
    <row r="1205" customFormat="false" ht="15" hidden="false" customHeight="false" outlineLevel="0" collapsed="false">
      <c r="A1205" s="9" t="s">
        <v>3568</v>
      </c>
      <c r="B1205" s="9" t="s">
        <v>2046</v>
      </c>
      <c r="C1205" s="9" t="s">
        <v>99</v>
      </c>
      <c r="D1205" s="9" t="s">
        <v>98</v>
      </c>
      <c r="E1205" s="9" t="s">
        <v>100</v>
      </c>
      <c r="F1205" s="9" t="s">
        <v>102</v>
      </c>
      <c r="G1205" s="9"/>
      <c r="H1205" s="9" t="n">
        <v>3</v>
      </c>
      <c r="I1205" s="9" t="s">
        <v>103</v>
      </c>
    </row>
    <row r="1206" customFormat="false" ht="15" hidden="false" customHeight="false" outlineLevel="0" collapsed="false">
      <c r="A1206" s="9" t="s">
        <v>2730</v>
      </c>
      <c r="B1206" s="9" t="s">
        <v>3569</v>
      </c>
      <c r="C1206" s="9" t="s">
        <v>99</v>
      </c>
      <c r="D1206" s="9" t="s">
        <v>98</v>
      </c>
      <c r="E1206" s="9" t="s">
        <v>100</v>
      </c>
      <c r="F1206" s="9" t="s">
        <v>102</v>
      </c>
      <c r="G1206" s="9" t="s">
        <v>1510</v>
      </c>
      <c r="H1206" s="9" t="n">
        <v>5</v>
      </c>
      <c r="I1206" s="9" t="s">
        <v>103</v>
      </c>
    </row>
    <row r="1207" customFormat="false" ht="15" hidden="false" customHeight="false" outlineLevel="0" collapsed="false">
      <c r="A1207" s="9" t="s">
        <v>1816</v>
      </c>
      <c r="B1207" s="9" t="s">
        <v>3570</v>
      </c>
      <c r="C1207" s="9" t="s">
        <v>142</v>
      </c>
      <c r="D1207" s="9" t="s">
        <v>141</v>
      </c>
      <c r="E1207" s="9" t="s">
        <v>106</v>
      </c>
      <c r="F1207" s="9" t="s">
        <v>102</v>
      </c>
      <c r="G1207" s="9"/>
      <c r="H1207" s="9" t="n">
        <v>1</v>
      </c>
      <c r="I1207" s="9" t="s">
        <v>143</v>
      </c>
    </row>
    <row r="1208" customFormat="false" ht="15" hidden="false" customHeight="false" outlineLevel="0" collapsed="false">
      <c r="A1208" s="9" t="s">
        <v>3571</v>
      </c>
      <c r="B1208" s="9" t="s">
        <v>3572</v>
      </c>
      <c r="C1208" s="9" t="s">
        <v>142</v>
      </c>
      <c r="D1208" s="9" t="s">
        <v>141</v>
      </c>
      <c r="E1208" s="9" t="s">
        <v>106</v>
      </c>
      <c r="F1208" s="9" t="s">
        <v>102</v>
      </c>
      <c r="G1208" s="9"/>
      <c r="H1208" s="9" t="n">
        <v>2</v>
      </c>
      <c r="I1208" s="9" t="s">
        <v>143</v>
      </c>
    </row>
    <row r="1209" customFormat="false" ht="15" hidden="false" customHeight="false" outlineLevel="0" collapsed="false">
      <c r="A1209" s="9" t="s">
        <v>2670</v>
      </c>
      <c r="B1209" s="9" t="s">
        <v>1532</v>
      </c>
      <c r="C1209" s="9" t="s">
        <v>175</v>
      </c>
      <c r="D1209" s="9" t="s">
        <v>174</v>
      </c>
      <c r="E1209" s="9" t="s">
        <v>100</v>
      </c>
      <c r="F1209" s="9" t="s">
        <v>102</v>
      </c>
      <c r="G1209" s="9" t="s">
        <v>1631</v>
      </c>
      <c r="H1209" s="9" t="n">
        <v>2</v>
      </c>
      <c r="I1209" s="9" t="s">
        <v>135</v>
      </c>
    </row>
    <row r="1210" customFormat="false" ht="15" hidden="false" customHeight="false" outlineLevel="0" collapsed="false">
      <c r="A1210" s="9" t="s">
        <v>3573</v>
      </c>
      <c r="B1210" s="9" t="s">
        <v>3574</v>
      </c>
      <c r="C1210" s="9" t="s">
        <v>175</v>
      </c>
      <c r="D1210" s="9" t="s">
        <v>174</v>
      </c>
      <c r="E1210" s="9" t="s">
        <v>100</v>
      </c>
      <c r="F1210" s="9" t="s">
        <v>102</v>
      </c>
      <c r="G1210" s="9" t="s">
        <v>2106</v>
      </c>
      <c r="H1210" s="9" t="n">
        <v>4</v>
      </c>
      <c r="I1210" s="9" t="s">
        <v>135</v>
      </c>
    </row>
    <row r="1211" customFormat="false" ht="15" hidden="false" customHeight="false" outlineLevel="0" collapsed="false">
      <c r="A1211" s="9" t="s">
        <v>3575</v>
      </c>
      <c r="B1211" s="9" t="s">
        <v>3576</v>
      </c>
      <c r="C1211" s="9" t="s">
        <v>175</v>
      </c>
      <c r="D1211" s="9" t="s">
        <v>174</v>
      </c>
      <c r="E1211" s="9" t="s">
        <v>100</v>
      </c>
      <c r="F1211" s="9" t="s">
        <v>102</v>
      </c>
      <c r="G1211" s="9"/>
      <c r="H1211" s="9" t="n">
        <v>5</v>
      </c>
      <c r="I1211" s="9" t="s">
        <v>135</v>
      </c>
    </row>
    <row r="1212" customFormat="false" ht="15" hidden="false" customHeight="false" outlineLevel="0" collapsed="false">
      <c r="A1212" s="9" t="s">
        <v>3577</v>
      </c>
      <c r="B1212" s="9" t="s">
        <v>3578</v>
      </c>
      <c r="C1212" s="9" t="s">
        <v>175</v>
      </c>
      <c r="D1212" s="9" t="s">
        <v>174</v>
      </c>
      <c r="E1212" s="9" t="s">
        <v>100</v>
      </c>
      <c r="F1212" s="9" t="s">
        <v>102</v>
      </c>
      <c r="G1212" s="9"/>
      <c r="H1212" s="9" t="n">
        <v>6</v>
      </c>
      <c r="I1212" s="9" t="s">
        <v>135</v>
      </c>
    </row>
    <row r="1213" customFormat="false" ht="15" hidden="false" customHeight="false" outlineLevel="0" collapsed="false">
      <c r="A1213" s="9" t="s">
        <v>1570</v>
      </c>
      <c r="B1213" s="9" t="s">
        <v>3579</v>
      </c>
      <c r="C1213" s="9" t="s">
        <v>186</v>
      </c>
      <c r="D1213" s="9" t="s">
        <v>185</v>
      </c>
      <c r="E1213" s="9" t="s">
        <v>100</v>
      </c>
      <c r="F1213" s="9" t="s">
        <v>102</v>
      </c>
      <c r="G1213" s="9"/>
      <c r="H1213" s="9" t="n">
        <v>1</v>
      </c>
      <c r="I1213" s="9" t="s">
        <v>103</v>
      </c>
    </row>
    <row r="1214" customFormat="false" ht="15" hidden="false" customHeight="false" outlineLevel="0" collapsed="false">
      <c r="A1214" s="9" t="s">
        <v>3580</v>
      </c>
      <c r="B1214" s="9" t="s">
        <v>3581</v>
      </c>
      <c r="C1214" s="9" t="s">
        <v>206</v>
      </c>
      <c r="D1214" s="9" t="s">
        <v>205</v>
      </c>
      <c r="E1214" s="9" t="s">
        <v>100</v>
      </c>
      <c r="F1214" s="9" t="s">
        <v>102</v>
      </c>
      <c r="G1214" s="9" t="s">
        <v>1510</v>
      </c>
      <c r="H1214" s="9" t="n">
        <v>2</v>
      </c>
      <c r="I1214" s="9" t="s">
        <v>143</v>
      </c>
    </row>
    <row r="1215" customFormat="false" ht="15" hidden="false" customHeight="false" outlineLevel="0" collapsed="false">
      <c r="A1215" s="9" t="s">
        <v>3582</v>
      </c>
      <c r="B1215" s="9" t="s">
        <v>3583</v>
      </c>
      <c r="C1215" s="9" t="s">
        <v>222</v>
      </c>
      <c r="D1215" s="9" t="s">
        <v>221</v>
      </c>
      <c r="E1215" s="9" t="s">
        <v>106</v>
      </c>
      <c r="F1215" s="9" t="s">
        <v>102</v>
      </c>
      <c r="G1215" s="9"/>
      <c r="H1215" s="9" t="n">
        <v>1</v>
      </c>
      <c r="I1215" s="9" t="s">
        <v>103</v>
      </c>
    </row>
    <row r="1216" customFormat="false" ht="15" hidden="false" customHeight="false" outlineLevel="0" collapsed="false">
      <c r="A1216" s="9" t="s">
        <v>1570</v>
      </c>
      <c r="B1216" s="9" t="s">
        <v>2052</v>
      </c>
      <c r="C1216" s="9" t="s">
        <v>224</v>
      </c>
      <c r="D1216" s="9" t="s">
        <v>223</v>
      </c>
      <c r="E1216" s="9" t="s">
        <v>106</v>
      </c>
      <c r="F1216" s="9" t="s">
        <v>102</v>
      </c>
      <c r="G1216" s="9"/>
      <c r="H1216" s="9" t="n">
        <v>1</v>
      </c>
      <c r="I1216" s="9" t="s">
        <v>103</v>
      </c>
    </row>
    <row r="1217" customFormat="false" ht="15" hidden="false" customHeight="false" outlineLevel="0" collapsed="false">
      <c r="A1217" s="9" t="s">
        <v>1578</v>
      </c>
      <c r="B1217" s="9" t="s">
        <v>3584</v>
      </c>
      <c r="C1217" s="9" t="s">
        <v>226</v>
      </c>
      <c r="D1217" s="9" t="s">
        <v>225</v>
      </c>
      <c r="E1217" s="9" t="s">
        <v>106</v>
      </c>
      <c r="F1217" s="9" t="s">
        <v>102</v>
      </c>
      <c r="G1217" s="9"/>
      <c r="H1217" s="9" t="n">
        <v>1</v>
      </c>
      <c r="I1217" s="9" t="s">
        <v>103</v>
      </c>
    </row>
    <row r="1218" customFormat="false" ht="15" hidden="false" customHeight="false" outlineLevel="0" collapsed="false">
      <c r="A1218" s="9" t="s">
        <v>2744</v>
      </c>
      <c r="B1218" s="9" t="s">
        <v>3585</v>
      </c>
      <c r="C1218" s="9" t="s">
        <v>226</v>
      </c>
      <c r="D1218" s="9" t="s">
        <v>225</v>
      </c>
      <c r="E1218" s="9" t="s">
        <v>106</v>
      </c>
      <c r="F1218" s="9" t="s">
        <v>102</v>
      </c>
      <c r="G1218" s="9" t="s">
        <v>1510</v>
      </c>
      <c r="H1218" s="9" t="n">
        <v>2</v>
      </c>
      <c r="I1218" s="9" t="s">
        <v>103</v>
      </c>
    </row>
    <row r="1219" customFormat="false" ht="15" hidden="false" customHeight="false" outlineLevel="0" collapsed="false">
      <c r="A1219" s="9" t="s">
        <v>1677</v>
      </c>
      <c r="B1219" s="9" t="s">
        <v>3586</v>
      </c>
      <c r="C1219" s="9" t="s">
        <v>231</v>
      </c>
      <c r="D1219" s="9" t="s">
        <v>230</v>
      </c>
      <c r="E1219" s="9" t="s">
        <v>100</v>
      </c>
      <c r="F1219" s="9" t="s">
        <v>102</v>
      </c>
      <c r="G1219" s="9" t="s">
        <v>1631</v>
      </c>
      <c r="H1219" s="9" t="n">
        <v>2</v>
      </c>
      <c r="I1219" s="9" t="s">
        <v>143</v>
      </c>
    </row>
    <row r="1220" customFormat="false" ht="15" hidden="false" customHeight="false" outlineLevel="0" collapsed="false">
      <c r="A1220" s="9" t="s">
        <v>3587</v>
      </c>
      <c r="B1220" s="9" t="s">
        <v>3588</v>
      </c>
      <c r="C1220" s="9" t="s">
        <v>231</v>
      </c>
      <c r="D1220" s="9" t="s">
        <v>230</v>
      </c>
      <c r="E1220" s="9" t="s">
        <v>100</v>
      </c>
      <c r="F1220" s="9" t="s">
        <v>102</v>
      </c>
      <c r="G1220" s="9" t="s">
        <v>1510</v>
      </c>
      <c r="H1220" s="9" t="n">
        <v>4</v>
      </c>
      <c r="I1220" s="9" t="s">
        <v>143</v>
      </c>
    </row>
    <row r="1221" customFormat="false" ht="15" hidden="false" customHeight="false" outlineLevel="0" collapsed="false">
      <c r="A1221" s="9" t="s">
        <v>1816</v>
      </c>
      <c r="B1221" s="9" t="s">
        <v>3589</v>
      </c>
      <c r="C1221" s="9" t="s">
        <v>233</v>
      </c>
      <c r="D1221" s="9" t="s">
        <v>232</v>
      </c>
      <c r="E1221" s="9" t="s">
        <v>100</v>
      </c>
      <c r="F1221" s="9" t="s">
        <v>102</v>
      </c>
      <c r="G1221" s="9"/>
      <c r="H1221" s="9" t="n">
        <v>1</v>
      </c>
      <c r="I1221" s="9" t="s">
        <v>103</v>
      </c>
    </row>
    <row r="1222" customFormat="false" ht="15" hidden="false" customHeight="false" outlineLevel="0" collapsed="false">
      <c r="A1222" s="9" t="s">
        <v>3590</v>
      </c>
      <c r="B1222" s="9" t="s">
        <v>3591</v>
      </c>
      <c r="C1222" s="9" t="s">
        <v>119</v>
      </c>
      <c r="D1222" s="9" t="s">
        <v>118</v>
      </c>
      <c r="E1222" s="9" t="s">
        <v>120</v>
      </c>
      <c r="F1222" s="9" t="s">
        <v>121</v>
      </c>
      <c r="G1222" s="9" t="s">
        <v>1510</v>
      </c>
      <c r="H1222" s="9" t="n">
        <v>4</v>
      </c>
      <c r="I1222" s="9" t="s">
        <v>117</v>
      </c>
    </row>
    <row r="1223" customFormat="false" ht="15" hidden="false" customHeight="false" outlineLevel="0" collapsed="false">
      <c r="A1223" s="9" t="s">
        <v>3592</v>
      </c>
      <c r="B1223" s="9" t="s">
        <v>2154</v>
      </c>
      <c r="C1223" s="9" t="s">
        <v>119</v>
      </c>
      <c r="D1223" s="9" t="s">
        <v>118</v>
      </c>
      <c r="E1223" s="9" t="s">
        <v>120</v>
      </c>
      <c r="F1223" s="9" t="s">
        <v>121</v>
      </c>
      <c r="G1223" s="9"/>
      <c r="H1223" s="9" t="n">
        <v>7</v>
      </c>
      <c r="I1223" s="9" t="s">
        <v>117</v>
      </c>
    </row>
    <row r="1224" customFormat="false" ht="15" hidden="false" customHeight="false" outlineLevel="0" collapsed="false">
      <c r="A1224" s="9" t="s">
        <v>3593</v>
      </c>
      <c r="B1224" s="9" t="s">
        <v>2762</v>
      </c>
      <c r="C1224" s="9" t="s">
        <v>119</v>
      </c>
      <c r="D1224" s="9" t="s">
        <v>118</v>
      </c>
      <c r="E1224" s="9" t="s">
        <v>120</v>
      </c>
      <c r="F1224" s="9" t="s">
        <v>121</v>
      </c>
      <c r="G1224" s="9"/>
      <c r="H1224" s="9" t="n">
        <v>13</v>
      </c>
      <c r="I1224" s="9" t="s">
        <v>117</v>
      </c>
    </row>
    <row r="1225" customFormat="false" ht="15" hidden="false" customHeight="false" outlineLevel="0" collapsed="false">
      <c r="A1225" s="9" t="s">
        <v>3594</v>
      </c>
      <c r="B1225" s="9" t="s">
        <v>3595</v>
      </c>
      <c r="C1225" s="9" t="s">
        <v>119</v>
      </c>
      <c r="D1225" s="9" t="s">
        <v>118</v>
      </c>
      <c r="E1225" s="9" t="s">
        <v>120</v>
      </c>
      <c r="F1225" s="9" t="s">
        <v>121</v>
      </c>
      <c r="G1225" s="9"/>
      <c r="H1225" s="9" t="n">
        <v>16</v>
      </c>
      <c r="I1225" s="9" t="s">
        <v>117</v>
      </c>
    </row>
    <row r="1226" customFormat="false" ht="15" hidden="false" customHeight="false" outlineLevel="0" collapsed="false">
      <c r="A1226" s="9" t="s">
        <v>3596</v>
      </c>
      <c r="B1226" s="9" t="s">
        <v>3597</v>
      </c>
      <c r="C1226" s="9" t="s">
        <v>119</v>
      </c>
      <c r="D1226" s="9" t="s">
        <v>118</v>
      </c>
      <c r="E1226" s="9" t="s">
        <v>120</v>
      </c>
      <c r="F1226" s="9" t="s">
        <v>121</v>
      </c>
      <c r="G1226" s="9"/>
      <c r="H1226" s="9" t="n">
        <v>20</v>
      </c>
      <c r="I1226" s="9" t="s">
        <v>117</v>
      </c>
    </row>
    <row r="1227" customFormat="false" ht="15" hidden="false" customHeight="false" outlineLevel="0" collapsed="false">
      <c r="A1227" s="9" t="s">
        <v>2147</v>
      </c>
      <c r="B1227" s="9" t="s">
        <v>3598</v>
      </c>
      <c r="C1227" s="9" t="s">
        <v>119</v>
      </c>
      <c r="D1227" s="9" t="s">
        <v>118</v>
      </c>
      <c r="E1227" s="9" t="s">
        <v>120</v>
      </c>
      <c r="F1227" s="9" t="s">
        <v>121</v>
      </c>
      <c r="G1227" s="9" t="s">
        <v>1631</v>
      </c>
      <c r="H1227" s="9" t="n">
        <v>24</v>
      </c>
      <c r="I1227" s="9" t="s">
        <v>117</v>
      </c>
    </row>
    <row r="1228" customFormat="false" ht="15" hidden="false" customHeight="false" outlineLevel="0" collapsed="false">
      <c r="A1228" s="9" t="s">
        <v>2696</v>
      </c>
      <c r="B1228" s="9" t="s">
        <v>3599</v>
      </c>
      <c r="C1228" s="9" t="s">
        <v>119</v>
      </c>
      <c r="D1228" s="9" t="s">
        <v>118</v>
      </c>
      <c r="E1228" s="9" t="s">
        <v>120</v>
      </c>
      <c r="F1228" s="9" t="s">
        <v>121</v>
      </c>
      <c r="G1228" s="9" t="s">
        <v>1631</v>
      </c>
      <c r="H1228" s="9" t="n">
        <v>25</v>
      </c>
      <c r="I1228" s="9" t="s">
        <v>117</v>
      </c>
    </row>
    <row r="1229" customFormat="false" ht="15" hidden="false" customHeight="false" outlineLevel="0" collapsed="false">
      <c r="A1229" s="9" t="s">
        <v>3600</v>
      </c>
      <c r="B1229" s="9" t="s">
        <v>3601</v>
      </c>
      <c r="C1229" s="9" t="s">
        <v>119</v>
      </c>
      <c r="D1229" s="9" t="s">
        <v>118</v>
      </c>
      <c r="E1229" s="9" t="s">
        <v>120</v>
      </c>
      <c r="F1229" s="9" t="s">
        <v>121</v>
      </c>
      <c r="G1229" s="9"/>
      <c r="H1229" s="9" t="n">
        <v>30</v>
      </c>
      <c r="I1229" s="9" t="s">
        <v>117</v>
      </c>
    </row>
    <row r="1230" customFormat="false" ht="15" hidden="false" customHeight="false" outlineLevel="0" collapsed="false">
      <c r="A1230" s="9" t="s">
        <v>3602</v>
      </c>
      <c r="B1230" s="9" t="s">
        <v>3603</v>
      </c>
      <c r="C1230" s="9" t="s">
        <v>119</v>
      </c>
      <c r="D1230" s="9" t="s">
        <v>118</v>
      </c>
      <c r="E1230" s="9" t="s">
        <v>120</v>
      </c>
      <c r="F1230" s="9" t="s">
        <v>121</v>
      </c>
      <c r="G1230" s="9"/>
      <c r="H1230" s="9" t="n">
        <v>32</v>
      </c>
      <c r="I1230" s="9" t="s">
        <v>117</v>
      </c>
    </row>
    <row r="1231" customFormat="false" ht="15" hidden="false" customHeight="false" outlineLevel="0" collapsed="false">
      <c r="A1231" s="9" t="s">
        <v>3604</v>
      </c>
      <c r="B1231" s="9" t="s">
        <v>3605</v>
      </c>
      <c r="C1231" s="9" t="s">
        <v>119</v>
      </c>
      <c r="D1231" s="9" t="s">
        <v>118</v>
      </c>
      <c r="E1231" s="9" t="s">
        <v>120</v>
      </c>
      <c r="F1231" s="9" t="s">
        <v>121</v>
      </c>
      <c r="G1231" s="9"/>
      <c r="H1231" s="9" t="n">
        <v>33</v>
      </c>
      <c r="I1231" s="9" t="s">
        <v>117</v>
      </c>
    </row>
    <row r="1232" customFormat="false" ht="15" hidden="false" customHeight="false" outlineLevel="0" collapsed="false">
      <c r="A1232" s="9" t="s">
        <v>3606</v>
      </c>
      <c r="B1232" s="9" t="s">
        <v>3607</v>
      </c>
      <c r="C1232" s="9" t="s">
        <v>119</v>
      </c>
      <c r="D1232" s="9" t="s">
        <v>118</v>
      </c>
      <c r="E1232" s="9" t="s">
        <v>120</v>
      </c>
      <c r="F1232" s="9" t="s">
        <v>121</v>
      </c>
      <c r="G1232" s="9"/>
      <c r="H1232" s="9" t="n">
        <v>41</v>
      </c>
      <c r="I1232" s="9" t="s">
        <v>117</v>
      </c>
    </row>
    <row r="1233" customFormat="false" ht="15" hidden="false" customHeight="false" outlineLevel="0" collapsed="false">
      <c r="A1233" s="9" t="s">
        <v>3608</v>
      </c>
      <c r="B1233" s="9" t="s">
        <v>3609</v>
      </c>
      <c r="C1233" s="9" t="s">
        <v>119</v>
      </c>
      <c r="D1233" s="9" t="s">
        <v>118</v>
      </c>
      <c r="E1233" s="9" t="s">
        <v>120</v>
      </c>
      <c r="F1233" s="9" t="s">
        <v>121</v>
      </c>
      <c r="G1233" s="9" t="s">
        <v>1631</v>
      </c>
      <c r="H1233" s="9" t="n">
        <v>44</v>
      </c>
      <c r="I1233" s="9" t="s">
        <v>117</v>
      </c>
    </row>
    <row r="1234" customFormat="false" ht="15" hidden="false" customHeight="false" outlineLevel="0" collapsed="false">
      <c r="A1234" s="9" t="s">
        <v>3610</v>
      </c>
      <c r="B1234" s="9" t="s">
        <v>3611</v>
      </c>
      <c r="C1234" s="9" t="s">
        <v>119</v>
      </c>
      <c r="D1234" s="9" t="s">
        <v>118</v>
      </c>
      <c r="E1234" s="9" t="s">
        <v>120</v>
      </c>
      <c r="F1234" s="9" t="s">
        <v>121</v>
      </c>
      <c r="G1234" s="9" t="s">
        <v>3612</v>
      </c>
      <c r="H1234" s="9" t="n">
        <v>46</v>
      </c>
      <c r="I1234" s="9" t="s">
        <v>117</v>
      </c>
    </row>
    <row r="1235" customFormat="false" ht="15" hidden="false" customHeight="false" outlineLevel="0" collapsed="false">
      <c r="A1235" s="9" t="s">
        <v>3613</v>
      </c>
      <c r="B1235" s="9" t="s">
        <v>3614</v>
      </c>
      <c r="C1235" s="9" t="s">
        <v>119</v>
      </c>
      <c r="D1235" s="9" t="s">
        <v>118</v>
      </c>
      <c r="E1235" s="9" t="s">
        <v>120</v>
      </c>
      <c r="F1235" s="9" t="s">
        <v>121</v>
      </c>
      <c r="G1235" s="9"/>
      <c r="H1235" s="9" t="n">
        <v>49</v>
      </c>
      <c r="I1235" s="9" t="s">
        <v>117</v>
      </c>
    </row>
    <row r="1236" customFormat="false" ht="15" hidden="false" customHeight="false" outlineLevel="0" collapsed="false">
      <c r="A1236" s="9" t="s">
        <v>3615</v>
      </c>
      <c r="B1236" s="9" t="s">
        <v>3616</v>
      </c>
      <c r="C1236" s="9" t="s">
        <v>119</v>
      </c>
      <c r="D1236" s="9" t="s">
        <v>118</v>
      </c>
      <c r="E1236" s="9" t="s">
        <v>120</v>
      </c>
      <c r="F1236" s="9" t="s">
        <v>121</v>
      </c>
      <c r="G1236" s="9" t="s">
        <v>1510</v>
      </c>
      <c r="H1236" s="9" t="n">
        <v>53</v>
      </c>
      <c r="I1236" s="9" t="s">
        <v>117</v>
      </c>
    </row>
    <row r="1237" customFormat="false" ht="15" hidden="false" customHeight="false" outlineLevel="0" collapsed="false">
      <c r="A1237" s="9" t="s">
        <v>3617</v>
      </c>
      <c r="B1237" s="9" t="s">
        <v>3618</v>
      </c>
      <c r="C1237" s="9" t="s">
        <v>119</v>
      </c>
      <c r="D1237" s="9" t="s">
        <v>118</v>
      </c>
      <c r="E1237" s="9" t="s">
        <v>120</v>
      </c>
      <c r="F1237" s="9" t="s">
        <v>121</v>
      </c>
      <c r="G1237" s="9" t="s">
        <v>1510</v>
      </c>
      <c r="H1237" s="9" t="n">
        <v>54</v>
      </c>
      <c r="I1237" s="9" t="s">
        <v>117</v>
      </c>
    </row>
    <row r="1238" customFormat="false" ht="15" hidden="false" customHeight="false" outlineLevel="0" collapsed="false">
      <c r="A1238" s="9" t="s">
        <v>3619</v>
      </c>
      <c r="B1238" s="9" t="s">
        <v>3620</v>
      </c>
      <c r="C1238" s="9" t="s">
        <v>119</v>
      </c>
      <c r="D1238" s="9" t="s">
        <v>118</v>
      </c>
      <c r="E1238" s="9" t="s">
        <v>120</v>
      </c>
      <c r="F1238" s="9" t="s">
        <v>121</v>
      </c>
      <c r="G1238" s="9"/>
      <c r="H1238" s="9" t="n">
        <v>55</v>
      </c>
      <c r="I1238" s="9" t="s">
        <v>117</v>
      </c>
    </row>
    <row r="1239" customFormat="false" ht="15" hidden="false" customHeight="false" outlineLevel="0" collapsed="false">
      <c r="A1239" s="9" t="s">
        <v>522</v>
      </c>
      <c r="B1239" s="9" t="s">
        <v>3621</v>
      </c>
      <c r="C1239" s="9" t="s">
        <v>119</v>
      </c>
      <c r="D1239" s="9" t="s">
        <v>118</v>
      </c>
      <c r="E1239" s="9" t="s">
        <v>120</v>
      </c>
      <c r="F1239" s="9" t="s">
        <v>121</v>
      </c>
      <c r="G1239" s="9"/>
      <c r="H1239" s="9" t="n">
        <v>58</v>
      </c>
      <c r="I1239" s="9" t="s">
        <v>117</v>
      </c>
    </row>
    <row r="1240" customFormat="false" ht="15" hidden="false" customHeight="false" outlineLevel="0" collapsed="false">
      <c r="A1240" s="9" t="s">
        <v>3622</v>
      </c>
      <c r="B1240" s="9" t="s">
        <v>3623</v>
      </c>
      <c r="C1240" s="9" t="s">
        <v>119</v>
      </c>
      <c r="D1240" s="9" t="s">
        <v>118</v>
      </c>
      <c r="E1240" s="9" t="s">
        <v>120</v>
      </c>
      <c r="F1240" s="9" t="s">
        <v>121</v>
      </c>
      <c r="G1240" s="9"/>
      <c r="H1240" s="9" t="n">
        <v>60</v>
      </c>
      <c r="I1240" s="9" t="s">
        <v>117</v>
      </c>
    </row>
    <row r="1241" customFormat="false" ht="15" hidden="false" customHeight="false" outlineLevel="0" collapsed="false">
      <c r="A1241" s="9" t="s">
        <v>3624</v>
      </c>
      <c r="B1241" s="9" t="s">
        <v>3625</v>
      </c>
      <c r="C1241" s="9" t="s">
        <v>119</v>
      </c>
      <c r="D1241" s="9" t="s">
        <v>118</v>
      </c>
      <c r="E1241" s="9" t="s">
        <v>120</v>
      </c>
      <c r="F1241" s="9" t="s">
        <v>121</v>
      </c>
      <c r="G1241" s="9"/>
      <c r="H1241" s="9" t="n">
        <v>61</v>
      </c>
      <c r="I1241" s="9" t="s">
        <v>117</v>
      </c>
    </row>
    <row r="1242" customFormat="false" ht="15" hidden="false" customHeight="false" outlineLevel="0" collapsed="false">
      <c r="A1242" s="9" t="s">
        <v>3626</v>
      </c>
      <c r="B1242" s="9" t="s">
        <v>3627</v>
      </c>
      <c r="C1242" s="9" t="s">
        <v>119</v>
      </c>
      <c r="D1242" s="9" t="s">
        <v>118</v>
      </c>
      <c r="E1242" s="9" t="s">
        <v>120</v>
      </c>
      <c r="F1242" s="9" t="s">
        <v>121</v>
      </c>
      <c r="G1242" s="9" t="s">
        <v>1510</v>
      </c>
      <c r="H1242" s="9" t="n">
        <v>66</v>
      </c>
      <c r="I1242" s="9" t="s">
        <v>117</v>
      </c>
    </row>
    <row r="1243" customFormat="false" ht="15" hidden="false" customHeight="false" outlineLevel="0" collapsed="false">
      <c r="A1243" s="9" t="s">
        <v>3628</v>
      </c>
      <c r="B1243" s="9" t="s">
        <v>3629</v>
      </c>
      <c r="C1243" s="9" t="s">
        <v>119</v>
      </c>
      <c r="D1243" s="9" t="s">
        <v>118</v>
      </c>
      <c r="E1243" s="9" t="s">
        <v>120</v>
      </c>
      <c r="F1243" s="9" t="s">
        <v>121</v>
      </c>
      <c r="G1243" s="9" t="s">
        <v>1631</v>
      </c>
      <c r="H1243" s="9" t="n">
        <v>70</v>
      </c>
      <c r="I1243" s="9" t="s">
        <v>117</v>
      </c>
    </row>
    <row r="1244" customFormat="false" ht="15" hidden="false" customHeight="false" outlineLevel="0" collapsed="false">
      <c r="A1244" s="9" t="s">
        <v>3630</v>
      </c>
      <c r="B1244" s="9" t="s">
        <v>3631</v>
      </c>
      <c r="C1244" s="9" t="s">
        <v>119</v>
      </c>
      <c r="D1244" s="9" t="s">
        <v>118</v>
      </c>
      <c r="E1244" s="9" t="s">
        <v>120</v>
      </c>
      <c r="F1244" s="9" t="s">
        <v>121</v>
      </c>
      <c r="G1244" s="9" t="s">
        <v>1510</v>
      </c>
      <c r="H1244" s="9" t="n">
        <v>71</v>
      </c>
      <c r="I1244" s="9" t="s">
        <v>117</v>
      </c>
    </row>
    <row r="1245" customFormat="false" ht="15" hidden="false" customHeight="false" outlineLevel="0" collapsed="false">
      <c r="A1245" s="9" t="s">
        <v>3632</v>
      </c>
      <c r="B1245" s="9" t="s">
        <v>2799</v>
      </c>
      <c r="C1245" s="9" t="s">
        <v>123</v>
      </c>
      <c r="D1245" s="9" t="s">
        <v>122</v>
      </c>
      <c r="E1245" s="9" t="s">
        <v>124</v>
      </c>
      <c r="F1245" s="9" t="s">
        <v>125</v>
      </c>
      <c r="G1245" s="9"/>
      <c r="H1245" s="9" t="n">
        <v>3</v>
      </c>
      <c r="I1245" s="9" t="s">
        <v>117</v>
      </c>
    </row>
    <row r="1246" customFormat="false" ht="15" hidden="false" customHeight="false" outlineLevel="0" collapsed="false">
      <c r="A1246" s="9" t="s">
        <v>3633</v>
      </c>
      <c r="B1246" s="9" t="s">
        <v>3634</v>
      </c>
      <c r="C1246" s="9" t="s">
        <v>123</v>
      </c>
      <c r="D1246" s="9" t="s">
        <v>122</v>
      </c>
      <c r="E1246" s="9" t="s">
        <v>124</v>
      </c>
      <c r="F1246" s="9" t="s">
        <v>125</v>
      </c>
      <c r="G1246" s="9"/>
      <c r="H1246" s="9" t="n">
        <v>5</v>
      </c>
      <c r="I1246" s="9" t="s">
        <v>117</v>
      </c>
    </row>
    <row r="1247" customFormat="false" ht="15" hidden="false" customHeight="false" outlineLevel="0" collapsed="false">
      <c r="A1247" s="9" t="s">
        <v>1724</v>
      </c>
      <c r="B1247" s="9" t="s">
        <v>3635</v>
      </c>
      <c r="C1247" s="9" t="s">
        <v>123</v>
      </c>
      <c r="D1247" s="9" t="s">
        <v>122</v>
      </c>
      <c r="E1247" s="9" t="s">
        <v>124</v>
      </c>
      <c r="F1247" s="9" t="s">
        <v>125</v>
      </c>
      <c r="G1247" s="9" t="s">
        <v>1510</v>
      </c>
      <c r="H1247" s="9" t="n">
        <v>6</v>
      </c>
      <c r="I1247" s="9" t="s">
        <v>117</v>
      </c>
    </row>
    <row r="1248" customFormat="false" ht="15" hidden="false" customHeight="false" outlineLevel="0" collapsed="false">
      <c r="A1248" s="9" t="s">
        <v>2920</v>
      </c>
      <c r="B1248" s="9" t="s">
        <v>3636</v>
      </c>
      <c r="C1248" s="9" t="s">
        <v>123</v>
      </c>
      <c r="D1248" s="9" t="s">
        <v>122</v>
      </c>
      <c r="E1248" s="9" t="s">
        <v>124</v>
      </c>
      <c r="F1248" s="9" t="s">
        <v>125</v>
      </c>
      <c r="G1248" s="9"/>
      <c r="H1248" s="9" t="n">
        <v>8</v>
      </c>
      <c r="I1248" s="9" t="s">
        <v>117</v>
      </c>
    </row>
    <row r="1249" customFormat="false" ht="15" hidden="false" customHeight="false" outlineLevel="0" collapsed="false">
      <c r="A1249" s="9" t="s">
        <v>3637</v>
      </c>
      <c r="B1249" s="9" t="s">
        <v>3638</v>
      </c>
      <c r="C1249" s="9" t="s">
        <v>123</v>
      </c>
      <c r="D1249" s="9" t="s">
        <v>122</v>
      </c>
      <c r="E1249" s="9" t="s">
        <v>124</v>
      </c>
      <c r="F1249" s="9" t="s">
        <v>125</v>
      </c>
      <c r="G1249" s="9" t="s">
        <v>1510</v>
      </c>
      <c r="H1249" s="9" t="n">
        <v>10</v>
      </c>
      <c r="I1249" s="9" t="s">
        <v>117</v>
      </c>
    </row>
    <row r="1250" customFormat="false" ht="15" hidden="false" customHeight="false" outlineLevel="0" collapsed="false">
      <c r="A1250" s="9" t="s">
        <v>3639</v>
      </c>
      <c r="B1250" s="9" t="s">
        <v>3640</v>
      </c>
      <c r="C1250" s="9" t="s">
        <v>123</v>
      </c>
      <c r="D1250" s="9" t="s">
        <v>122</v>
      </c>
      <c r="E1250" s="9" t="s">
        <v>124</v>
      </c>
      <c r="F1250" s="9" t="s">
        <v>125</v>
      </c>
      <c r="G1250" s="9" t="s">
        <v>1510</v>
      </c>
      <c r="H1250" s="9" t="n">
        <v>11</v>
      </c>
      <c r="I1250" s="9" t="s">
        <v>117</v>
      </c>
    </row>
    <row r="1251" customFormat="false" ht="15" hidden="false" customHeight="false" outlineLevel="0" collapsed="false">
      <c r="A1251" s="9" t="s">
        <v>3641</v>
      </c>
      <c r="B1251" s="9" t="s">
        <v>1902</v>
      </c>
      <c r="C1251" s="9" t="s">
        <v>123</v>
      </c>
      <c r="D1251" s="9" t="s">
        <v>122</v>
      </c>
      <c r="E1251" s="9" t="s">
        <v>124</v>
      </c>
      <c r="F1251" s="9" t="s">
        <v>125</v>
      </c>
      <c r="G1251" s="9" t="s">
        <v>1510</v>
      </c>
      <c r="H1251" s="9" t="n">
        <v>17</v>
      </c>
      <c r="I1251" s="9" t="s">
        <v>117</v>
      </c>
    </row>
    <row r="1252" customFormat="false" ht="15" hidden="false" customHeight="false" outlineLevel="0" collapsed="false">
      <c r="A1252" s="9" t="s">
        <v>1625</v>
      </c>
      <c r="B1252" s="9" t="s">
        <v>3642</v>
      </c>
      <c r="C1252" s="9" t="s">
        <v>177</v>
      </c>
      <c r="D1252" s="9" t="s">
        <v>176</v>
      </c>
      <c r="E1252" s="9" t="s">
        <v>124</v>
      </c>
      <c r="F1252" s="9" t="s">
        <v>125</v>
      </c>
      <c r="G1252" s="9"/>
      <c r="H1252" s="9" t="n">
        <v>2</v>
      </c>
      <c r="I1252" s="9" t="s">
        <v>117</v>
      </c>
    </row>
    <row r="1253" customFormat="false" ht="15" hidden="false" customHeight="false" outlineLevel="0" collapsed="false">
      <c r="A1253" s="9" t="s">
        <v>3643</v>
      </c>
      <c r="B1253" s="9" t="s">
        <v>2809</v>
      </c>
      <c r="C1253" s="9" t="s">
        <v>181</v>
      </c>
      <c r="D1253" s="9" t="s">
        <v>180</v>
      </c>
      <c r="E1253" s="9" t="s">
        <v>182</v>
      </c>
      <c r="F1253" s="9" t="s">
        <v>125</v>
      </c>
      <c r="G1253" s="9"/>
      <c r="H1253" s="9" t="n">
        <v>2</v>
      </c>
      <c r="I1253" s="9" t="s">
        <v>103</v>
      </c>
    </row>
    <row r="1254" customFormat="false" ht="15" hidden="false" customHeight="false" outlineLevel="0" collapsed="false">
      <c r="A1254" s="9" t="s">
        <v>3644</v>
      </c>
      <c r="B1254" s="9" t="s">
        <v>3645</v>
      </c>
      <c r="C1254" s="9" t="s">
        <v>215</v>
      </c>
      <c r="D1254" s="9" t="s">
        <v>214</v>
      </c>
      <c r="E1254" s="9" t="s">
        <v>216</v>
      </c>
      <c r="F1254" s="9" t="s">
        <v>125</v>
      </c>
      <c r="G1254" s="9"/>
      <c r="H1254" s="9" t="n">
        <v>1</v>
      </c>
      <c r="I1254" s="9" t="s">
        <v>103</v>
      </c>
    </row>
    <row r="1255" customFormat="false" ht="15" hidden="false" customHeight="false" outlineLevel="0" collapsed="false">
      <c r="A1255" s="9" t="s">
        <v>1793</v>
      </c>
      <c r="B1255" s="9" t="s">
        <v>3646</v>
      </c>
      <c r="C1255" s="9" t="s">
        <v>215</v>
      </c>
      <c r="D1255" s="9" t="s">
        <v>214</v>
      </c>
      <c r="E1255" s="9" t="s">
        <v>216</v>
      </c>
      <c r="F1255" s="9" t="s">
        <v>125</v>
      </c>
      <c r="G1255" s="9"/>
      <c r="H1255" s="9" t="n">
        <v>2</v>
      </c>
      <c r="I1255" s="9" t="s">
        <v>103</v>
      </c>
    </row>
    <row r="1256" customFormat="false" ht="15" hidden="false" customHeight="false" outlineLevel="0" collapsed="false">
      <c r="A1256" s="9" t="s">
        <v>3647</v>
      </c>
      <c r="B1256" s="9" t="s">
        <v>3648</v>
      </c>
      <c r="C1256" s="9" t="s">
        <v>475</v>
      </c>
      <c r="D1256" s="9" t="s">
        <v>474</v>
      </c>
      <c r="E1256" s="9" t="s">
        <v>133</v>
      </c>
      <c r="F1256" s="9" t="s">
        <v>125</v>
      </c>
      <c r="G1256" s="9" t="s">
        <v>1510</v>
      </c>
      <c r="H1256" s="9" t="n">
        <v>2</v>
      </c>
      <c r="I1256" s="9" t="s">
        <v>117</v>
      </c>
    </row>
    <row r="1257" customFormat="false" ht="15" hidden="false" customHeight="false" outlineLevel="0" collapsed="false">
      <c r="A1257" s="9" t="s">
        <v>3649</v>
      </c>
      <c r="B1257" s="9" t="s">
        <v>3650</v>
      </c>
      <c r="C1257" s="9" t="s">
        <v>475</v>
      </c>
      <c r="D1257" s="9" t="s">
        <v>474</v>
      </c>
      <c r="E1257" s="9" t="s">
        <v>133</v>
      </c>
      <c r="F1257" s="9" t="s">
        <v>125</v>
      </c>
      <c r="G1257" s="9"/>
      <c r="H1257" s="9" t="n">
        <v>5</v>
      </c>
      <c r="I1257" s="9" t="s">
        <v>117</v>
      </c>
    </row>
    <row r="1258" customFormat="false" ht="15" hidden="false" customHeight="false" outlineLevel="0" collapsed="false">
      <c r="A1258" s="9" t="s">
        <v>3651</v>
      </c>
      <c r="B1258" s="9" t="s">
        <v>3652</v>
      </c>
      <c r="C1258" s="9" t="s">
        <v>475</v>
      </c>
      <c r="D1258" s="9" t="s">
        <v>474</v>
      </c>
      <c r="E1258" s="9" t="s">
        <v>133</v>
      </c>
      <c r="F1258" s="9" t="s">
        <v>125</v>
      </c>
      <c r="G1258" s="9"/>
      <c r="H1258" s="9" t="n">
        <v>6</v>
      </c>
      <c r="I1258" s="9" t="s">
        <v>117</v>
      </c>
    </row>
    <row r="1259" customFormat="false" ht="15" hidden="false" customHeight="false" outlineLevel="0" collapsed="false">
      <c r="A1259" s="9" t="s">
        <v>3653</v>
      </c>
      <c r="B1259" s="9" t="s">
        <v>3654</v>
      </c>
      <c r="C1259" s="9" t="s">
        <v>475</v>
      </c>
      <c r="D1259" s="9" t="s">
        <v>474</v>
      </c>
      <c r="E1259" s="9" t="s">
        <v>133</v>
      </c>
      <c r="F1259" s="9" t="s">
        <v>125</v>
      </c>
      <c r="G1259" s="9"/>
      <c r="H1259" s="9" t="n">
        <v>9</v>
      </c>
      <c r="I1259" s="9" t="s">
        <v>117</v>
      </c>
    </row>
    <row r="1260" customFormat="false" ht="15" hidden="false" customHeight="false" outlineLevel="0" collapsed="false">
      <c r="A1260" s="9" t="s">
        <v>1582</v>
      </c>
      <c r="B1260" s="9" t="s">
        <v>3655</v>
      </c>
      <c r="C1260" s="9" t="s">
        <v>475</v>
      </c>
      <c r="D1260" s="9" t="s">
        <v>474</v>
      </c>
      <c r="E1260" s="9" t="s">
        <v>133</v>
      </c>
      <c r="F1260" s="9" t="s">
        <v>125</v>
      </c>
      <c r="G1260" s="9"/>
      <c r="H1260" s="9" t="n">
        <v>10</v>
      </c>
      <c r="I1260" s="9" t="s">
        <v>117</v>
      </c>
    </row>
    <row r="1261" customFormat="false" ht="15" hidden="false" customHeight="false" outlineLevel="0" collapsed="false">
      <c r="A1261" s="9" t="s">
        <v>3656</v>
      </c>
      <c r="B1261" s="9" t="s">
        <v>3657</v>
      </c>
      <c r="C1261" s="9" t="s">
        <v>475</v>
      </c>
      <c r="D1261" s="9" t="s">
        <v>474</v>
      </c>
      <c r="E1261" s="9" t="s">
        <v>133</v>
      </c>
      <c r="F1261" s="9" t="s">
        <v>125</v>
      </c>
      <c r="G1261" s="9"/>
      <c r="H1261" s="9" t="n">
        <v>14</v>
      </c>
      <c r="I1261" s="9" t="s">
        <v>117</v>
      </c>
    </row>
    <row r="1262" customFormat="false" ht="15" hidden="false" customHeight="false" outlineLevel="0" collapsed="false">
      <c r="A1262" s="9" t="s">
        <v>1570</v>
      </c>
      <c r="B1262" s="9" t="s">
        <v>3658</v>
      </c>
      <c r="C1262" s="9" t="s">
        <v>475</v>
      </c>
      <c r="D1262" s="9" t="s">
        <v>474</v>
      </c>
      <c r="E1262" s="9" t="s">
        <v>133</v>
      </c>
      <c r="F1262" s="9" t="s">
        <v>125</v>
      </c>
      <c r="G1262" s="9"/>
      <c r="H1262" s="9" t="n">
        <v>15</v>
      </c>
      <c r="I1262" s="9" t="s">
        <v>117</v>
      </c>
    </row>
    <row r="1263" customFormat="false" ht="15" hidden="false" customHeight="false" outlineLevel="0" collapsed="false">
      <c r="A1263" s="9" t="s">
        <v>2555</v>
      </c>
      <c r="B1263" s="9" t="s">
        <v>3659</v>
      </c>
      <c r="C1263" s="9" t="s">
        <v>169</v>
      </c>
      <c r="D1263" s="9" t="s">
        <v>168</v>
      </c>
      <c r="E1263" s="9" t="s">
        <v>120</v>
      </c>
      <c r="F1263" s="9" t="s">
        <v>170</v>
      </c>
      <c r="G1263" s="9"/>
      <c r="H1263" s="9" t="n">
        <v>2</v>
      </c>
      <c r="I1263" s="9" t="s">
        <v>117</v>
      </c>
    </row>
    <row r="1264" customFormat="false" ht="15" hidden="false" customHeight="false" outlineLevel="0" collapsed="false">
      <c r="A1264" s="9" t="s">
        <v>3660</v>
      </c>
      <c r="B1264" s="9" t="s">
        <v>3661</v>
      </c>
      <c r="C1264" s="9" t="s">
        <v>169</v>
      </c>
      <c r="D1264" s="9" t="s">
        <v>168</v>
      </c>
      <c r="E1264" s="9" t="s">
        <v>120</v>
      </c>
      <c r="F1264" s="9" t="s">
        <v>170</v>
      </c>
      <c r="G1264" s="9"/>
      <c r="H1264" s="9" t="n">
        <v>3</v>
      </c>
      <c r="I1264" s="9" t="s">
        <v>117</v>
      </c>
    </row>
    <row r="1265" customFormat="false" ht="15" hidden="false" customHeight="false" outlineLevel="0" collapsed="false">
      <c r="A1265" s="9" t="s">
        <v>3662</v>
      </c>
      <c r="B1265" s="9" t="s">
        <v>3659</v>
      </c>
      <c r="C1265" s="9" t="s">
        <v>169</v>
      </c>
      <c r="D1265" s="9" t="s">
        <v>168</v>
      </c>
      <c r="E1265" s="9" t="s">
        <v>120</v>
      </c>
      <c r="F1265" s="9" t="s">
        <v>170</v>
      </c>
      <c r="G1265" s="9"/>
      <c r="H1265" s="9" t="n">
        <v>5</v>
      </c>
      <c r="I1265" s="9" t="s">
        <v>117</v>
      </c>
    </row>
    <row r="1266" customFormat="false" ht="15" hidden="false" customHeight="false" outlineLevel="0" collapsed="false">
      <c r="A1266" s="9" t="s">
        <v>3663</v>
      </c>
      <c r="B1266" s="9" t="s">
        <v>3664</v>
      </c>
      <c r="C1266" s="9" t="s">
        <v>169</v>
      </c>
      <c r="D1266" s="9" t="s">
        <v>168</v>
      </c>
      <c r="E1266" s="9" t="s">
        <v>120</v>
      </c>
      <c r="F1266" s="9" t="s">
        <v>170</v>
      </c>
      <c r="G1266" s="9"/>
      <c r="H1266" s="9" t="n">
        <v>8</v>
      </c>
      <c r="I1266" s="9" t="s">
        <v>117</v>
      </c>
    </row>
    <row r="1267" customFormat="false" ht="15" hidden="false" customHeight="false" outlineLevel="0" collapsed="false">
      <c r="A1267" s="9" t="s">
        <v>3665</v>
      </c>
      <c r="B1267" s="9" t="s">
        <v>3666</v>
      </c>
      <c r="C1267" s="9" t="s">
        <v>169</v>
      </c>
      <c r="D1267" s="9" t="s">
        <v>168</v>
      </c>
      <c r="E1267" s="9" t="s">
        <v>120</v>
      </c>
      <c r="F1267" s="9" t="s">
        <v>170</v>
      </c>
      <c r="G1267" s="9"/>
      <c r="H1267" s="9" t="n">
        <v>9</v>
      </c>
      <c r="I1267" s="9" t="s">
        <v>117</v>
      </c>
    </row>
    <row r="1268" customFormat="false" ht="15" hidden="false" customHeight="false" outlineLevel="0" collapsed="false">
      <c r="A1268" s="9" t="s">
        <v>3667</v>
      </c>
      <c r="B1268" s="9" t="s">
        <v>2622</v>
      </c>
      <c r="C1268" s="9" t="s">
        <v>169</v>
      </c>
      <c r="D1268" s="9" t="s">
        <v>168</v>
      </c>
      <c r="E1268" s="9" t="s">
        <v>120</v>
      </c>
      <c r="F1268" s="9" t="s">
        <v>170</v>
      </c>
      <c r="G1268" s="9"/>
      <c r="H1268" s="9" t="n">
        <v>11</v>
      </c>
      <c r="I1268" s="9" t="s">
        <v>117</v>
      </c>
    </row>
    <row r="1269" customFormat="false" ht="15" hidden="false" customHeight="false" outlineLevel="0" collapsed="false">
      <c r="A1269" s="9" t="s">
        <v>3668</v>
      </c>
      <c r="B1269" s="9" t="s">
        <v>3669</v>
      </c>
      <c r="C1269" s="9" t="s">
        <v>169</v>
      </c>
      <c r="D1269" s="9" t="s">
        <v>168</v>
      </c>
      <c r="E1269" s="9" t="s">
        <v>120</v>
      </c>
      <c r="F1269" s="9" t="s">
        <v>170</v>
      </c>
      <c r="G1269" s="9"/>
      <c r="H1269" s="9" t="n">
        <v>12</v>
      </c>
      <c r="I1269" s="9" t="s">
        <v>117</v>
      </c>
    </row>
    <row r="1270" customFormat="false" ht="15" hidden="false" customHeight="false" outlineLevel="0" collapsed="false">
      <c r="A1270" s="9" t="s">
        <v>3670</v>
      </c>
      <c r="B1270" s="9" t="s">
        <v>3671</v>
      </c>
      <c r="C1270" s="9" t="s">
        <v>169</v>
      </c>
      <c r="D1270" s="9" t="s">
        <v>168</v>
      </c>
      <c r="E1270" s="9" t="s">
        <v>120</v>
      </c>
      <c r="F1270" s="9" t="s">
        <v>170</v>
      </c>
      <c r="G1270" s="9"/>
      <c r="H1270" s="9" t="n">
        <v>13</v>
      </c>
      <c r="I1270" s="9" t="s">
        <v>117</v>
      </c>
    </row>
    <row r="1271" customFormat="false" ht="15" hidden="false" customHeight="false" outlineLevel="0" collapsed="false">
      <c r="A1271" s="9" t="s">
        <v>3672</v>
      </c>
      <c r="B1271" s="9" t="s">
        <v>3673</v>
      </c>
      <c r="C1271" s="9" t="s">
        <v>169</v>
      </c>
      <c r="D1271" s="9" t="s">
        <v>168</v>
      </c>
      <c r="E1271" s="9" t="s">
        <v>120</v>
      </c>
      <c r="F1271" s="9" t="s">
        <v>170</v>
      </c>
      <c r="G1271" s="9" t="s">
        <v>1510</v>
      </c>
      <c r="H1271" s="9" t="n">
        <v>20</v>
      </c>
      <c r="I1271" s="9" t="s">
        <v>117</v>
      </c>
    </row>
    <row r="1272" customFormat="false" ht="15" hidden="false" customHeight="false" outlineLevel="0" collapsed="false">
      <c r="A1272" s="9" t="s">
        <v>1506</v>
      </c>
      <c r="B1272" s="9" t="s">
        <v>3674</v>
      </c>
      <c r="C1272" s="9" t="s">
        <v>169</v>
      </c>
      <c r="D1272" s="9" t="s">
        <v>168</v>
      </c>
      <c r="E1272" s="9" t="s">
        <v>120</v>
      </c>
      <c r="F1272" s="9" t="s">
        <v>170</v>
      </c>
      <c r="G1272" s="9"/>
      <c r="H1272" s="9" t="n">
        <v>21</v>
      </c>
      <c r="I1272" s="9" t="s">
        <v>117</v>
      </c>
    </row>
    <row r="1273" customFormat="false" ht="15" hidden="false" customHeight="false" outlineLevel="0" collapsed="false">
      <c r="A1273" s="9" t="s">
        <v>3675</v>
      </c>
      <c r="B1273" s="9" t="s">
        <v>3676</v>
      </c>
      <c r="C1273" s="9" t="s">
        <v>169</v>
      </c>
      <c r="D1273" s="9" t="s">
        <v>168</v>
      </c>
      <c r="E1273" s="9" t="s">
        <v>120</v>
      </c>
      <c r="F1273" s="9" t="s">
        <v>170</v>
      </c>
      <c r="G1273" s="9" t="s">
        <v>1510</v>
      </c>
      <c r="H1273" s="9" t="n">
        <v>22</v>
      </c>
      <c r="I1273" s="9" t="s">
        <v>117</v>
      </c>
    </row>
    <row r="1274" customFormat="false" ht="15" hidden="false" customHeight="false" outlineLevel="0" collapsed="false">
      <c r="A1274" s="9" t="s">
        <v>3677</v>
      </c>
      <c r="B1274" s="9" t="s">
        <v>3678</v>
      </c>
      <c r="C1274" s="9" t="s">
        <v>172</v>
      </c>
      <c r="D1274" s="9" t="s">
        <v>171</v>
      </c>
      <c r="E1274" s="9" t="s">
        <v>106</v>
      </c>
      <c r="F1274" s="9" t="s">
        <v>173</v>
      </c>
      <c r="G1274" s="9" t="s">
        <v>1510</v>
      </c>
      <c r="H1274" s="9" t="n">
        <v>4</v>
      </c>
      <c r="I1274" s="9" t="s">
        <v>117</v>
      </c>
    </row>
    <row r="1275" customFormat="false" ht="15" hidden="false" customHeight="false" outlineLevel="0" collapsed="false">
      <c r="A1275" s="9" t="s">
        <v>3679</v>
      </c>
      <c r="B1275" s="9" t="s">
        <v>3680</v>
      </c>
      <c r="C1275" s="9" t="s">
        <v>172</v>
      </c>
      <c r="D1275" s="9" t="s">
        <v>171</v>
      </c>
      <c r="E1275" s="9" t="s">
        <v>106</v>
      </c>
      <c r="F1275" s="9" t="s">
        <v>173</v>
      </c>
      <c r="G1275" s="9"/>
      <c r="H1275" s="9" t="n">
        <v>5</v>
      </c>
      <c r="I1275" s="9" t="s">
        <v>117</v>
      </c>
    </row>
    <row r="1276" customFormat="false" ht="15" hidden="false" customHeight="false" outlineLevel="0" collapsed="false">
      <c r="A1276" s="9" t="s">
        <v>3681</v>
      </c>
      <c r="B1276" s="9" t="s">
        <v>3682</v>
      </c>
      <c r="C1276" s="9" t="s">
        <v>199</v>
      </c>
      <c r="D1276" s="9" t="s">
        <v>198</v>
      </c>
      <c r="E1276" s="9" t="s">
        <v>200</v>
      </c>
      <c r="F1276" s="9" t="s">
        <v>173</v>
      </c>
      <c r="G1276" s="9"/>
      <c r="H1276" s="9" t="n">
        <v>3</v>
      </c>
      <c r="I1276" s="9" t="s">
        <v>117</v>
      </c>
    </row>
    <row r="1277" customFormat="false" ht="15" hidden="false" customHeight="false" outlineLevel="0" collapsed="false">
      <c r="A1277" s="9" t="s">
        <v>3683</v>
      </c>
      <c r="B1277" s="9" t="s">
        <v>3684</v>
      </c>
      <c r="C1277" s="9" t="s">
        <v>199</v>
      </c>
      <c r="D1277" s="9" t="s">
        <v>198</v>
      </c>
      <c r="E1277" s="9" t="s">
        <v>200</v>
      </c>
      <c r="F1277" s="9" t="s">
        <v>173</v>
      </c>
      <c r="G1277" s="9" t="s">
        <v>1543</v>
      </c>
      <c r="H1277" s="9" t="n">
        <v>6</v>
      </c>
      <c r="I1277" s="9" t="s">
        <v>117</v>
      </c>
    </row>
    <row r="1278" customFormat="false" ht="15" hidden="false" customHeight="false" outlineLevel="0" collapsed="false">
      <c r="A1278" s="9" t="s">
        <v>3685</v>
      </c>
      <c r="B1278" s="9" t="s">
        <v>3686</v>
      </c>
      <c r="C1278" s="9" t="s">
        <v>199</v>
      </c>
      <c r="D1278" s="9" t="s">
        <v>198</v>
      </c>
      <c r="E1278" s="9" t="s">
        <v>200</v>
      </c>
      <c r="F1278" s="9" t="s">
        <v>173</v>
      </c>
      <c r="G1278" s="9" t="s">
        <v>1510</v>
      </c>
      <c r="H1278" s="9" t="n">
        <v>9</v>
      </c>
      <c r="I1278" s="9" t="s">
        <v>117</v>
      </c>
    </row>
    <row r="1279" customFormat="false" ht="15" hidden="false" customHeight="false" outlineLevel="0" collapsed="false">
      <c r="A1279" s="9" t="s">
        <v>3687</v>
      </c>
      <c r="B1279" s="9" t="s">
        <v>3688</v>
      </c>
      <c r="C1279" s="9" t="s">
        <v>199</v>
      </c>
      <c r="D1279" s="9" t="s">
        <v>198</v>
      </c>
      <c r="E1279" s="9" t="s">
        <v>200</v>
      </c>
      <c r="F1279" s="9" t="s">
        <v>173</v>
      </c>
      <c r="G1279" s="9" t="s">
        <v>1510</v>
      </c>
      <c r="H1279" s="9" t="n">
        <v>14</v>
      </c>
      <c r="I1279" s="9" t="s">
        <v>117</v>
      </c>
    </row>
    <row r="1280" customFormat="false" ht="15" hidden="false" customHeight="false" outlineLevel="0" collapsed="false">
      <c r="A1280" s="9" t="s">
        <v>3689</v>
      </c>
      <c r="B1280" s="9" t="s">
        <v>3690</v>
      </c>
      <c r="C1280" s="9" t="s">
        <v>199</v>
      </c>
      <c r="D1280" s="9" t="s">
        <v>198</v>
      </c>
      <c r="E1280" s="9" t="s">
        <v>200</v>
      </c>
      <c r="F1280" s="9" t="s">
        <v>173</v>
      </c>
      <c r="G1280" s="9" t="s">
        <v>1510</v>
      </c>
      <c r="H1280" s="9" t="n">
        <v>15</v>
      </c>
      <c r="I1280" s="9" t="s">
        <v>117</v>
      </c>
    </row>
    <row r="1281" customFormat="false" ht="15" hidden="false" customHeight="false" outlineLevel="0" collapsed="false">
      <c r="A1281" s="9" t="s">
        <v>3691</v>
      </c>
      <c r="B1281" s="9" t="s">
        <v>3692</v>
      </c>
      <c r="C1281" s="9" t="s">
        <v>199</v>
      </c>
      <c r="D1281" s="9" t="s">
        <v>198</v>
      </c>
      <c r="E1281" s="9" t="s">
        <v>200</v>
      </c>
      <c r="F1281" s="9" t="s">
        <v>173</v>
      </c>
      <c r="G1281" s="9" t="s">
        <v>1510</v>
      </c>
      <c r="H1281" s="9" t="n">
        <v>16</v>
      </c>
      <c r="I1281" s="9" t="s">
        <v>117</v>
      </c>
    </row>
    <row r="1282" customFormat="false" ht="15" hidden="false" customHeight="false" outlineLevel="0" collapsed="false">
      <c r="A1282" s="9" t="s">
        <v>3693</v>
      </c>
      <c r="B1282" s="9" t="s">
        <v>3694</v>
      </c>
      <c r="C1282" s="9" t="s">
        <v>199</v>
      </c>
      <c r="D1282" s="9" t="s">
        <v>198</v>
      </c>
      <c r="E1282" s="9" t="s">
        <v>200</v>
      </c>
      <c r="F1282" s="9" t="s">
        <v>173</v>
      </c>
      <c r="G1282" s="9" t="s">
        <v>1510</v>
      </c>
      <c r="H1282" s="9" t="n">
        <v>17</v>
      </c>
      <c r="I1282" s="9" t="s">
        <v>117</v>
      </c>
    </row>
    <row r="1283" customFormat="false" ht="15" hidden="false" customHeight="false" outlineLevel="0" collapsed="false">
      <c r="A1283" s="9" t="s">
        <v>3695</v>
      </c>
      <c r="B1283" s="9" t="s">
        <v>3696</v>
      </c>
      <c r="C1283" s="9" t="s">
        <v>199</v>
      </c>
      <c r="D1283" s="9" t="s">
        <v>198</v>
      </c>
      <c r="E1283" s="9" t="s">
        <v>200</v>
      </c>
      <c r="F1283" s="9" t="s">
        <v>173</v>
      </c>
      <c r="G1283" s="9" t="s">
        <v>1510</v>
      </c>
      <c r="H1283" s="9" t="n">
        <v>19</v>
      </c>
      <c r="I1283" s="9" t="s">
        <v>117</v>
      </c>
    </row>
    <row r="1284" customFormat="false" ht="15" hidden="false" customHeight="false" outlineLevel="0" collapsed="false">
      <c r="A1284" s="9" t="s">
        <v>3697</v>
      </c>
      <c r="B1284" s="9" t="s">
        <v>3698</v>
      </c>
      <c r="C1284" s="9" t="s">
        <v>199</v>
      </c>
      <c r="D1284" s="9" t="s">
        <v>198</v>
      </c>
      <c r="E1284" s="9" t="s">
        <v>200</v>
      </c>
      <c r="F1284" s="9" t="s">
        <v>173</v>
      </c>
      <c r="G1284" s="9" t="s">
        <v>1510</v>
      </c>
      <c r="H1284" s="9" t="n">
        <v>25</v>
      </c>
      <c r="I1284" s="9" t="s">
        <v>117</v>
      </c>
    </row>
    <row r="1285" customFormat="false" ht="15" hidden="false" customHeight="false" outlineLevel="0" collapsed="false">
      <c r="A1285" s="9" t="s">
        <v>3699</v>
      </c>
      <c r="B1285" s="9" t="s">
        <v>3700</v>
      </c>
      <c r="C1285" s="9" t="s">
        <v>199</v>
      </c>
      <c r="D1285" s="9" t="s">
        <v>198</v>
      </c>
      <c r="E1285" s="9" t="s">
        <v>200</v>
      </c>
      <c r="F1285" s="9" t="s">
        <v>173</v>
      </c>
      <c r="G1285" s="9" t="s">
        <v>1510</v>
      </c>
      <c r="H1285" s="9" t="n">
        <v>26</v>
      </c>
      <c r="I1285" s="9" t="s">
        <v>117</v>
      </c>
    </row>
    <row r="1286" customFormat="false" ht="15" hidden="false" customHeight="false" outlineLevel="0" collapsed="false">
      <c r="A1286" s="9" t="s">
        <v>3701</v>
      </c>
      <c r="B1286" s="9" t="s">
        <v>3702</v>
      </c>
      <c r="C1286" s="9" t="s">
        <v>199</v>
      </c>
      <c r="D1286" s="9" t="s">
        <v>198</v>
      </c>
      <c r="E1286" s="9" t="s">
        <v>200</v>
      </c>
      <c r="F1286" s="9" t="s">
        <v>173</v>
      </c>
      <c r="G1286" s="9"/>
      <c r="H1286" s="9" t="n">
        <v>33</v>
      </c>
      <c r="I1286" s="9" t="s">
        <v>117</v>
      </c>
    </row>
    <row r="1287" customFormat="false" ht="15" hidden="false" customHeight="false" outlineLevel="0" collapsed="false">
      <c r="A1287" s="9" t="s">
        <v>3703</v>
      </c>
      <c r="B1287" s="9" t="s">
        <v>3704</v>
      </c>
      <c r="C1287" s="9" t="s">
        <v>199</v>
      </c>
      <c r="D1287" s="9" t="s">
        <v>198</v>
      </c>
      <c r="E1287" s="9" t="s">
        <v>200</v>
      </c>
      <c r="F1287" s="9" t="s">
        <v>173</v>
      </c>
      <c r="G1287" s="9"/>
      <c r="H1287" s="9" t="n">
        <v>39</v>
      </c>
      <c r="I1287" s="9" t="s">
        <v>117</v>
      </c>
    </row>
    <row r="1288" customFormat="false" ht="15" hidden="false" customHeight="false" outlineLevel="0" collapsed="false">
      <c r="A1288" s="9" t="s">
        <v>3705</v>
      </c>
      <c r="B1288" s="9" t="s">
        <v>3706</v>
      </c>
      <c r="C1288" s="9" t="s">
        <v>199</v>
      </c>
      <c r="D1288" s="9" t="s">
        <v>198</v>
      </c>
      <c r="E1288" s="9" t="s">
        <v>200</v>
      </c>
      <c r="F1288" s="9" t="s">
        <v>173</v>
      </c>
      <c r="G1288" s="9"/>
      <c r="H1288" s="9" t="n">
        <v>54</v>
      </c>
      <c r="I1288" s="9" t="s">
        <v>117</v>
      </c>
    </row>
    <row r="1289" customFormat="false" ht="15" hidden="false" customHeight="false" outlineLevel="0" collapsed="false">
      <c r="A1289" s="9" t="s">
        <v>2096</v>
      </c>
      <c r="B1289" s="9" t="s">
        <v>3707</v>
      </c>
      <c r="C1289" s="9" t="s">
        <v>235</v>
      </c>
      <c r="D1289" s="9" t="s">
        <v>234</v>
      </c>
      <c r="E1289" s="9" t="s">
        <v>106</v>
      </c>
      <c r="F1289" s="9" t="s">
        <v>173</v>
      </c>
      <c r="G1289" s="9"/>
      <c r="H1289" s="9" t="n">
        <v>4</v>
      </c>
      <c r="I1289" s="9" t="s">
        <v>117</v>
      </c>
    </row>
    <row r="1290" customFormat="false" ht="15" hidden="false" customHeight="false" outlineLevel="0" collapsed="false">
      <c r="A1290" s="9" t="s">
        <v>3708</v>
      </c>
      <c r="B1290" s="9" t="s">
        <v>3709</v>
      </c>
      <c r="C1290" s="9" t="s">
        <v>235</v>
      </c>
      <c r="D1290" s="9" t="s">
        <v>234</v>
      </c>
      <c r="E1290" s="9" t="s">
        <v>106</v>
      </c>
      <c r="F1290" s="9" t="s">
        <v>173</v>
      </c>
      <c r="G1290" s="9"/>
      <c r="H1290" s="9" t="n">
        <v>7</v>
      </c>
      <c r="I1290" s="9" t="s">
        <v>117</v>
      </c>
    </row>
    <row r="1291" customFormat="false" ht="15" hidden="false" customHeight="false" outlineLevel="0" collapsed="false">
      <c r="A1291" s="9" t="s">
        <v>3710</v>
      </c>
      <c r="B1291" s="9" t="s">
        <v>3711</v>
      </c>
      <c r="C1291" s="9" t="s">
        <v>105</v>
      </c>
      <c r="D1291" s="9" t="s">
        <v>104</v>
      </c>
      <c r="E1291" s="9" t="s">
        <v>106</v>
      </c>
      <c r="F1291" s="9" t="s">
        <v>108</v>
      </c>
      <c r="G1291" s="9"/>
      <c r="H1291" s="9" t="n">
        <v>1</v>
      </c>
      <c r="I1291" s="9" t="s">
        <v>103</v>
      </c>
    </row>
    <row r="1292" customFormat="false" ht="15" hidden="false" customHeight="false" outlineLevel="0" collapsed="false">
      <c r="A1292" s="9" t="s">
        <v>1774</v>
      </c>
      <c r="B1292" s="9" t="s">
        <v>3712</v>
      </c>
      <c r="C1292" s="9" t="s">
        <v>112</v>
      </c>
      <c r="D1292" s="9" t="s">
        <v>111</v>
      </c>
      <c r="E1292" s="9" t="s">
        <v>106</v>
      </c>
      <c r="F1292" s="9" t="s">
        <v>108</v>
      </c>
      <c r="G1292" s="9"/>
      <c r="H1292" s="9" t="n">
        <v>1</v>
      </c>
      <c r="I1292" s="9" t="s">
        <v>103</v>
      </c>
    </row>
    <row r="1293" customFormat="false" ht="15" hidden="false" customHeight="false" outlineLevel="0" collapsed="false">
      <c r="A1293" s="9" t="s">
        <v>1629</v>
      </c>
      <c r="B1293" s="9" t="s">
        <v>3713</v>
      </c>
      <c r="C1293" s="9" t="s">
        <v>130</v>
      </c>
      <c r="D1293" s="9" t="s">
        <v>129</v>
      </c>
      <c r="E1293" s="9" t="s">
        <v>106</v>
      </c>
      <c r="F1293" s="9" t="s">
        <v>108</v>
      </c>
      <c r="G1293" s="9"/>
      <c r="H1293" s="9" t="n">
        <v>1</v>
      </c>
      <c r="I1293" s="9" t="s">
        <v>103</v>
      </c>
    </row>
    <row r="1294" customFormat="false" ht="15" hidden="false" customHeight="false" outlineLevel="0" collapsed="false">
      <c r="A1294" s="9" t="s">
        <v>1816</v>
      </c>
      <c r="B1294" s="9" t="s">
        <v>3714</v>
      </c>
      <c r="C1294" s="9" t="s">
        <v>130</v>
      </c>
      <c r="D1294" s="9" t="s">
        <v>129</v>
      </c>
      <c r="E1294" s="9" t="s">
        <v>106</v>
      </c>
      <c r="F1294" s="9" t="s">
        <v>108</v>
      </c>
      <c r="G1294" s="9"/>
      <c r="H1294" s="9" t="n">
        <v>2</v>
      </c>
      <c r="I1294" s="9" t="s">
        <v>103</v>
      </c>
    </row>
    <row r="1295" customFormat="false" ht="15" hidden="false" customHeight="false" outlineLevel="0" collapsed="false">
      <c r="A1295" s="9" t="s">
        <v>3715</v>
      </c>
      <c r="B1295" s="9" t="s">
        <v>2739</v>
      </c>
      <c r="C1295" s="9" t="s">
        <v>130</v>
      </c>
      <c r="D1295" s="9" t="s">
        <v>129</v>
      </c>
      <c r="E1295" s="9" t="s">
        <v>106</v>
      </c>
      <c r="F1295" s="9" t="s">
        <v>108</v>
      </c>
      <c r="G1295" s="9"/>
      <c r="H1295" s="9" t="n">
        <v>3</v>
      </c>
      <c r="I1295" s="9" t="s">
        <v>103</v>
      </c>
    </row>
    <row r="1296" customFormat="false" ht="15" hidden="false" customHeight="false" outlineLevel="0" collapsed="false">
      <c r="A1296" s="9" t="s">
        <v>3716</v>
      </c>
      <c r="B1296" s="9" t="s">
        <v>2052</v>
      </c>
      <c r="C1296" s="9" t="s">
        <v>184</v>
      </c>
      <c r="D1296" s="9" t="s">
        <v>183</v>
      </c>
      <c r="E1296" s="9" t="s">
        <v>106</v>
      </c>
      <c r="F1296" s="9" t="s">
        <v>108</v>
      </c>
      <c r="G1296" s="9"/>
      <c r="H1296" s="9" t="n">
        <v>2</v>
      </c>
      <c r="I1296" s="9" t="s">
        <v>143</v>
      </c>
    </row>
    <row r="1297" customFormat="false" ht="15" hidden="false" customHeight="false" outlineLevel="0" collapsed="false">
      <c r="A1297" s="9" t="s">
        <v>3717</v>
      </c>
      <c r="B1297" s="9" t="s">
        <v>1966</v>
      </c>
      <c r="C1297" s="9" t="s">
        <v>184</v>
      </c>
      <c r="D1297" s="9" t="s">
        <v>183</v>
      </c>
      <c r="E1297" s="9" t="s">
        <v>106</v>
      </c>
      <c r="F1297" s="9" t="s">
        <v>108</v>
      </c>
      <c r="G1297" s="9" t="s">
        <v>1510</v>
      </c>
      <c r="H1297" s="9" t="n">
        <v>3</v>
      </c>
      <c r="I1297" s="9" t="s">
        <v>143</v>
      </c>
    </row>
    <row r="1298" customFormat="false" ht="15" hidden="false" customHeight="false" outlineLevel="0" collapsed="false">
      <c r="A1298" s="9" t="s">
        <v>3718</v>
      </c>
      <c r="B1298" s="9" t="s">
        <v>3719</v>
      </c>
      <c r="C1298" s="9" t="s">
        <v>211</v>
      </c>
      <c r="D1298" s="9" t="s">
        <v>210</v>
      </c>
      <c r="E1298" s="9" t="s">
        <v>106</v>
      </c>
      <c r="F1298" s="9" t="s">
        <v>108</v>
      </c>
      <c r="G1298" s="9"/>
      <c r="H1298" s="9" t="n">
        <v>3</v>
      </c>
      <c r="I1298" s="9" t="s">
        <v>103</v>
      </c>
    </row>
    <row r="1299" customFormat="false" ht="15" hidden="false" customHeight="false" outlineLevel="0" collapsed="false">
      <c r="A1299" s="9" t="s">
        <v>3720</v>
      </c>
      <c r="B1299" s="9" t="s">
        <v>656</v>
      </c>
      <c r="C1299" s="9" t="s">
        <v>220</v>
      </c>
      <c r="D1299" s="9" t="s">
        <v>219</v>
      </c>
      <c r="E1299" s="9" t="s">
        <v>106</v>
      </c>
      <c r="F1299" s="9" t="s">
        <v>108</v>
      </c>
      <c r="G1299" s="9"/>
      <c r="H1299" s="9" t="n">
        <v>3</v>
      </c>
      <c r="I1299" s="9" t="s">
        <v>103</v>
      </c>
    </row>
    <row r="1300" customFormat="false" ht="15" hidden="false" customHeight="false" outlineLevel="0" collapsed="false">
      <c r="A1300" s="9" t="s">
        <v>3721</v>
      </c>
      <c r="B1300" s="9" t="s">
        <v>3722</v>
      </c>
      <c r="C1300" s="9" t="s">
        <v>137</v>
      </c>
      <c r="D1300" s="9" t="s">
        <v>136</v>
      </c>
      <c r="E1300" s="9" t="s">
        <v>133</v>
      </c>
      <c r="F1300" s="9" t="s">
        <v>116</v>
      </c>
      <c r="G1300" s="9"/>
      <c r="H1300" s="9" t="n">
        <v>1</v>
      </c>
      <c r="I1300" s="9" t="s">
        <v>135</v>
      </c>
    </row>
    <row r="1301" customFormat="false" ht="15" hidden="false" customHeight="false" outlineLevel="0" collapsed="false">
      <c r="A1301" s="9" t="s">
        <v>1625</v>
      </c>
      <c r="B1301" s="9" t="s">
        <v>1988</v>
      </c>
      <c r="C1301" s="9" t="s">
        <v>137</v>
      </c>
      <c r="D1301" s="9" t="s">
        <v>136</v>
      </c>
      <c r="E1301" s="9" t="s">
        <v>133</v>
      </c>
      <c r="F1301" s="9" t="s">
        <v>116</v>
      </c>
      <c r="G1301" s="9"/>
      <c r="H1301" s="9" t="n">
        <v>2</v>
      </c>
      <c r="I1301" s="9" t="s">
        <v>135</v>
      </c>
    </row>
    <row r="1302" customFormat="false" ht="15" hidden="false" customHeight="false" outlineLevel="0" collapsed="false">
      <c r="A1302" s="9" t="s">
        <v>3723</v>
      </c>
      <c r="B1302" s="9" t="s">
        <v>3724</v>
      </c>
      <c r="C1302" s="9" t="s">
        <v>179</v>
      </c>
      <c r="D1302" s="9" t="s">
        <v>178</v>
      </c>
      <c r="E1302" s="9" t="s">
        <v>146</v>
      </c>
      <c r="F1302" s="9" t="s">
        <v>116</v>
      </c>
      <c r="G1302" s="9"/>
      <c r="H1302" s="9" t="n">
        <v>10</v>
      </c>
      <c r="I1302" s="9" t="s">
        <v>117</v>
      </c>
    </row>
    <row r="1303" customFormat="false" ht="15" hidden="false" customHeight="false" outlineLevel="0" collapsed="false">
      <c r="A1303" s="9" t="s">
        <v>3725</v>
      </c>
      <c r="B1303" s="9" t="s">
        <v>3726</v>
      </c>
      <c r="C1303" s="9" t="s">
        <v>237</v>
      </c>
      <c r="D1303" s="9" t="s">
        <v>236</v>
      </c>
      <c r="E1303" s="9" t="s">
        <v>237</v>
      </c>
      <c r="F1303" s="9" t="s">
        <v>116</v>
      </c>
      <c r="G1303" s="9"/>
      <c r="H1303" s="9" t="n">
        <v>2</v>
      </c>
      <c r="I1303" s="9" t="s">
        <v>117</v>
      </c>
    </row>
    <row r="1304" customFormat="false" ht="15" hidden="false" customHeight="false" outlineLevel="0" collapsed="false">
      <c r="A1304" s="9" t="s">
        <v>3727</v>
      </c>
      <c r="B1304" s="9" t="s">
        <v>3728</v>
      </c>
      <c r="C1304" s="9" t="s">
        <v>237</v>
      </c>
      <c r="D1304" s="9" t="s">
        <v>236</v>
      </c>
      <c r="E1304" s="9" t="s">
        <v>237</v>
      </c>
      <c r="F1304" s="9" t="s">
        <v>116</v>
      </c>
      <c r="G1304" s="9"/>
      <c r="H1304" s="9" t="n">
        <v>3</v>
      </c>
      <c r="I1304" s="9" t="s">
        <v>117</v>
      </c>
    </row>
    <row r="1305" customFormat="false" ht="15" hidden="false" customHeight="false" outlineLevel="0" collapsed="false">
      <c r="A1305" s="9" t="s">
        <v>3247</v>
      </c>
      <c r="B1305" s="9" t="s">
        <v>3729</v>
      </c>
      <c r="C1305" s="9" t="s">
        <v>237</v>
      </c>
      <c r="D1305" s="9" t="s">
        <v>236</v>
      </c>
      <c r="E1305" s="9" t="s">
        <v>237</v>
      </c>
      <c r="F1305" s="9" t="s">
        <v>116</v>
      </c>
      <c r="G1305" s="9"/>
      <c r="H1305" s="9" t="n">
        <v>4</v>
      </c>
      <c r="I1305" s="9" t="s">
        <v>117</v>
      </c>
    </row>
    <row r="1306" customFormat="false" ht="15" hidden="false" customHeight="false" outlineLevel="0" collapsed="false">
      <c r="A1306" s="9" t="s">
        <v>3730</v>
      </c>
      <c r="B1306" s="9" t="s">
        <v>3731</v>
      </c>
      <c r="C1306" s="9" t="s">
        <v>237</v>
      </c>
      <c r="D1306" s="9" t="s">
        <v>236</v>
      </c>
      <c r="E1306" s="9" t="s">
        <v>237</v>
      </c>
      <c r="F1306" s="9" t="s">
        <v>116</v>
      </c>
      <c r="G1306" s="9" t="s">
        <v>1510</v>
      </c>
      <c r="H1306" s="9" t="n">
        <v>16</v>
      </c>
      <c r="I1306" s="9" t="s">
        <v>117</v>
      </c>
    </row>
    <row r="1307" customFormat="false" ht="15" hidden="false" customHeight="false" outlineLevel="0" collapsed="false">
      <c r="A1307" s="9" t="s">
        <v>3732</v>
      </c>
      <c r="B1307" s="9" t="s">
        <v>3733</v>
      </c>
      <c r="C1307" s="9" t="s">
        <v>237</v>
      </c>
      <c r="D1307" s="9" t="s">
        <v>236</v>
      </c>
      <c r="E1307" s="9" t="s">
        <v>237</v>
      </c>
      <c r="F1307" s="9" t="s">
        <v>116</v>
      </c>
      <c r="G1307" s="9" t="s">
        <v>1510</v>
      </c>
      <c r="H1307" s="9" t="n">
        <v>18</v>
      </c>
      <c r="I1307" s="9" t="s">
        <v>117</v>
      </c>
    </row>
    <row r="1308" customFormat="false" ht="15" hidden="false" customHeight="false" outlineLevel="0" collapsed="false">
      <c r="A1308" s="9" t="s">
        <v>1756</v>
      </c>
      <c r="B1308" s="9" t="s">
        <v>3734</v>
      </c>
      <c r="C1308" s="9" t="s">
        <v>237</v>
      </c>
      <c r="D1308" s="9" t="s">
        <v>236</v>
      </c>
      <c r="E1308" s="9" t="s">
        <v>237</v>
      </c>
      <c r="F1308" s="9" t="s">
        <v>116</v>
      </c>
      <c r="G1308" s="9" t="s">
        <v>1510</v>
      </c>
      <c r="H1308" s="9" t="n">
        <v>19</v>
      </c>
      <c r="I1308" s="9" t="s">
        <v>117</v>
      </c>
    </row>
    <row r="1309" customFormat="false" ht="15" hidden="false" customHeight="false" outlineLevel="0" collapsed="false">
      <c r="A1309" s="9" t="s">
        <v>3735</v>
      </c>
      <c r="B1309" s="9" t="s">
        <v>2007</v>
      </c>
      <c r="C1309" s="9" t="s">
        <v>237</v>
      </c>
      <c r="D1309" s="9" t="s">
        <v>236</v>
      </c>
      <c r="E1309" s="9" t="s">
        <v>237</v>
      </c>
      <c r="F1309" s="9" t="s">
        <v>116</v>
      </c>
      <c r="G1309" s="9" t="s">
        <v>1510</v>
      </c>
      <c r="H1309" s="9" t="n">
        <v>21</v>
      </c>
      <c r="I1309" s="9" t="s">
        <v>117</v>
      </c>
    </row>
    <row r="1310" customFormat="false" ht="15" hidden="false" customHeight="false" outlineLevel="0" collapsed="false">
      <c r="A1310" s="9" t="s">
        <v>3736</v>
      </c>
      <c r="B1310" s="9" t="s">
        <v>3731</v>
      </c>
      <c r="C1310" s="9" t="s">
        <v>237</v>
      </c>
      <c r="D1310" s="9" t="s">
        <v>236</v>
      </c>
      <c r="E1310" s="9" t="s">
        <v>237</v>
      </c>
      <c r="F1310" s="9" t="s">
        <v>116</v>
      </c>
      <c r="G1310" s="9" t="s">
        <v>1510</v>
      </c>
      <c r="H1310" s="9" t="n">
        <v>22</v>
      </c>
      <c r="I1310" s="9" t="s">
        <v>117</v>
      </c>
    </row>
    <row r="1311" customFormat="false" ht="15" hidden="false" customHeight="false" outlineLevel="0" collapsed="false">
      <c r="A1311" s="9" t="s">
        <v>3737</v>
      </c>
      <c r="B1311" s="9" t="s">
        <v>3738</v>
      </c>
      <c r="C1311" s="9" t="s">
        <v>146</v>
      </c>
      <c r="D1311" s="9" t="s">
        <v>238</v>
      </c>
      <c r="E1311" s="9" t="s">
        <v>146</v>
      </c>
      <c r="F1311" s="9" t="s">
        <v>116</v>
      </c>
      <c r="G1311" s="9"/>
      <c r="H1311" s="9" t="n">
        <v>2</v>
      </c>
      <c r="I1311" s="9" t="s">
        <v>117</v>
      </c>
    </row>
    <row r="1312" customFormat="false" ht="15" hidden="false" customHeight="false" outlineLevel="0" collapsed="false">
      <c r="A1312" s="9" t="s">
        <v>3739</v>
      </c>
      <c r="B1312" s="9" t="s">
        <v>3740</v>
      </c>
      <c r="C1312" s="9" t="s">
        <v>146</v>
      </c>
      <c r="D1312" s="9" t="s">
        <v>238</v>
      </c>
      <c r="E1312" s="9" t="s">
        <v>146</v>
      </c>
      <c r="F1312" s="9" t="s">
        <v>116</v>
      </c>
      <c r="G1312" s="9"/>
      <c r="H1312" s="9" t="n">
        <v>6</v>
      </c>
      <c r="I1312" s="9" t="s">
        <v>117</v>
      </c>
    </row>
    <row r="1313" customFormat="false" ht="15" hidden="false" customHeight="false" outlineLevel="0" collapsed="false">
      <c r="A1313" s="9" t="s">
        <v>3741</v>
      </c>
      <c r="B1313" s="9" t="s">
        <v>3742</v>
      </c>
      <c r="C1313" s="9" t="s">
        <v>146</v>
      </c>
      <c r="D1313" s="9" t="s">
        <v>238</v>
      </c>
      <c r="E1313" s="9" t="s">
        <v>146</v>
      </c>
      <c r="F1313" s="9" t="s">
        <v>116</v>
      </c>
      <c r="G1313" s="9"/>
      <c r="H1313" s="9" t="n">
        <v>7</v>
      </c>
      <c r="I1313" s="9" t="s">
        <v>117</v>
      </c>
    </row>
    <row r="1314" customFormat="false" ht="15" hidden="false" customHeight="false" outlineLevel="0" collapsed="false">
      <c r="A1314" s="9" t="s">
        <v>1592</v>
      </c>
      <c r="B1314" s="9" t="s">
        <v>3743</v>
      </c>
      <c r="C1314" s="9" t="s">
        <v>146</v>
      </c>
      <c r="D1314" s="9" t="s">
        <v>238</v>
      </c>
      <c r="E1314" s="9" t="s">
        <v>146</v>
      </c>
      <c r="F1314" s="9" t="s">
        <v>116</v>
      </c>
      <c r="G1314" s="9"/>
      <c r="H1314" s="9" t="n">
        <v>8</v>
      </c>
      <c r="I1314" s="9" t="s">
        <v>117</v>
      </c>
    </row>
    <row r="1315" customFormat="false" ht="15" hidden="false" customHeight="false" outlineLevel="0" collapsed="false">
      <c r="A1315" s="9" t="s">
        <v>3744</v>
      </c>
      <c r="B1315" s="9" t="s">
        <v>3745</v>
      </c>
      <c r="C1315" s="9" t="s">
        <v>146</v>
      </c>
      <c r="D1315" s="9" t="s">
        <v>238</v>
      </c>
      <c r="E1315" s="9" t="s">
        <v>146</v>
      </c>
      <c r="F1315" s="9" t="s">
        <v>116</v>
      </c>
      <c r="G1315" s="9"/>
      <c r="H1315" s="9" t="n">
        <v>9</v>
      </c>
      <c r="I1315" s="9" t="s">
        <v>117</v>
      </c>
    </row>
    <row r="1316" customFormat="false" ht="15" hidden="false" customHeight="false" outlineLevel="0" collapsed="false">
      <c r="A1316" s="9" t="s">
        <v>3746</v>
      </c>
      <c r="B1316" s="9" t="s">
        <v>3747</v>
      </c>
      <c r="C1316" s="9" t="s">
        <v>243</v>
      </c>
      <c r="D1316" s="9" t="s">
        <v>242</v>
      </c>
      <c r="E1316" s="9" t="s">
        <v>115</v>
      </c>
      <c r="F1316" s="9" t="s">
        <v>116</v>
      </c>
      <c r="G1316" s="9"/>
      <c r="H1316" s="9" t="n">
        <v>12</v>
      </c>
      <c r="I1316" s="9" t="s">
        <v>117</v>
      </c>
    </row>
    <row r="1317" customFormat="false" ht="15" hidden="false" customHeight="false" outlineLevel="0" collapsed="false">
      <c r="A1317" s="9" t="s">
        <v>3748</v>
      </c>
      <c r="B1317" s="9" t="s">
        <v>3749</v>
      </c>
      <c r="C1317" s="9" t="s">
        <v>243</v>
      </c>
      <c r="D1317" s="9" t="s">
        <v>242</v>
      </c>
      <c r="E1317" s="9" t="s">
        <v>115</v>
      </c>
      <c r="F1317" s="9" t="s">
        <v>116</v>
      </c>
      <c r="G1317" s="9" t="s">
        <v>1510</v>
      </c>
      <c r="H1317" s="9" t="n">
        <v>13</v>
      </c>
      <c r="I1317" s="9" t="s">
        <v>117</v>
      </c>
    </row>
    <row r="1318" customFormat="false" ht="15" hidden="false" customHeight="false" outlineLevel="0" collapsed="false">
      <c r="A1318" s="9" t="s">
        <v>3750</v>
      </c>
      <c r="B1318" s="9" t="s">
        <v>3751</v>
      </c>
      <c r="C1318" s="9" t="s">
        <v>243</v>
      </c>
      <c r="D1318" s="9" t="s">
        <v>242</v>
      </c>
      <c r="E1318" s="9" t="s">
        <v>115</v>
      </c>
      <c r="F1318" s="9" t="s">
        <v>116</v>
      </c>
      <c r="G1318" s="9" t="s">
        <v>1510</v>
      </c>
      <c r="H1318" s="9" t="n">
        <v>16</v>
      </c>
      <c r="I1318" s="9" t="s">
        <v>117</v>
      </c>
    </row>
    <row r="1319" customFormat="false" ht="15" hidden="false" customHeight="false" outlineLevel="0" collapsed="false">
      <c r="A1319" s="9" t="s">
        <v>3752</v>
      </c>
      <c r="B1319" s="9" t="s">
        <v>3753</v>
      </c>
      <c r="C1319" s="9" t="s">
        <v>243</v>
      </c>
      <c r="D1319" s="9" t="s">
        <v>242</v>
      </c>
      <c r="E1319" s="9" t="s">
        <v>115</v>
      </c>
      <c r="F1319" s="9" t="s">
        <v>116</v>
      </c>
      <c r="G1319" s="9" t="s">
        <v>1510</v>
      </c>
      <c r="H1319" s="9" t="n">
        <v>17</v>
      </c>
      <c r="I1319" s="9" t="s">
        <v>117</v>
      </c>
    </row>
    <row r="1320" customFormat="false" ht="15" hidden="false" customHeight="false" outlineLevel="0" collapsed="false">
      <c r="A1320" s="9" t="s">
        <v>3754</v>
      </c>
      <c r="B1320" s="9" t="s">
        <v>2025</v>
      </c>
      <c r="C1320" s="9" t="s">
        <v>243</v>
      </c>
      <c r="D1320" s="9" t="s">
        <v>242</v>
      </c>
      <c r="E1320" s="9" t="s">
        <v>115</v>
      </c>
      <c r="F1320" s="9" t="s">
        <v>116</v>
      </c>
      <c r="G1320" s="9" t="s">
        <v>1510</v>
      </c>
      <c r="H1320" s="9" t="n">
        <v>18</v>
      </c>
      <c r="I1320" s="9" t="s">
        <v>117</v>
      </c>
    </row>
    <row r="1321" customFormat="false" ht="15" hidden="false" customHeight="false" outlineLevel="0" collapsed="false">
      <c r="A1321" s="9" t="s">
        <v>3755</v>
      </c>
      <c r="B1321" s="9" t="s">
        <v>3756</v>
      </c>
      <c r="C1321" s="9" t="s">
        <v>127</v>
      </c>
      <c r="D1321" s="9" t="s">
        <v>126</v>
      </c>
      <c r="E1321" s="9" t="s">
        <v>100</v>
      </c>
      <c r="F1321" s="9" t="s">
        <v>128</v>
      </c>
      <c r="G1321" s="9" t="s">
        <v>3757</v>
      </c>
      <c r="H1321" s="9" t="n">
        <v>1</v>
      </c>
      <c r="I1321" s="9" t="s">
        <v>103</v>
      </c>
    </row>
    <row r="1322" customFormat="false" ht="15" hidden="false" customHeight="false" outlineLevel="0" collapsed="false">
      <c r="A1322" s="9" t="s">
        <v>3758</v>
      </c>
      <c r="B1322" s="9" t="s">
        <v>2265</v>
      </c>
      <c r="C1322" s="9" t="s">
        <v>139</v>
      </c>
      <c r="D1322" s="9" t="s">
        <v>138</v>
      </c>
      <c r="E1322" s="9" t="s">
        <v>140</v>
      </c>
      <c r="F1322" s="9" t="s">
        <v>128</v>
      </c>
      <c r="G1322" s="9"/>
      <c r="H1322" s="9" t="n">
        <v>2</v>
      </c>
      <c r="I1322" s="9" t="s">
        <v>117</v>
      </c>
    </row>
    <row r="1323" customFormat="false" ht="15" hidden="false" customHeight="false" outlineLevel="0" collapsed="false">
      <c r="A1323" s="9" t="s">
        <v>3759</v>
      </c>
      <c r="B1323" s="9" t="s">
        <v>2027</v>
      </c>
      <c r="C1323" s="9" t="s">
        <v>139</v>
      </c>
      <c r="D1323" s="9" t="s">
        <v>138</v>
      </c>
      <c r="E1323" s="9" t="s">
        <v>140</v>
      </c>
      <c r="F1323" s="9" t="s">
        <v>128</v>
      </c>
      <c r="G1323" s="9"/>
      <c r="H1323" s="9" t="n">
        <v>4</v>
      </c>
      <c r="I1323" s="9" t="s">
        <v>117</v>
      </c>
    </row>
    <row r="1324" customFormat="false" ht="15" hidden="false" customHeight="false" outlineLevel="0" collapsed="false">
      <c r="A1324" s="9" t="s">
        <v>3760</v>
      </c>
      <c r="B1324" s="9" t="s">
        <v>3761</v>
      </c>
      <c r="C1324" s="9" t="s">
        <v>139</v>
      </c>
      <c r="D1324" s="9" t="s">
        <v>138</v>
      </c>
      <c r="E1324" s="9" t="s">
        <v>140</v>
      </c>
      <c r="F1324" s="9" t="s">
        <v>128</v>
      </c>
      <c r="G1324" s="9"/>
      <c r="H1324" s="9" t="n">
        <v>5</v>
      </c>
      <c r="I1324" s="9" t="s">
        <v>117</v>
      </c>
    </row>
    <row r="1325" customFormat="false" ht="15" hidden="false" customHeight="false" outlineLevel="0" collapsed="false">
      <c r="A1325" s="9" t="s">
        <v>3762</v>
      </c>
      <c r="B1325" s="9" t="s">
        <v>3763</v>
      </c>
      <c r="C1325" s="9" t="s">
        <v>139</v>
      </c>
      <c r="D1325" s="9" t="s">
        <v>138</v>
      </c>
      <c r="E1325" s="9" t="s">
        <v>140</v>
      </c>
      <c r="F1325" s="9" t="s">
        <v>128</v>
      </c>
      <c r="G1325" s="9"/>
      <c r="H1325" s="9" t="n">
        <v>7</v>
      </c>
      <c r="I1325" s="9" t="s">
        <v>117</v>
      </c>
    </row>
    <row r="1326" customFormat="false" ht="15" hidden="false" customHeight="false" outlineLevel="0" collapsed="false">
      <c r="A1326" s="9" t="s">
        <v>3764</v>
      </c>
      <c r="B1326" s="9" t="s">
        <v>3765</v>
      </c>
      <c r="C1326" s="9" t="s">
        <v>139</v>
      </c>
      <c r="D1326" s="9" t="s">
        <v>138</v>
      </c>
      <c r="E1326" s="9" t="s">
        <v>140</v>
      </c>
      <c r="F1326" s="9" t="s">
        <v>128</v>
      </c>
      <c r="G1326" s="9"/>
      <c r="H1326" s="9" t="n">
        <v>9</v>
      </c>
      <c r="I1326" s="9" t="s">
        <v>117</v>
      </c>
    </row>
    <row r="1327" customFormat="false" ht="15" hidden="false" customHeight="false" outlineLevel="0" collapsed="false">
      <c r="A1327" s="9" t="s">
        <v>3766</v>
      </c>
      <c r="B1327" s="9" t="s">
        <v>3767</v>
      </c>
      <c r="C1327" s="9" t="s">
        <v>194</v>
      </c>
      <c r="D1327" s="9" t="s">
        <v>193</v>
      </c>
      <c r="E1327" s="9" t="s">
        <v>140</v>
      </c>
      <c r="F1327" s="9" t="s">
        <v>128</v>
      </c>
      <c r="G1327" s="9"/>
      <c r="H1327" s="9" t="n">
        <v>1</v>
      </c>
      <c r="I1327" s="9" t="s">
        <v>135</v>
      </c>
    </row>
    <row r="1328" customFormat="false" ht="15" hidden="false" customHeight="false" outlineLevel="0" collapsed="false">
      <c r="A1328" s="9" t="s">
        <v>2096</v>
      </c>
      <c r="B1328" s="9" t="s">
        <v>3768</v>
      </c>
      <c r="C1328" s="9" t="s">
        <v>194</v>
      </c>
      <c r="D1328" s="9" t="s">
        <v>193</v>
      </c>
      <c r="E1328" s="9" t="s">
        <v>140</v>
      </c>
      <c r="F1328" s="9" t="s">
        <v>128</v>
      </c>
      <c r="G1328" s="9"/>
      <c r="H1328" s="9" t="n">
        <v>2</v>
      </c>
      <c r="I1328" s="9" t="s">
        <v>135</v>
      </c>
    </row>
    <row r="1329" customFormat="false" ht="15" hidden="false" customHeight="false" outlineLevel="0" collapsed="false">
      <c r="A1329" s="9" t="s">
        <v>3769</v>
      </c>
      <c r="B1329" s="9" t="s">
        <v>3770</v>
      </c>
      <c r="C1329" s="9" t="s">
        <v>194</v>
      </c>
      <c r="D1329" s="9" t="s">
        <v>193</v>
      </c>
      <c r="E1329" s="9" t="s">
        <v>140</v>
      </c>
      <c r="F1329" s="9" t="s">
        <v>128</v>
      </c>
      <c r="G1329" s="9" t="s">
        <v>1510</v>
      </c>
      <c r="H1329" s="9" t="n">
        <v>3</v>
      </c>
      <c r="I1329" s="9" t="s">
        <v>135</v>
      </c>
    </row>
    <row r="1330" customFormat="false" ht="15" hidden="false" customHeight="false" outlineLevel="0" collapsed="false">
      <c r="A1330" s="9" t="s">
        <v>3771</v>
      </c>
      <c r="B1330" s="9" t="s">
        <v>3772</v>
      </c>
      <c r="C1330" s="9" t="s">
        <v>194</v>
      </c>
      <c r="D1330" s="9" t="s">
        <v>193</v>
      </c>
      <c r="E1330" s="9" t="s">
        <v>140</v>
      </c>
      <c r="F1330" s="9" t="s">
        <v>128</v>
      </c>
      <c r="G1330" s="9"/>
      <c r="H1330" s="9" t="n">
        <v>5</v>
      </c>
      <c r="I1330" s="9" t="s">
        <v>135</v>
      </c>
    </row>
    <row r="1331" customFormat="false" ht="15" hidden="false" customHeight="false" outlineLevel="0" collapsed="false">
      <c r="A1331" s="9" t="s">
        <v>3773</v>
      </c>
      <c r="B1331" s="9" t="s">
        <v>2468</v>
      </c>
      <c r="C1331" s="9" t="s">
        <v>194</v>
      </c>
      <c r="D1331" s="9" t="s">
        <v>193</v>
      </c>
      <c r="E1331" s="9" t="s">
        <v>140</v>
      </c>
      <c r="F1331" s="9" t="s">
        <v>128</v>
      </c>
      <c r="G1331" s="9"/>
      <c r="H1331" s="9" t="n">
        <v>6</v>
      </c>
      <c r="I1331" s="9" t="s">
        <v>135</v>
      </c>
    </row>
    <row r="1332" customFormat="false" ht="15" hidden="false" customHeight="false" outlineLevel="0" collapsed="false">
      <c r="A1332" s="9" t="s">
        <v>1800</v>
      </c>
      <c r="B1332" s="9" t="s">
        <v>3774</v>
      </c>
      <c r="C1332" s="9" t="s">
        <v>245</v>
      </c>
      <c r="D1332" s="9" t="s">
        <v>244</v>
      </c>
      <c r="E1332" s="9" t="s">
        <v>100</v>
      </c>
      <c r="F1332" s="9" t="s">
        <v>128</v>
      </c>
      <c r="G1332" s="9"/>
      <c r="H1332" s="9" t="n">
        <v>2</v>
      </c>
      <c r="I1332" s="9" t="s">
        <v>117</v>
      </c>
    </row>
    <row r="1333" customFormat="false" ht="15" hidden="false" customHeight="false" outlineLevel="0" collapsed="false">
      <c r="A1333" s="9" t="s">
        <v>1570</v>
      </c>
      <c r="B1333" s="9" t="s">
        <v>3775</v>
      </c>
      <c r="C1333" s="9" t="s">
        <v>245</v>
      </c>
      <c r="D1333" s="9" t="s">
        <v>244</v>
      </c>
      <c r="E1333" s="9" t="s">
        <v>100</v>
      </c>
      <c r="F1333" s="9" t="s">
        <v>128</v>
      </c>
      <c r="G1333" s="9" t="s">
        <v>1631</v>
      </c>
      <c r="H1333" s="9" t="n">
        <v>3</v>
      </c>
      <c r="I1333" s="9" t="s">
        <v>117</v>
      </c>
    </row>
    <row r="1334" customFormat="false" ht="15" hidden="false" customHeight="false" outlineLevel="0" collapsed="false">
      <c r="A1334" s="9" t="s">
        <v>1850</v>
      </c>
      <c r="B1334" s="9" t="s">
        <v>3776</v>
      </c>
      <c r="C1334" s="9" t="s">
        <v>132</v>
      </c>
      <c r="D1334" s="9" t="s">
        <v>131</v>
      </c>
      <c r="E1334" s="9" t="s">
        <v>133</v>
      </c>
      <c r="F1334" s="9" t="s">
        <v>134</v>
      </c>
      <c r="G1334" s="9" t="s">
        <v>1631</v>
      </c>
      <c r="H1334" s="9" t="n">
        <v>2</v>
      </c>
      <c r="I1334" s="9" t="s">
        <v>135</v>
      </c>
    </row>
    <row r="1335" customFormat="false" ht="15" hidden="false" customHeight="false" outlineLevel="0" collapsed="false">
      <c r="A1335" s="9" t="s">
        <v>1677</v>
      </c>
      <c r="B1335" s="9" t="s">
        <v>2036</v>
      </c>
      <c r="C1335" s="9" t="s">
        <v>145</v>
      </c>
      <c r="D1335" s="9" t="s">
        <v>144</v>
      </c>
      <c r="E1335" s="9" t="s">
        <v>146</v>
      </c>
      <c r="F1335" s="9" t="s">
        <v>134</v>
      </c>
      <c r="G1335" s="9"/>
      <c r="H1335" s="9" t="n">
        <v>3</v>
      </c>
      <c r="I1335" s="9" t="s">
        <v>135</v>
      </c>
    </row>
    <row r="1336" customFormat="false" ht="15" hidden="false" customHeight="false" outlineLevel="0" collapsed="false">
      <c r="A1336" s="9" t="s">
        <v>3716</v>
      </c>
      <c r="B1336" s="9" t="s">
        <v>3777</v>
      </c>
      <c r="C1336" s="9" t="s">
        <v>159</v>
      </c>
      <c r="D1336" s="9" t="s">
        <v>158</v>
      </c>
      <c r="E1336" s="9" t="s">
        <v>133</v>
      </c>
      <c r="F1336" s="9" t="s">
        <v>134</v>
      </c>
      <c r="G1336" s="9"/>
      <c r="H1336" s="9" t="n">
        <v>2</v>
      </c>
      <c r="I1336" s="9" t="s">
        <v>143</v>
      </c>
    </row>
    <row r="1337" customFormat="false" ht="15" hidden="false" customHeight="false" outlineLevel="0" collapsed="false">
      <c r="A1337" s="9" t="s">
        <v>2220</v>
      </c>
      <c r="B1337" s="9" t="s">
        <v>3778</v>
      </c>
      <c r="C1337" s="9" t="s">
        <v>159</v>
      </c>
      <c r="D1337" s="9" t="s">
        <v>158</v>
      </c>
      <c r="E1337" s="9" t="s">
        <v>133</v>
      </c>
      <c r="F1337" s="9" t="s">
        <v>134</v>
      </c>
      <c r="G1337" s="9"/>
      <c r="H1337" s="9" t="n">
        <v>3</v>
      </c>
      <c r="I1337" s="9" t="s">
        <v>143</v>
      </c>
    </row>
    <row r="1338" customFormat="false" ht="15" hidden="false" customHeight="false" outlineLevel="0" collapsed="false">
      <c r="A1338" s="9" t="s">
        <v>3779</v>
      </c>
      <c r="B1338" s="9" t="s">
        <v>3780</v>
      </c>
      <c r="C1338" s="9" t="s">
        <v>159</v>
      </c>
      <c r="D1338" s="9" t="s">
        <v>158</v>
      </c>
      <c r="E1338" s="9" t="s">
        <v>133</v>
      </c>
      <c r="F1338" s="9" t="s">
        <v>134</v>
      </c>
      <c r="G1338" s="9"/>
      <c r="H1338" s="9" t="n">
        <v>5</v>
      </c>
      <c r="I1338" s="9" t="s">
        <v>143</v>
      </c>
    </row>
    <row r="1339" customFormat="false" ht="15" hidden="false" customHeight="false" outlineLevel="0" collapsed="false">
      <c r="A1339" s="9" t="s">
        <v>1774</v>
      </c>
      <c r="B1339" s="9" t="s">
        <v>3781</v>
      </c>
      <c r="C1339" s="9" t="s">
        <v>161</v>
      </c>
      <c r="D1339" s="9" t="s">
        <v>160</v>
      </c>
      <c r="E1339" s="9" t="s">
        <v>133</v>
      </c>
      <c r="F1339" s="9" t="s">
        <v>134</v>
      </c>
      <c r="G1339" s="9" t="s">
        <v>1510</v>
      </c>
      <c r="H1339" s="9" t="n">
        <v>1</v>
      </c>
      <c r="I1339" s="9" t="s">
        <v>143</v>
      </c>
    </row>
    <row r="1340" customFormat="false" ht="15" hidden="false" customHeight="false" outlineLevel="0" collapsed="false">
      <c r="A1340" s="9" t="s">
        <v>1677</v>
      </c>
      <c r="B1340" s="9" t="s">
        <v>3782</v>
      </c>
      <c r="C1340" s="9" t="s">
        <v>161</v>
      </c>
      <c r="D1340" s="9" t="s">
        <v>160</v>
      </c>
      <c r="E1340" s="9" t="s">
        <v>133</v>
      </c>
      <c r="F1340" s="9" t="s">
        <v>134</v>
      </c>
      <c r="G1340" s="9" t="s">
        <v>1631</v>
      </c>
      <c r="H1340" s="9" t="n">
        <v>3</v>
      </c>
      <c r="I1340" s="9" t="s">
        <v>143</v>
      </c>
    </row>
    <row r="1341" customFormat="false" ht="15" hidden="false" customHeight="false" outlineLevel="0" collapsed="false">
      <c r="A1341" s="9" t="s">
        <v>3783</v>
      </c>
      <c r="B1341" s="9" t="s">
        <v>3784</v>
      </c>
      <c r="C1341" s="9" t="s">
        <v>208</v>
      </c>
      <c r="D1341" s="9" t="s">
        <v>207</v>
      </c>
      <c r="E1341" s="9" t="s">
        <v>133</v>
      </c>
      <c r="F1341" s="9" t="s">
        <v>134</v>
      </c>
      <c r="G1341" s="9"/>
      <c r="H1341" s="9" t="n">
        <v>1</v>
      </c>
      <c r="I1341" s="9" t="s">
        <v>209</v>
      </c>
    </row>
    <row r="1342" customFormat="false" ht="15" hidden="false" customHeight="false" outlineLevel="0" collapsed="false">
      <c r="A1342" s="9" t="s">
        <v>2527</v>
      </c>
      <c r="B1342" s="9" t="s">
        <v>3785</v>
      </c>
      <c r="C1342" s="9" t="s">
        <v>208</v>
      </c>
      <c r="D1342" s="9" t="s">
        <v>207</v>
      </c>
      <c r="E1342" s="9" t="s">
        <v>133</v>
      </c>
      <c r="F1342" s="9" t="s">
        <v>134</v>
      </c>
      <c r="G1342" s="9" t="s">
        <v>1510</v>
      </c>
      <c r="H1342" s="9" t="n">
        <v>5</v>
      </c>
      <c r="I1342" s="9" t="s">
        <v>209</v>
      </c>
    </row>
    <row r="1343" customFormat="false" ht="15" hidden="false" customHeight="false" outlineLevel="0" collapsed="false">
      <c r="A1343" s="9" t="s">
        <v>3786</v>
      </c>
      <c r="B1343" s="9" t="s">
        <v>3787</v>
      </c>
      <c r="C1343" s="9" t="s">
        <v>150</v>
      </c>
      <c r="D1343" s="9" t="s">
        <v>149</v>
      </c>
      <c r="E1343" s="9" t="s">
        <v>151</v>
      </c>
      <c r="F1343" s="9" t="s">
        <v>152</v>
      </c>
      <c r="G1343" s="9"/>
      <c r="H1343" s="9" t="n">
        <v>1</v>
      </c>
      <c r="I1343" s="9" t="s">
        <v>117</v>
      </c>
    </row>
    <row r="1344" customFormat="false" ht="15" hidden="false" customHeight="false" outlineLevel="0" collapsed="false">
      <c r="A1344" s="9" t="s">
        <v>561</v>
      </c>
      <c r="B1344" s="9" t="s">
        <v>3788</v>
      </c>
      <c r="C1344" s="9" t="s">
        <v>150</v>
      </c>
      <c r="D1344" s="9" t="s">
        <v>149</v>
      </c>
      <c r="E1344" s="9" t="s">
        <v>151</v>
      </c>
      <c r="F1344" s="9" t="s">
        <v>152</v>
      </c>
      <c r="G1344" s="9"/>
      <c r="H1344" s="9" t="n">
        <v>3</v>
      </c>
      <c r="I1344" s="9" t="s">
        <v>117</v>
      </c>
    </row>
    <row r="1345" customFormat="false" ht="15" hidden="false" customHeight="false" outlineLevel="0" collapsed="false">
      <c r="A1345" s="9" t="s">
        <v>3265</v>
      </c>
      <c r="B1345" s="9" t="s">
        <v>3789</v>
      </c>
      <c r="C1345" s="9" t="s">
        <v>150</v>
      </c>
      <c r="D1345" s="9" t="s">
        <v>149</v>
      </c>
      <c r="E1345" s="9" t="s">
        <v>151</v>
      </c>
      <c r="F1345" s="9" t="s">
        <v>152</v>
      </c>
      <c r="G1345" s="9"/>
      <c r="H1345" s="9" t="n">
        <v>6</v>
      </c>
      <c r="I1345" s="9" t="s">
        <v>117</v>
      </c>
    </row>
    <row r="1346" customFormat="false" ht="15" hidden="false" customHeight="false" outlineLevel="0" collapsed="false">
      <c r="A1346" s="9" t="s">
        <v>3790</v>
      </c>
      <c r="B1346" s="9" t="s">
        <v>3791</v>
      </c>
      <c r="C1346" s="9" t="s">
        <v>150</v>
      </c>
      <c r="D1346" s="9" t="s">
        <v>149</v>
      </c>
      <c r="E1346" s="9" t="s">
        <v>151</v>
      </c>
      <c r="F1346" s="9" t="s">
        <v>152</v>
      </c>
      <c r="G1346" s="9" t="s">
        <v>1510</v>
      </c>
      <c r="H1346" s="9" t="n">
        <v>7</v>
      </c>
      <c r="I1346" s="9" t="s">
        <v>117</v>
      </c>
    </row>
    <row r="1347" customFormat="false" ht="15" hidden="false" customHeight="false" outlineLevel="0" collapsed="false">
      <c r="A1347" s="9" t="s">
        <v>3792</v>
      </c>
      <c r="B1347" s="9" t="s">
        <v>3793</v>
      </c>
      <c r="C1347" s="9" t="s">
        <v>167</v>
      </c>
      <c r="D1347" s="9" t="s">
        <v>166</v>
      </c>
      <c r="E1347" s="9" t="s">
        <v>151</v>
      </c>
      <c r="F1347" s="9" t="s">
        <v>152</v>
      </c>
      <c r="G1347" s="9"/>
      <c r="H1347" s="9" t="n">
        <v>1</v>
      </c>
      <c r="I1347" s="9" t="s">
        <v>117</v>
      </c>
    </row>
    <row r="1348" customFormat="false" ht="15" hidden="false" customHeight="false" outlineLevel="0" collapsed="false">
      <c r="A1348" s="9" t="s">
        <v>3794</v>
      </c>
      <c r="B1348" s="9" t="s">
        <v>3795</v>
      </c>
      <c r="C1348" s="9" t="s">
        <v>167</v>
      </c>
      <c r="D1348" s="9" t="s">
        <v>166</v>
      </c>
      <c r="E1348" s="9" t="s">
        <v>151</v>
      </c>
      <c r="F1348" s="9" t="s">
        <v>152</v>
      </c>
      <c r="G1348" s="9"/>
      <c r="H1348" s="9" t="n">
        <v>5</v>
      </c>
      <c r="I1348" s="9" t="s">
        <v>117</v>
      </c>
    </row>
    <row r="1349" customFormat="false" ht="15" hidden="false" customHeight="false" outlineLevel="0" collapsed="false">
      <c r="A1349" s="9" t="s">
        <v>3796</v>
      </c>
      <c r="B1349" s="9" t="s">
        <v>3797</v>
      </c>
      <c r="C1349" s="9" t="s">
        <v>167</v>
      </c>
      <c r="D1349" s="9" t="s">
        <v>166</v>
      </c>
      <c r="E1349" s="9" t="s">
        <v>151</v>
      </c>
      <c r="F1349" s="9" t="s">
        <v>152</v>
      </c>
      <c r="G1349" s="9"/>
      <c r="H1349" s="9" t="n">
        <v>6</v>
      </c>
      <c r="I1349" s="9" t="s">
        <v>117</v>
      </c>
    </row>
    <row r="1350" customFormat="false" ht="15" hidden="false" customHeight="false" outlineLevel="0" collapsed="false">
      <c r="A1350" s="9" t="s">
        <v>3798</v>
      </c>
      <c r="B1350" s="9" t="s">
        <v>3799</v>
      </c>
      <c r="C1350" s="9" t="s">
        <v>228</v>
      </c>
      <c r="D1350" s="9" t="s">
        <v>227</v>
      </c>
      <c r="E1350" s="9" t="s">
        <v>229</v>
      </c>
      <c r="F1350" s="9" t="s">
        <v>152</v>
      </c>
      <c r="G1350" s="9"/>
      <c r="H1350" s="9" t="n">
        <v>1</v>
      </c>
      <c r="I1350" s="9" t="s">
        <v>117</v>
      </c>
    </row>
    <row r="1351" customFormat="false" ht="15" hidden="false" customHeight="false" outlineLevel="0" collapsed="false">
      <c r="A1351" s="9" t="s">
        <v>3800</v>
      </c>
      <c r="B1351" s="9" t="s">
        <v>3799</v>
      </c>
      <c r="C1351" s="9" t="s">
        <v>228</v>
      </c>
      <c r="D1351" s="9" t="s">
        <v>227</v>
      </c>
      <c r="E1351" s="9" t="s">
        <v>229</v>
      </c>
      <c r="F1351" s="9" t="s">
        <v>152</v>
      </c>
      <c r="G1351" s="9"/>
      <c r="H1351" s="9" t="n">
        <v>3</v>
      </c>
      <c r="I1351" s="9" t="s">
        <v>117</v>
      </c>
    </row>
    <row r="1352" customFormat="false" ht="15" hidden="false" customHeight="false" outlineLevel="0" collapsed="false">
      <c r="A1352" s="9" t="s">
        <v>3801</v>
      </c>
      <c r="B1352" s="9" t="s">
        <v>2965</v>
      </c>
      <c r="C1352" s="9" t="s">
        <v>228</v>
      </c>
      <c r="D1352" s="9" t="s">
        <v>227</v>
      </c>
      <c r="E1352" s="9" t="s">
        <v>229</v>
      </c>
      <c r="F1352" s="9" t="s">
        <v>152</v>
      </c>
      <c r="G1352" s="9"/>
      <c r="H1352" s="9" t="n">
        <v>5</v>
      </c>
      <c r="I1352" s="9" t="s">
        <v>117</v>
      </c>
    </row>
    <row r="1353" customFormat="false" ht="15" hidden="false" customHeight="false" outlineLevel="0" collapsed="false">
      <c r="A1353" s="9" t="s">
        <v>3802</v>
      </c>
      <c r="B1353" s="9" t="s">
        <v>1689</v>
      </c>
      <c r="C1353" s="9" t="s">
        <v>228</v>
      </c>
      <c r="D1353" s="9" t="s">
        <v>227</v>
      </c>
      <c r="E1353" s="9" t="s">
        <v>229</v>
      </c>
      <c r="F1353" s="9" t="s">
        <v>152</v>
      </c>
      <c r="G1353" s="9"/>
      <c r="H1353" s="9" t="n">
        <v>7</v>
      </c>
      <c r="I1353" s="9" t="s">
        <v>117</v>
      </c>
    </row>
    <row r="1354" customFormat="false" ht="15" hidden="false" customHeight="false" outlineLevel="0" collapsed="false">
      <c r="A1354" s="9" t="s">
        <v>3803</v>
      </c>
      <c r="B1354" s="9" t="s">
        <v>3804</v>
      </c>
      <c r="C1354" s="9" t="s">
        <v>228</v>
      </c>
      <c r="D1354" s="9" t="s">
        <v>227</v>
      </c>
      <c r="E1354" s="9" t="s">
        <v>229</v>
      </c>
      <c r="F1354" s="9" t="s">
        <v>152</v>
      </c>
      <c r="G1354" s="9"/>
      <c r="H1354" s="9" t="n">
        <v>8</v>
      </c>
      <c r="I1354" s="9" t="s">
        <v>117</v>
      </c>
    </row>
    <row r="1355" customFormat="false" ht="15" hidden="false" customHeight="false" outlineLevel="0" collapsed="false">
      <c r="A1355" s="9" t="s">
        <v>3805</v>
      </c>
      <c r="B1355" s="9" t="s">
        <v>3806</v>
      </c>
      <c r="C1355" s="9" t="s">
        <v>228</v>
      </c>
      <c r="D1355" s="9" t="s">
        <v>227</v>
      </c>
      <c r="E1355" s="9" t="s">
        <v>229</v>
      </c>
      <c r="F1355" s="9" t="s">
        <v>152</v>
      </c>
      <c r="G1355" s="9"/>
      <c r="H1355" s="9" t="n">
        <v>9</v>
      </c>
      <c r="I1355" s="9" t="s">
        <v>117</v>
      </c>
    </row>
    <row r="1356" customFormat="false" ht="15" hidden="false" customHeight="false" outlineLevel="0" collapsed="false">
      <c r="A1356" s="9" t="s">
        <v>3807</v>
      </c>
      <c r="B1356" s="9" t="s">
        <v>3808</v>
      </c>
      <c r="C1356" s="9" t="s">
        <v>228</v>
      </c>
      <c r="D1356" s="9" t="s">
        <v>227</v>
      </c>
      <c r="E1356" s="9" t="s">
        <v>229</v>
      </c>
      <c r="F1356" s="9" t="s">
        <v>152</v>
      </c>
      <c r="G1356" s="9" t="s">
        <v>1510</v>
      </c>
      <c r="H1356" s="9" t="n">
        <v>27</v>
      </c>
      <c r="I1356" s="9" t="s">
        <v>117</v>
      </c>
    </row>
    <row r="1357" customFormat="false" ht="15" hidden="false" customHeight="false" outlineLevel="0" collapsed="false">
      <c r="A1357" s="9" t="s">
        <v>3809</v>
      </c>
      <c r="B1357" s="9" t="s">
        <v>3810</v>
      </c>
      <c r="C1357" s="9" t="s">
        <v>240</v>
      </c>
      <c r="D1357" s="9" t="s">
        <v>239</v>
      </c>
      <c r="E1357" s="9" t="s">
        <v>241</v>
      </c>
      <c r="F1357" s="9" t="s">
        <v>152</v>
      </c>
      <c r="G1357" s="9" t="s">
        <v>1631</v>
      </c>
      <c r="H1357" s="9" t="n">
        <v>4</v>
      </c>
      <c r="I1357" s="9" t="s">
        <v>117</v>
      </c>
    </row>
    <row r="1358" customFormat="false" ht="15" hidden="false" customHeight="false" outlineLevel="0" collapsed="false">
      <c r="A1358" s="9" t="s">
        <v>3811</v>
      </c>
      <c r="B1358" s="9" t="s">
        <v>3812</v>
      </c>
      <c r="C1358" s="9" t="s">
        <v>240</v>
      </c>
      <c r="D1358" s="9" t="s">
        <v>239</v>
      </c>
      <c r="E1358" s="9" t="s">
        <v>241</v>
      </c>
      <c r="F1358" s="9" t="s">
        <v>152</v>
      </c>
      <c r="G1358" s="9"/>
      <c r="H1358" s="9" t="n">
        <v>7</v>
      </c>
      <c r="I1358" s="9" t="s">
        <v>117</v>
      </c>
    </row>
    <row r="1359" customFormat="false" ht="15" hidden="false" customHeight="false" outlineLevel="0" collapsed="false">
      <c r="A1359" s="9" t="s">
        <v>3813</v>
      </c>
      <c r="B1359" s="9" t="s">
        <v>3814</v>
      </c>
      <c r="C1359" s="9" t="s">
        <v>240</v>
      </c>
      <c r="D1359" s="9" t="s">
        <v>239</v>
      </c>
      <c r="E1359" s="9" t="s">
        <v>241</v>
      </c>
      <c r="F1359" s="9" t="s">
        <v>152</v>
      </c>
      <c r="G1359" s="9"/>
      <c r="H1359" s="9" t="n">
        <v>11</v>
      </c>
      <c r="I1359" s="9" t="s">
        <v>117</v>
      </c>
    </row>
    <row r="1360" customFormat="false" ht="15" hidden="false" customHeight="false" outlineLevel="0" collapsed="false">
      <c r="A1360" s="9" t="s">
        <v>3815</v>
      </c>
      <c r="B1360" s="9" t="s">
        <v>3816</v>
      </c>
      <c r="C1360" s="9" t="s">
        <v>240</v>
      </c>
      <c r="D1360" s="9" t="s">
        <v>239</v>
      </c>
      <c r="E1360" s="9" t="s">
        <v>241</v>
      </c>
      <c r="F1360" s="9" t="s">
        <v>152</v>
      </c>
      <c r="G1360" s="9"/>
      <c r="H1360" s="9" t="n">
        <v>17</v>
      </c>
      <c r="I1360" s="9" t="s">
        <v>117</v>
      </c>
    </row>
    <row r="1361" customFormat="false" ht="15" hidden="false" customHeight="false" outlineLevel="0" collapsed="false">
      <c r="A1361" s="9" t="s">
        <v>3817</v>
      </c>
      <c r="B1361" s="9" t="s">
        <v>3818</v>
      </c>
      <c r="C1361" s="9" t="s">
        <v>240</v>
      </c>
      <c r="D1361" s="9" t="s">
        <v>239</v>
      </c>
      <c r="E1361" s="9" t="s">
        <v>241</v>
      </c>
      <c r="F1361" s="9" t="s">
        <v>152</v>
      </c>
      <c r="G1361" s="9"/>
      <c r="H1361" s="9" t="n">
        <v>18</v>
      </c>
      <c r="I1361" s="9" t="s">
        <v>117</v>
      </c>
    </row>
    <row r="1362" customFormat="false" ht="15" hidden="false" customHeight="false" outlineLevel="0" collapsed="false">
      <c r="A1362" s="9" t="s">
        <v>3819</v>
      </c>
      <c r="B1362" s="9" t="s">
        <v>3820</v>
      </c>
      <c r="C1362" s="9" t="s">
        <v>154</v>
      </c>
      <c r="D1362" s="9" t="s">
        <v>153</v>
      </c>
      <c r="E1362" s="9" t="s">
        <v>155</v>
      </c>
      <c r="F1362" s="9" t="s">
        <v>156</v>
      </c>
      <c r="G1362" s="9"/>
      <c r="H1362" s="9" t="n">
        <v>9</v>
      </c>
      <c r="I1362" s="9" t="s">
        <v>157</v>
      </c>
    </row>
    <row r="1363" customFormat="false" ht="15" hidden="false" customHeight="false" outlineLevel="0" collapsed="false">
      <c r="A1363" s="9" t="s">
        <v>3821</v>
      </c>
      <c r="B1363" s="9" t="s">
        <v>3822</v>
      </c>
      <c r="C1363" s="9" t="s">
        <v>154</v>
      </c>
      <c r="D1363" s="9" t="s">
        <v>153</v>
      </c>
      <c r="E1363" s="9" t="s">
        <v>155</v>
      </c>
      <c r="F1363" s="9" t="s">
        <v>156</v>
      </c>
      <c r="G1363" s="9"/>
      <c r="H1363" s="9" t="n">
        <v>10</v>
      </c>
      <c r="I1363" s="9" t="s">
        <v>157</v>
      </c>
    </row>
    <row r="1364" customFormat="false" ht="15" hidden="false" customHeight="false" outlineLevel="0" collapsed="false">
      <c r="A1364" s="9" t="s">
        <v>3823</v>
      </c>
      <c r="B1364" s="9" t="s">
        <v>3824</v>
      </c>
      <c r="C1364" s="9" t="s">
        <v>154</v>
      </c>
      <c r="D1364" s="9" t="s">
        <v>153</v>
      </c>
      <c r="E1364" s="9" t="s">
        <v>155</v>
      </c>
      <c r="F1364" s="9" t="s">
        <v>156</v>
      </c>
      <c r="G1364" s="9"/>
      <c r="H1364" s="9" t="n">
        <v>12</v>
      </c>
      <c r="I1364" s="9" t="s">
        <v>157</v>
      </c>
    </row>
    <row r="1365" customFormat="false" ht="15" hidden="false" customHeight="false" outlineLevel="0" collapsed="false">
      <c r="A1365" s="9" t="s">
        <v>3825</v>
      </c>
      <c r="B1365" s="9" t="s">
        <v>3826</v>
      </c>
      <c r="C1365" s="9" t="s">
        <v>154</v>
      </c>
      <c r="D1365" s="9" t="s">
        <v>153</v>
      </c>
      <c r="E1365" s="9" t="s">
        <v>155</v>
      </c>
      <c r="F1365" s="9" t="s">
        <v>156</v>
      </c>
      <c r="G1365" s="9"/>
      <c r="H1365" s="9" t="n">
        <v>14</v>
      </c>
      <c r="I1365" s="9" t="s">
        <v>157</v>
      </c>
    </row>
    <row r="1366" customFormat="false" ht="15" hidden="false" customHeight="false" outlineLevel="0" collapsed="false">
      <c r="A1366" s="9" t="s">
        <v>3039</v>
      </c>
      <c r="B1366" s="9" t="s">
        <v>3827</v>
      </c>
      <c r="C1366" s="9" t="s">
        <v>154</v>
      </c>
      <c r="D1366" s="9" t="s">
        <v>153</v>
      </c>
      <c r="E1366" s="9" t="s">
        <v>155</v>
      </c>
      <c r="F1366" s="9" t="s">
        <v>156</v>
      </c>
      <c r="G1366" s="9"/>
      <c r="H1366" s="9" t="n">
        <v>15</v>
      </c>
      <c r="I1366" s="9" t="s">
        <v>157</v>
      </c>
    </row>
    <row r="1367" customFormat="false" ht="15" hidden="false" customHeight="false" outlineLevel="0" collapsed="false">
      <c r="A1367" s="9" t="s">
        <v>1816</v>
      </c>
      <c r="B1367" s="9" t="s">
        <v>2097</v>
      </c>
      <c r="C1367" s="9" t="s">
        <v>154</v>
      </c>
      <c r="D1367" s="9" t="s">
        <v>153</v>
      </c>
      <c r="E1367" s="9" t="s">
        <v>155</v>
      </c>
      <c r="F1367" s="9" t="s">
        <v>156</v>
      </c>
      <c r="G1367" s="9"/>
      <c r="H1367" s="9" t="n">
        <v>16</v>
      </c>
      <c r="I1367" s="9" t="s">
        <v>157</v>
      </c>
    </row>
    <row r="1368" customFormat="false" ht="15" hidden="false" customHeight="false" outlineLevel="0" collapsed="false">
      <c r="A1368" s="9" t="s">
        <v>3828</v>
      </c>
      <c r="B1368" s="9" t="s">
        <v>2097</v>
      </c>
      <c r="C1368" s="9" t="s">
        <v>154</v>
      </c>
      <c r="D1368" s="9" t="s">
        <v>153</v>
      </c>
      <c r="E1368" s="9" t="s">
        <v>155</v>
      </c>
      <c r="F1368" s="9" t="s">
        <v>156</v>
      </c>
      <c r="G1368" s="9"/>
      <c r="H1368" s="9" t="n">
        <v>18</v>
      </c>
      <c r="I1368" s="9" t="s">
        <v>157</v>
      </c>
    </row>
    <row r="1369" customFormat="false" ht="15" hidden="false" customHeight="false" outlineLevel="0" collapsed="false">
      <c r="A1369" s="9" t="s">
        <v>3829</v>
      </c>
      <c r="B1369" s="9" t="s">
        <v>3830</v>
      </c>
      <c r="C1369" s="9" t="s">
        <v>154</v>
      </c>
      <c r="D1369" s="9" t="s">
        <v>153</v>
      </c>
      <c r="E1369" s="9" t="s">
        <v>155</v>
      </c>
      <c r="F1369" s="9" t="s">
        <v>156</v>
      </c>
      <c r="G1369" s="9"/>
      <c r="H1369" s="9" t="n">
        <v>19</v>
      </c>
      <c r="I1369" s="9" t="s">
        <v>157</v>
      </c>
    </row>
    <row r="1370" customFormat="false" ht="15" hidden="false" customHeight="false" outlineLevel="0" collapsed="false">
      <c r="A1370" s="9" t="s">
        <v>3831</v>
      </c>
      <c r="B1370" s="9" t="s">
        <v>3832</v>
      </c>
      <c r="C1370" s="9" t="s">
        <v>154</v>
      </c>
      <c r="D1370" s="9" t="s">
        <v>153</v>
      </c>
      <c r="E1370" s="9" t="s">
        <v>155</v>
      </c>
      <c r="F1370" s="9" t="s">
        <v>156</v>
      </c>
      <c r="G1370" s="9" t="s">
        <v>1510</v>
      </c>
      <c r="H1370" s="9" t="n">
        <v>25</v>
      </c>
      <c r="I1370" s="9" t="s">
        <v>157</v>
      </c>
    </row>
    <row r="1371" customFormat="false" ht="15" hidden="false" customHeight="false" outlineLevel="0" collapsed="false">
      <c r="A1371" s="9" t="s">
        <v>3833</v>
      </c>
      <c r="B1371" s="9" t="s">
        <v>3834</v>
      </c>
      <c r="C1371" s="9" t="s">
        <v>154</v>
      </c>
      <c r="D1371" s="9" t="s">
        <v>153</v>
      </c>
      <c r="E1371" s="9" t="s">
        <v>155</v>
      </c>
      <c r="F1371" s="9" t="s">
        <v>156</v>
      </c>
      <c r="G1371" s="9" t="s">
        <v>1510</v>
      </c>
      <c r="H1371" s="9" t="n">
        <v>26</v>
      </c>
      <c r="I1371" s="9" t="s">
        <v>157</v>
      </c>
    </row>
    <row r="1372" customFormat="false" ht="15" hidden="false" customHeight="false" outlineLevel="0" collapsed="false">
      <c r="A1372" s="9" t="s">
        <v>2724</v>
      </c>
      <c r="B1372" s="9" t="s">
        <v>2104</v>
      </c>
      <c r="C1372" s="9" t="s">
        <v>163</v>
      </c>
      <c r="D1372" s="9" t="s">
        <v>162</v>
      </c>
      <c r="E1372" s="9" t="s">
        <v>155</v>
      </c>
      <c r="F1372" s="9" t="s">
        <v>156</v>
      </c>
      <c r="G1372" s="9"/>
      <c r="H1372" s="9" t="n">
        <v>3</v>
      </c>
      <c r="I1372" s="9" t="s">
        <v>157</v>
      </c>
    </row>
    <row r="1373" customFormat="false" ht="15" hidden="false" customHeight="false" outlineLevel="0" collapsed="false">
      <c r="A1373" s="9" t="s">
        <v>3835</v>
      </c>
      <c r="B1373" s="9" t="s">
        <v>3836</v>
      </c>
      <c r="C1373" s="9" t="s">
        <v>188</v>
      </c>
      <c r="D1373" s="9" t="s">
        <v>187</v>
      </c>
      <c r="E1373" s="9" t="s">
        <v>155</v>
      </c>
      <c r="F1373" s="9" t="s">
        <v>156</v>
      </c>
      <c r="G1373" s="9"/>
      <c r="H1373" s="9" t="n">
        <v>3</v>
      </c>
      <c r="I1373" s="9" t="s">
        <v>135</v>
      </c>
    </row>
    <row r="1374" customFormat="false" ht="15" hidden="false" customHeight="false" outlineLevel="0" collapsed="false">
      <c r="A1374" s="9" t="s">
        <v>1576</v>
      </c>
      <c r="B1374" s="9" t="s">
        <v>3837</v>
      </c>
      <c r="C1374" s="9" t="s">
        <v>188</v>
      </c>
      <c r="D1374" s="9" t="s">
        <v>187</v>
      </c>
      <c r="E1374" s="9" t="s">
        <v>155</v>
      </c>
      <c r="F1374" s="9" t="s">
        <v>156</v>
      </c>
      <c r="G1374" s="9"/>
      <c r="H1374" s="9" t="n">
        <v>6</v>
      </c>
      <c r="I1374" s="9" t="s">
        <v>135</v>
      </c>
    </row>
    <row r="1375" customFormat="false" ht="15" hidden="false" customHeight="false" outlineLevel="0" collapsed="false">
      <c r="A1375" s="9" t="s">
        <v>3838</v>
      </c>
      <c r="B1375" s="9" t="s">
        <v>2116</v>
      </c>
      <c r="C1375" s="9" t="s">
        <v>202</v>
      </c>
      <c r="D1375" s="9" t="s">
        <v>201</v>
      </c>
      <c r="E1375" s="9" t="s">
        <v>155</v>
      </c>
      <c r="F1375" s="9" t="s">
        <v>156</v>
      </c>
      <c r="G1375" s="9"/>
      <c r="H1375" s="9" t="n">
        <v>4</v>
      </c>
      <c r="I1375" s="9" t="s">
        <v>135</v>
      </c>
    </row>
    <row r="1376" customFormat="false" ht="15" hidden="false" customHeight="false" outlineLevel="0" collapsed="false">
      <c r="A1376" s="9" t="s">
        <v>2127</v>
      </c>
      <c r="B1376" s="9" t="s">
        <v>3839</v>
      </c>
      <c r="C1376" s="9" t="s">
        <v>477</v>
      </c>
      <c r="D1376" s="9" t="s">
        <v>476</v>
      </c>
      <c r="E1376" s="9" t="s">
        <v>100</v>
      </c>
      <c r="F1376" s="9" t="s">
        <v>128</v>
      </c>
      <c r="G1376" s="9"/>
      <c r="H1376" s="9" t="n">
        <v>1</v>
      </c>
      <c r="I1376" s="9" t="s">
        <v>143</v>
      </c>
    </row>
    <row r="1377" customFormat="false" ht="15" hidden="false" customHeight="false" outlineLevel="0" collapsed="false">
      <c r="A1377" s="9" t="s">
        <v>3840</v>
      </c>
      <c r="B1377" s="9" t="s">
        <v>3841</v>
      </c>
      <c r="C1377" s="9" t="s">
        <v>477</v>
      </c>
      <c r="D1377" s="9" t="s">
        <v>476</v>
      </c>
      <c r="E1377" s="9" t="s">
        <v>100</v>
      </c>
      <c r="F1377" s="9" t="s">
        <v>128</v>
      </c>
      <c r="G1377" s="9"/>
      <c r="H1377" s="9" t="n">
        <v>3</v>
      </c>
      <c r="I1377" s="9" t="s">
        <v>143</v>
      </c>
    </row>
    <row r="1378" customFormat="false" ht="15" hidden="false" customHeight="false" outlineLevel="0" collapsed="false">
      <c r="A1378" s="9" t="s">
        <v>1850</v>
      </c>
      <c r="B1378" s="9" t="s">
        <v>3842</v>
      </c>
      <c r="C1378" s="9" t="s">
        <v>284</v>
      </c>
      <c r="D1378" s="9" t="s">
        <v>283</v>
      </c>
      <c r="E1378" s="9" t="s">
        <v>140</v>
      </c>
      <c r="F1378" s="9" t="s">
        <v>128</v>
      </c>
      <c r="G1378" s="9"/>
      <c r="H1378" s="9" t="n">
        <v>1</v>
      </c>
      <c r="I1378" s="9" t="s">
        <v>143</v>
      </c>
    </row>
    <row r="1379" customFormat="false" ht="15" hidden="false" customHeight="false" outlineLevel="0" collapsed="false">
      <c r="A1379" s="9" t="s">
        <v>1800</v>
      </c>
      <c r="B1379" s="9" t="s">
        <v>3842</v>
      </c>
      <c r="C1379" s="9" t="s">
        <v>284</v>
      </c>
      <c r="D1379" s="9" t="s">
        <v>283</v>
      </c>
      <c r="E1379" s="9" t="s">
        <v>140</v>
      </c>
      <c r="F1379" s="9" t="s">
        <v>128</v>
      </c>
      <c r="G1379" s="9"/>
      <c r="H1379" s="9" t="n">
        <v>3</v>
      </c>
      <c r="I1379" s="9" t="s">
        <v>143</v>
      </c>
    </row>
    <row r="1380" customFormat="false" ht="15" hidden="false" customHeight="false" outlineLevel="0" collapsed="false">
      <c r="A1380" s="9" t="s">
        <v>1679</v>
      </c>
      <c r="B1380" s="9" t="s">
        <v>3843</v>
      </c>
      <c r="C1380" s="9" t="s">
        <v>297</v>
      </c>
      <c r="D1380" s="9" t="s">
        <v>296</v>
      </c>
      <c r="E1380" s="9" t="s">
        <v>100</v>
      </c>
      <c r="F1380" s="9" t="s">
        <v>128</v>
      </c>
      <c r="G1380" s="9"/>
      <c r="H1380" s="9" t="n">
        <v>1</v>
      </c>
      <c r="I1380" s="9" t="s">
        <v>103</v>
      </c>
    </row>
    <row r="1381" customFormat="false" ht="15" hidden="false" customHeight="false" outlineLevel="0" collapsed="false">
      <c r="A1381" s="9" t="s">
        <v>1800</v>
      </c>
      <c r="B1381" s="9" t="s">
        <v>3844</v>
      </c>
      <c r="C1381" s="9" t="s">
        <v>368</v>
      </c>
      <c r="D1381" s="9" t="s">
        <v>367</v>
      </c>
      <c r="E1381" s="9" t="s">
        <v>140</v>
      </c>
      <c r="F1381" s="9" t="s">
        <v>128</v>
      </c>
      <c r="G1381" s="9"/>
      <c r="H1381" s="9" t="n">
        <v>1</v>
      </c>
      <c r="I1381" s="9" t="s">
        <v>135</v>
      </c>
    </row>
    <row r="1382" customFormat="false" ht="15" hidden="false" customHeight="false" outlineLevel="0" collapsed="false">
      <c r="A1382" s="9" t="s">
        <v>3716</v>
      </c>
      <c r="B1382" s="9" t="s">
        <v>3845</v>
      </c>
      <c r="C1382" s="9" t="s">
        <v>368</v>
      </c>
      <c r="D1382" s="9" t="s">
        <v>367</v>
      </c>
      <c r="E1382" s="9" t="s">
        <v>140</v>
      </c>
      <c r="F1382" s="9" t="s">
        <v>128</v>
      </c>
      <c r="G1382" s="9"/>
      <c r="H1382" s="9" t="n">
        <v>3</v>
      </c>
      <c r="I1382" s="9" t="s">
        <v>135</v>
      </c>
    </row>
    <row r="1383" customFormat="false" ht="15" hidden="false" customHeight="false" outlineLevel="0" collapsed="false">
      <c r="A1383" s="9" t="s">
        <v>3846</v>
      </c>
      <c r="B1383" s="9" t="s">
        <v>3847</v>
      </c>
      <c r="C1383" s="9" t="s">
        <v>368</v>
      </c>
      <c r="D1383" s="9" t="s">
        <v>367</v>
      </c>
      <c r="E1383" s="9" t="s">
        <v>140</v>
      </c>
      <c r="F1383" s="9" t="s">
        <v>128</v>
      </c>
      <c r="G1383" s="9"/>
      <c r="H1383" s="9" t="n">
        <v>4</v>
      </c>
      <c r="I1383" s="9" t="s">
        <v>135</v>
      </c>
    </row>
    <row r="1384" customFormat="false" ht="15" hidden="false" customHeight="false" outlineLevel="0" collapsed="false">
      <c r="A1384" s="9" t="s">
        <v>3848</v>
      </c>
      <c r="B1384" s="9" t="s">
        <v>3380</v>
      </c>
      <c r="C1384" s="9" t="s">
        <v>368</v>
      </c>
      <c r="D1384" s="9" t="s">
        <v>367</v>
      </c>
      <c r="E1384" s="9" t="s">
        <v>140</v>
      </c>
      <c r="F1384" s="9" t="s">
        <v>128</v>
      </c>
      <c r="G1384" s="9"/>
      <c r="H1384" s="9" t="n">
        <v>5</v>
      </c>
      <c r="I1384" s="9" t="s">
        <v>135</v>
      </c>
    </row>
    <row r="1385" customFormat="false" ht="15" hidden="false" customHeight="false" outlineLevel="0" collapsed="false">
      <c r="A1385" s="9" t="s">
        <v>3849</v>
      </c>
      <c r="B1385" s="9" t="s">
        <v>3850</v>
      </c>
      <c r="C1385" s="9" t="s">
        <v>368</v>
      </c>
      <c r="D1385" s="9" t="s">
        <v>367</v>
      </c>
      <c r="E1385" s="9" t="s">
        <v>140</v>
      </c>
      <c r="F1385" s="9" t="s">
        <v>128</v>
      </c>
      <c r="G1385" s="9" t="s">
        <v>1510</v>
      </c>
      <c r="H1385" s="9" t="n">
        <v>6</v>
      </c>
      <c r="I1385" s="9" t="s">
        <v>135</v>
      </c>
    </row>
    <row r="1386" customFormat="false" ht="15" hidden="false" customHeight="false" outlineLevel="0" collapsed="false">
      <c r="A1386" s="9" t="s">
        <v>3851</v>
      </c>
      <c r="B1386" s="9" t="s">
        <v>3852</v>
      </c>
      <c r="C1386" s="9" t="s">
        <v>248</v>
      </c>
      <c r="D1386" s="9" t="s">
        <v>247</v>
      </c>
      <c r="E1386" s="9" t="s">
        <v>133</v>
      </c>
      <c r="F1386" s="9" t="s">
        <v>125</v>
      </c>
      <c r="G1386" s="9"/>
      <c r="H1386" s="9" t="n">
        <v>2</v>
      </c>
      <c r="I1386" s="9" t="s">
        <v>135</v>
      </c>
    </row>
    <row r="1387" customFormat="false" ht="15" hidden="false" customHeight="false" outlineLevel="0" collapsed="false">
      <c r="A1387" s="9" t="s">
        <v>3853</v>
      </c>
      <c r="B1387" s="9" t="s">
        <v>3854</v>
      </c>
      <c r="C1387" s="9" t="s">
        <v>248</v>
      </c>
      <c r="D1387" s="9" t="s">
        <v>247</v>
      </c>
      <c r="E1387" s="9" t="s">
        <v>133</v>
      </c>
      <c r="F1387" s="9" t="s">
        <v>125</v>
      </c>
      <c r="G1387" s="9" t="s">
        <v>1510</v>
      </c>
      <c r="H1387" s="9" t="n">
        <v>7</v>
      </c>
      <c r="I1387" s="9" t="s">
        <v>135</v>
      </c>
    </row>
    <row r="1388" customFormat="false" ht="15" hidden="false" customHeight="false" outlineLevel="0" collapsed="false">
      <c r="A1388" s="9" t="s">
        <v>3855</v>
      </c>
      <c r="B1388" s="9" t="s">
        <v>3856</v>
      </c>
      <c r="C1388" s="9" t="s">
        <v>124</v>
      </c>
      <c r="D1388" s="9" t="s">
        <v>259</v>
      </c>
      <c r="E1388" s="9" t="s">
        <v>124</v>
      </c>
      <c r="F1388" s="9" t="s">
        <v>125</v>
      </c>
      <c r="G1388" s="9" t="s">
        <v>1543</v>
      </c>
      <c r="H1388" s="9" t="n">
        <v>1</v>
      </c>
      <c r="I1388" s="9" t="s">
        <v>117</v>
      </c>
    </row>
    <row r="1389" customFormat="false" ht="15" hidden="false" customHeight="false" outlineLevel="0" collapsed="false">
      <c r="A1389" s="9" t="s">
        <v>3857</v>
      </c>
      <c r="B1389" s="9" t="s">
        <v>3483</v>
      </c>
      <c r="C1389" s="9" t="s">
        <v>124</v>
      </c>
      <c r="D1389" s="9" t="s">
        <v>259</v>
      </c>
      <c r="E1389" s="9" t="s">
        <v>124</v>
      </c>
      <c r="F1389" s="9" t="s">
        <v>125</v>
      </c>
      <c r="G1389" s="9"/>
      <c r="H1389" s="9" t="n">
        <v>3</v>
      </c>
      <c r="I1389" s="9" t="s">
        <v>117</v>
      </c>
    </row>
    <row r="1390" customFormat="false" ht="15" hidden="false" customHeight="false" outlineLevel="0" collapsed="false">
      <c r="A1390" s="9" t="s">
        <v>3858</v>
      </c>
      <c r="B1390" s="9" t="s">
        <v>3053</v>
      </c>
      <c r="C1390" s="9" t="s">
        <v>124</v>
      </c>
      <c r="D1390" s="9" t="s">
        <v>259</v>
      </c>
      <c r="E1390" s="9" t="s">
        <v>124</v>
      </c>
      <c r="F1390" s="9" t="s">
        <v>125</v>
      </c>
      <c r="G1390" s="9" t="s">
        <v>3612</v>
      </c>
      <c r="H1390" s="9" t="n">
        <v>6</v>
      </c>
      <c r="I1390" s="9" t="s">
        <v>117</v>
      </c>
    </row>
    <row r="1391" customFormat="false" ht="15" hidden="false" customHeight="false" outlineLevel="0" collapsed="false">
      <c r="A1391" s="9" t="s">
        <v>3859</v>
      </c>
      <c r="B1391" s="9" t="s">
        <v>3860</v>
      </c>
      <c r="C1391" s="9" t="s">
        <v>124</v>
      </c>
      <c r="D1391" s="9" t="s">
        <v>259</v>
      </c>
      <c r="E1391" s="9" t="s">
        <v>124</v>
      </c>
      <c r="F1391" s="9" t="s">
        <v>125</v>
      </c>
      <c r="G1391" s="9"/>
      <c r="H1391" s="9" t="n">
        <v>8</v>
      </c>
      <c r="I1391" s="9" t="s">
        <v>117</v>
      </c>
    </row>
    <row r="1392" customFormat="false" ht="15" hidden="false" customHeight="false" outlineLevel="0" collapsed="false">
      <c r="A1392" s="9" t="s">
        <v>3861</v>
      </c>
      <c r="B1392" s="9" t="s">
        <v>3862</v>
      </c>
      <c r="C1392" s="9" t="s">
        <v>124</v>
      </c>
      <c r="D1392" s="9" t="s">
        <v>259</v>
      </c>
      <c r="E1392" s="9" t="s">
        <v>124</v>
      </c>
      <c r="F1392" s="9" t="s">
        <v>125</v>
      </c>
      <c r="G1392" s="9" t="s">
        <v>1510</v>
      </c>
      <c r="H1392" s="9" t="n">
        <v>10</v>
      </c>
      <c r="I1392" s="9" t="s">
        <v>117</v>
      </c>
    </row>
    <row r="1393" customFormat="false" ht="15" hidden="false" customHeight="false" outlineLevel="0" collapsed="false">
      <c r="A1393" s="9" t="s">
        <v>2428</v>
      </c>
      <c r="B1393" s="9" t="s">
        <v>3863</v>
      </c>
      <c r="C1393" s="9" t="s">
        <v>124</v>
      </c>
      <c r="D1393" s="9" t="s">
        <v>259</v>
      </c>
      <c r="E1393" s="9" t="s">
        <v>124</v>
      </c>
      <c r="F1393" s="9" t="s">
        <v>125</v>
      </c>
      <c r="G1393" s="9"/>
      <c r="H1393" s="9" t="n">
        <v>11</v>
      </c>
      <c r="I1393" s="9" t="s">
        <v>117</v>
      </c>
    </row>
    <row r="1394" customFormat="false" ht="15" hidden="false" customHeight="false" outlineLevel="0" collapsed="false">
      <c r="A1394" s="9" t="s">
        <v>3864</v>
      </c>
      <c r="B1394" s="9" t="s">
        <v>2150</v>
      </c>
      <c r="C1394" s="9" t="s">
        <v>124</v>
      </c>
      <c r="D1394" s="9" t="s">
        <v>259</v>
      </c>
      <c r="E1394" s="9" t="s">
        <v>124</v>
      </c>
      <c r="F1394" s="9" t="s">
        <v>125</v>
      </c>
      <c r="G1394" s="9"/>
      <c r="H1394" s="9" t="n">
        <v>14</v>
      </c>
      <c r="I1394" s="9" t="s">
        <v>117</v>
      </c>
    </row>
    <row r="1395" customFormat="false" ht="15" hidden="false" customHeight="false" outlineLevel="0" collapsed="false">
      <c r="A1395" s="9" t="s">
        <v>3865</v>
      </c>
      <c r="B1395" s="9" t="s">
        <v>3222</v>
      </c>
      <c r="C1395" s="9" t="s">
        <v>124</v>
      </c>
      <c r="D1395" s="9" t="s">
        <v>259</v>
      </c>
      <c r="E1395" s="9" t="s">
        <v>124</v>
      </c>
      <c r="F1395" s="9" t="s">
        <v>125</v>
      </c>
      <c r="G1395" s="9"/>
      <c r="H1395" s="9" t="n">
        <v>25</v>
      </c>
      <c r="I1395" s="9" t="s">
        <v>117</v>
      </c>
    </row>
    <row r="1396" customFormat="false" ht="15" hidden="false" customHeight="false" outlineLevel="0" collapsed="false">
      <c r="A1396" s="9" t="s">
        <v>1679</v>
      </c>
      <c r="B1396" s="9" t="s">
        <v>3866</v>
      </c>
      <c r="C1396" s="9" t="s">
        <v>124</v>
      </c>
      <c r="D1396" s="9" t="s">
        <v>259</v>
      </c>
      <c r="E1396" s="9" t="s">
        <v>124</v>
      </c>
      <c r="F1396" s="9" t="s">
        <v>125</v>
      </c>
      <c r="G1396" s="9"/>
      <c r="H1396" s="9" t="n">
        <v>26</v>
      </c>
      <c r="I1396" s="9" t="s">
        <v>117</v>
      </c>
    </row>
    <row r="1397" customFormat="false" ht="15" hidden="false" customHeight="false" outlineLevel="0" collapsed="false">
      <c r="A1397" s="9" t="s">
        <v>3867</v>
      </c>
      <c r="B1397" s="9" t="s">
        <v>3868</v>
      </c>
      <c r="C1397" s="9" t="s">
        <v>263</v>
      </c>
      <c r="D1397" s="9" t="s">
        <v>262</v>
      </c>
      <c r="E1397" s="9" t="s">
        <v>182</v>
      </c>
      <c r="F1397" s="9" t="s">
        <v>125</v>
      </c>
      <c r="G1397" s="9" t="s">
        <v>1631</v>
      </c>
      <c r="H1397" s="9" t="n">
        <v>6</v>
      </c>
      <c r="I1397" s="9" t="s">
        <v>117</v>
      </c>
    </row>
    <row r="1398" customFormat="false" ht="15" hidden="false" customHeight="false" outlineLevel="0" collapsed="false">
      <c r="A1398" s="9" t="s">
        <v>3869</v>
      </c>
      <c r="B1398" s="9" t="s">
        <v>1646</v>
      </c>
      <c r="C1398" s="9" t="s">
        <v>263</v>
      </c>
      <c r="D1398" s="9" t="s">
        <v>262</v>
      </c>
      <c r="E1398" s="9" t="s">
        <v>182</v>
      </c>
      <c r="F1398" s="9" t="s">
        <v>125</v>
      </c>
      <c r="G1398" s="9"/>
      <c r="H1398" s="9" t="n">
        <v>8</v>
      </c>
      <c r="I1398" s="9" t="s">
        <v>117</v>
      </c>
    </row>
    <row r="1399" customFormat="false" ht="15" hidden="false" customHeight="false" outlineLevel="0" collapsed="false">
      <c r="A1399" s="9" t="s">
        <v>3870</v>
      </c>
      <c r="B1399" s="9" t="s">
        <v>3871</v>
      </c>
      <c r="C1399" s="9" t="s">
        <v>263</v>
      </c>
      <c r="D1399" s="9" t="s">
        <v>262</v>
      </c>
      <c r="E1399" s="9" t="s">
        <v>182</v>
      </c>
      <c r="F1399" s="9" t="s">
        <v>125</v>
      </c>
      <c r="G1399" s="9"/>
      <c r="H1399" s="9" t="n">
        <v>9</v>
      </c>
      <c r="I1399" s="9" t="s">
        <v>117</v>
      </c>
    </row>
    <row r="1400" customFormat="false" ht="15" hidden="false" customHeight="false" outlineLevel="0" collapsed="false">
      <c r="A1400" s="9" t="s">
        <v>3872</v>
      </c>
      <c r="B1400" s="9" t="s">
        <v>3873</v>
      </c>
      <c r="C1400" s="9" t="s">
        <v>263</v>
      </c>
      <c r="D1400" s="9" t="s">
        <v>262</v>
      </c>
      <c r="E1400" s="9" t="s">
        <v>182</v>
      </c>
      <c r="F1400" s="9" t="s">
        <v>125</v>
      </c>
      <c r="G1400" s="9"/>
      <c r="H1400" s="9" t="n">
        <v>12</v>
      </c>
      <c r="I1400" s="9" t="s">
        <v>117</v>
      </c>
    </row>
    <row r="1401" customFormat="false" ht="15" hidden="false" customHeight="false" outlineLevel="0" collapsed="false">
      <c r="A1401" s="9" t="s">
        <v>3874</v>
      </c>
      <c r="B1401" s="9" t="s">
        <v>3875</v>
      </c>
      <c r="C1401" s="9" t="s">
        <v>263</v>
      </c>
      <c r="D1401" s="9" t="s">
        <v>262</v>
      </c>
      <c r="E1401" s="9" t="s">
        <v>182</v>
      </c>
      <c r="F1401" s="9" t="s">
        <v>125</v>
      </c>
      <c r="G1401" s="9" t="s">
        <v>1631</v>
      </c>
      <c r="H1401" s="9" t="n">
        <v>16</v>
      </c>
      <c r="I1401" s="9" t="s">
        <v>117</v>
      </c>
    </row>
    <row r="1402" customFormat="false" ht="15" hidden="false" customHeight="false" outlineLevel="0" collapsed="false">
      <c r="A1402" s="9" t="s">
        <v>3876</v>
      </c>
      <c r="B1402" s="9" t="s">
        <v>3877</v>
      </c>
      <c r="C1402" s="9" t="s">
        <v>263</v>
      </c>
      <c r="D1402" s="9" t="s">
        <v>262</v>
      </c>
      <c r="E1402" s="9" t="s">
        <v>182</v>
      </c>
      <c r="F1402" s="9" t="s">
        <v>125</v>
      </c>
      <c r="G1402" s="9" t="s">
        <v>1510</v>
      </c>
      <c r="H1402" s="9" t="n">
        <v>22</v>
      </c>
      <c r="I1402" s="9" t="s">
        <v>117</v>
      </c>
    </row>
    <row r="1403" customFormat="false" ht="15" hidden="false" customHeight="false" outlineLevel="0" collapsed="false">
      <c r="A1403" s="9" t="s">
        <v>3878</v>
      </c>
      <c r="B1403" s="9" t="s">
        <v>3879</v>
      </c>
      <c r="C1403" s="9" t="s">
        <v>263</v>
      </c>
      <c r="D1403" s="9" t="s">
        <v>262</v>
      </c>
      <c r="E1403" s="9" t="s">
        <v>182</v>
      </c>
      <c r="F1403" s="9" t="s">
        <v>125</v>
      </c>
      <c r="G1403" s="9" t="s">
        <v>1510</v>
      </c>
      <c r="H1403" s="9" t="n">
        <v>24</v>
      </c>
      <c r="I1403" s="9" t="s">
        <v>117</v>
      </c>
    </row>
    <row r="1404" customFormat="false" ht="15" hidden="false" customHeight="false" outlineLevel="0" collapsed="false">
      <c r="A1404" s="9" t="s">
        <v>3880</v>
      </c>
      <c r="B1404" s="9" t="s">
        <v>3881</v>
      </c>
      <c r="C1404" s="9" t="s">
        <v>263</v>
      </c>
      <c r="D1404" s="9" t="s">
        <v>262</v>
      </c>
      <c r="E1404" s="9" t="s">
        <v>182</v>
      </c>
      <c r="F1404" s="9" t="s">
        <v>125</v>
      </c>
      <c r="G1404" s="9" t="s">
        <v>1510</v>
      </c>
      <c r="H1404" s="9" t="n">
        <v>32</v>
      </c>
      <c r="I1404" s="9" t="s">
        <v>117</v>
      </c>
    </row>
    <row r="1405" customFormat="false" ht="15" hidden="false" customHeight="false" outlineLevel="0" collapsed="false">
      <c r="A1405" s="9" t="s">
        <v>1985</v>
      </c>
      <c r="B1405" s="9" t="s">
        <v>3882</v>
      </c>
      <c r="C1405" s="9" t="s">
        <v>263</v>
      </c>
      <c r="D1405" s="9" t="s">
        <v>262</v>
      </c>
      <c r="E1405" s="9" t="s">
        <v>182</v>
      </c>
      <c r="F1405" s="9" t="s">
        <v>125</v>
      </c>
      <c r="G1405" s="9" t="s">
        <v>1510</v>
      </c>
      <c r="H1405" s="9" t="n">
        <v>33</v>
      </c>
      <c r="I1405" s="9" t="s">
        <v>117</v>
      </c>
    </row>
    <row r="1406" customFormat="false" ht="15" hidden="false" customHeight="false" outlineLevel="0" collapsed="false">
      <c r="A1406" s="9" t="s">
        <v>3883</v>
      </c>
      <c r="B1406" s="9" t="s">
        <v>3884</v>
      </c>
      <c r="C1406" s="9" t="s">
        <v>216</v>
      </c>
      <c r="D1406" s="9" t="s">
        <v>264</v>
      </c>
      <c r="E1406" s="9" t="s">
        <v>216</v>
      </c>
      <c r="F1406" s="9" t="s">
        <v>125</v>
      </c>
      <c r="G1406" s="9"/>
      <c r="H1406" s="9" t="n">
        <v>6</v>
      </c>
      <c r="I1406" s="9" t="s">
        <v>157</v>
      </c>
    </row>
    <row r="1407" customFormat="false" ht="15" hidden="false" customHeight="false" outlineLevel="0" collapsed="false">
      <c r="A1407" s="9" t="s">
        <v>3885</v>
      </c>
      <c r="B1407" s="9" t="s">
        <v>3886</v>
      </c>
      <c r="C1407" s="9" t="s">
        <v>216</v>
      </c>
      <c r="D1407" s="9" t="s">
        <v>264</v>
      </c>
      <c r="E1407" s="9" t="s">
        <v>216</v>
      </c>
      <c r="F1407" s="9" t="s">
        <v>125</v>
      </c>
      <c r="G1407" s="9"/>
      <c r="H1407" s="9" t="n">
        <v>7</v>
      </c>
      <c r="I1407" s="9" t="s">
        <v>157</v>
      </c>
    </row>
    <row r="1408" customFormat="false" ht="15" hidden="false" customHeight="false" outlineLevel="0" collapsed="false">
      <c r="A1408" s="9" t="s">
        <v>3887</v>
      </c>
      <c r="B1408" s="9" t="s">
        <v>3888</v>
      </c>
      <c r="C1408" s="9" t="s">
        <v>216</v>
      </c>
      <c r="D1408" s="9" t="s">
        <v>264</v>
      </c>
      <c r="E1408" s="9" t="s">
        <v>216</v>
      </c>
      <c r="F1408" s="9" t="s">
        <v>125</v>
      </c>
      <c r="G1408" s="9"/>
      <c r="H1408" s="9" t="n">
        <v>9</v>
      </c>
      <c r="I1408" s="9" t="s">
        <v>157</v>
      </c>
    </row>
    <row r="1409" customFormat="false" ht="15" hidden="false" customHeight="false" outlineLevel="0" collapsed="false">
      <c r="A1409" s="9" t="s">
        <v>3889</v>
      </c>
      <c r="B1409" s="9" t="s">
        <v>3890</v>
      </c>
      <c r="C1409" s="9" t="s">
        <v>216</v>
      </c>
      <c r="D1409" s="9" t="s">
        <v>264</v>
      </c>
      <c r="E1409" s="9" t="s">
        <v>216</v>
      </c>
      <c r="F1409" s="9" t="s">
        <v>125</v>
      </c>
      <c r="G1409" s="9"/>
      <c r="H1409" s="9" t="n">
        <v>15</v>
      </c>
      <c r="I1409" s="9" t="s">
        <v>157</v>
      </c>
    </row>
    <row r="1410" customFormat="false" ht="15" hidden="false" customHeight="false" outlineLevel="0" collapsed="false">
      <c r="A1410" s="9" t="s">
        <v>3891</v>
      </c>
      <c r="B1410" s="9" t="s">
        <v>3892</v>
      </c>
      <c r="C1410" s="9" t="s">
        <v>216</v>
      </c>
      <c r="D1410" s="9" t="s">
        <v>264</v>
      </c>
      <c r="E1410" s="9" t="s">
        <v>216</v>
      </c>
      <c r="F1410" s="9" t="s">
        <v>125</v>
      </c>
      <c r="G1410" s="9"/>
      <c r="H1410" s="9" t="n">
        <v>21</v>
      </c>
      <c r="I1410" s="9" t="s">
        <v>157</v>
      </c>
    </row>
    <row r="1411" customFormat="false" ht="15" hidden="false" customHeight="false" outlineLevel="0" collapsed="false">
      <c r="A1411" s="9" t="s">
        <v>2315</v>
      </c>
      <c r="B1411" s="9" t="s">
        <v>3893</v>
      </c>
      <c r="C1411" s="9" t="s">
        <v>216</v>
      </c>
      <c r="D1411" s="9" t="s">
        <v>264</v>
      </c>
      <c r="E1411" s="9" t="s">
        <v>216</v>
      </c>
      <c r="F1411" s="9" t="s">
        <v>125</v>
      </c>
      <c r="G1411" s="9" t="s">
        <v>1510</v>
      </c>
      <c r="H1411" s="9" t="n">
        <v>31</v>
      </c>
      <c r="I1411" s="9" t="s">
        <v>157</v>
      </c>
    </row>
    <row r="1412" customFormat="false" ht="15" hidden="false" customHeight="false" outlineLevel="0" collapsed="false">
      <c r="A1412" s="9" t="s">
        <v>2157</v>
      </c>
      <c r="B1412" s="9" t="s">
        <v>3894</v>
      </c>
      <c r="C1412" s="9" t="s">
        <v>216</v>
      </c>
      <c r="D1412" s="9" t="s">
        <v>264</v>
      </c>
      <c r="E1412" s="9" t="s">
        <v>216</v>
      </c>
      <c r="F1412" s="9" t="s">
        <v>125</v>
      </c>
      <c r="G1412" s="9" t="s">
        <v>1510</v>
      </c>
      <c r="H1412" s="9" t="n">
        <v>36</v>
      </c>
      <c r="I1412" s="9" t="s">
        <v>157</v>
      </c>
    </row>
    <row r="1413" customFormat="false" ht="15" hidden="false" customHeight="false" outlineLevel="0" collapsed="false">
      <c r="A1413" s="9" t="s">
        <v>3895</v>
      </c>
      <c r="B1413" s="9" t="s">
        <v>3896</v>
      </c>
      <c r="C1413" s="9" t="s">
        <v>216</v>
      </c>
      <c r="D1413" s="9" t="s">
        <v>264</v>
      </c>
      <c r="E1413" s="9" t="s">
        <v>216</v>
      </c>
      <c r="F1413" s="9" t="s">
        <v>125</v>
      </c>
      <c r="G1413" s="9" t="s">
        <v>1510</v>
      </c>
      <c r="H1413" s="9" t="n">
        <v>38</v>
      </c>
      <c r="I1413" s="9" t="s">
        <v>157</v>
      </c>
    </row>
    <row r="1414" customFormat="false" ht="15" hidden="false" customHeight="false" outlineLevel="0" collapsed="false">
      <c r="A1414" s="9" t="s">
        <v>3137</v>
      </c>
      <c r="B1414" s="9" t="s">
        <v>3897</v>
      </c>
      <c r="C1414" s="9" t="s">
        <v>216</v>
      </c>
      <c r="D1414" s="9" t="s">
        <v>264</v>
      </c>
      <c r="E1414" s="9" t="s">
        <v>216</v>
      </c>
      <c r="F1414" s="9" t="s">
        <v>125</v>
      </c>
      <c r="G1414" s="9" t="s">
        <v>1510</v>
      </c>
      <c r="H1414" s="9" t="n">
        <v>39</v>
      </c>
      <c r="I1414" s="9" t="s">
        <v>157</v>
      </c>
    </row>
    <row r="1415" customFormat="false" ht="15" hidden="false" customHeight="false" outlineLevel="0" collapsed="false">
      <c r="A1415" s="9" t="s">
        <v>2141</v>
      </c>
      <c r="B1415" s="9" t="s">
        <v>2211</v>
      </c>
      <c r="C1415" s="9" t="s">
        <v>321</v>
      </c>
      <c r="D1415" s="9" t="s">
        <v>320</v>
      </c>
      <c r="E1415" s="9" t="s">
        <v>216</v>
      </c>
      <c r="F1415" s="9" t="s">
        <v>125</v>
      </c>
      <c r="G1415" s="9"/>
      <c r="H1415" s="9" t="n">
        <v>1</v>
      </c>
      <c r="I1415" s="9" t="s">
        <v>157</v>
      </c>
    </row>
    <row r="1416" customFormat="false" ht="15" hidden="false" customHeight="false" outlineLevel="0" collapsed="false">
      <c r="A1416" s="9" t="s">
        <v>3898</v>
      </c>
      <c r="B1416" s="9" t="s">
        <v>2211</v>
      </c>
      <c r="C1416" s="9" t="s">
        <v>321</v>
      </c>
      <c r="D1416" s="9" t="s">
        <v>320</v>
      </c>
      <c r="E1416" s="9" t="s">
        <v>216</v>
      </c>
      <c r="F1416" s="9" t="s">
        <v>125</v>
      </c>
      <c r="G1416" s="9"/>
      <c r="H1416" s="9" t="n">
        <v>3</v>
      </c>
      <c r="I1416" s="9" t="s">
        <v>157</v>
      </c>
    </row>
    <row r="1417" customFormat="false" ht="15" hidden="false" customHeight="false" outlineLevel="0" collapsed="false">
      <c r="A1417" s="9" t="s">
        <v>3899</v>
      </c>
      <c r="B1417" s="9" t="s">
        <v>2211</v>
      </c>
      <c r="C1417" s="9" t="s">
        <v>321</v>
      </c>
      <c r="D1417" s="9" t="s">
        <v>320</v>
      </c>
      <c r="E1417" s="9" t="s">
        <v>216</v>
      </c>
      <c r="F1417" s="9" t="s">
        <v>125</v>
      </c>
      <c r="G1417" s="9"/>
      <c r="H1417" s="9" t="n">
        <v>4</v>
      </c>
      <c r="I1417" s="9" t="s">
        <v>157</v>
      </c>
    </row>
    <row r="1418" customFormat="false" ht="15" hidden="false" customHeight="false" outlineLevel="0" collapsed="false">
      <c r="A1418" s="9" t="s">
        <v>3900</v>
      </c>
      <c r="B1418" s="9" t="s">
        <v>3901</v>
      </c>
      <c r="C1418" s="9" t="s">
        <v>321</v>
      </c>
      <c r="D1418" s="9" t="s">
        <v>320</v>
      </c>
      <c r="E1418" s="9" t="s">
        <v>216</v>
      </c>
      <c r="F1418" s="9" t="s">
        <v>125</v>
      </c>
      <c r="G1418" s="9"/>
      <c r="H1418" s="9" t="n">
        <v>13</v>
      </c>
      <c r="I1418" s="9" t="s">
        <v>157</v>
      </c>
    </row>
    <row r="1419" customFormat="false" ht="15" hidden="false" customHeight="false" outlineLevel="0" collapsed="false">
      <c r="A1419" s="9" t="s">
        <v>3902</v>
      </c>
      <c r="B1419" s="9" t="s">
        <v>1781</v>
      </c>
      <c r="C1419" s="9" t="s">
        <v>321</v>
      </c>
      <c r="D1419" s="9" t="s">
        <v>320</v>
      </c>
      <c r="E1419" s="9" t="s">
        <v>216</v>
      </c>
      <c r="F1419" s="9" t="s">
        <v>125</v>
      </c>
      <c r="G1419" s="9"/>
      <c r="H1419" s="9" t="n">
        <v>15</v>
      </c>
      <c r="I1419" s="9" t="s">
        <v>157</v>
      </c>
    </row>
    <row r="1420" customFormat="false" ht="15" hidden="false" customHeight="false" outlineLevel="0" collapsed="false">
      <c r="A1420" s="9" t="s">
        <v>3903</v>
      </c>
      <c r="B1420" s="9" t="s">
        <v>3904</v>
      </c>
      <c r="C1420" s="9" t="s">
        <v>199</v>
      </c>
      <c r="D1420" s="9" t="s">
        <v>198</v>
      </c>
      <c r="E1420" s="9" t="s">
        <v>200</v>
      </c>
      <c r="F1420" s="9" t="s">
        <v>173</v>
      </c>
      <c r="G1420" s="9" t="s">
        <v>1510</v>
      </c>
      <c r="H1420" s="9" t="n">
        <v>7</v>
      </c>
      <c r="I1420" s="9" t="s">
        <v>117</v>
      </c>
    </row>
    <row r="1421" customFormat="false" ht="15" hidden="false" customHeight="false" outlineLevel="0" collapsed="false">
      <c r="A1421" s="9" t="s">
        <v>3905</v>
      </c>
      <c r="B1421" s="9" t="s">
        <v>3906</v>
      </c>
      <c r="C1421" s="9" t="s">
        <v>140</v>
      </c>
      <c r="D1421" s="9" t="s">
        <v>418</v>
      </c>
      <c r="E1421" s="9" t="s">
        <v>140</v>
      </c>
      <c r="F1421" s="9" t="s">
        <v>173</v>
      </c>
      <c r="G1421" s="9"/>
      <c r="H1421" s="9" t="n">
        <v>2</v>
      </c>
      <c r="I1421" s="9" t="s">
        <v>117</v>
      </c>
    </row>
    <row r="1422" customFormat="false" ht="15" hidden="false" customHeight="false" outlineLevel="0" collapsed="false">
      <c r="A1422" s="9" t="s">
        <v>3907</v>
      </c>
      <c r="B1422" s="9" t="s">
        <v>3124</v>
      </c>
      <c r="C1422" s="9" t="s">
        <v>335</v>
      </c>
      <c r="D1422" s="9" t="s">
        <v>334</v>
      </c>
      <c r="E1422" s="9" t="s">
        <v>216</v>
      </c>
      <c r="F1422" s="9" t="s">
        <v>125</v>
      </c>
      <c r="G1422" s="9"/>
      <c r="H1422" s="9" t="n">
        <v>7</v>
      </c>
      <c r="I1422" s="9" t="s">
        <v>157</v>
      </c>
    </row>
    <row r="1423" customFormat="false" ht="15" hidden="false" customHeight="false" outlineLevel="0" collapsed="false">
      <c r="A1423" s="9" t="s">
        <v>3908</v>
      </c>
      <c r="B1423" s="9" t="s">
        <v>3909</v>
      </c>
      <c r="C1423" s="9" t="s">
        <v>335</v>
      </c>
      <c r="D1423" s="9" t="s">
        <v>334</v>
      </c>
      <c r="E1423" s="9" t="s">
        <v>216</v>
      </c>
      <c r="F1423" s="9" t="s">
        <v>125</v>
      </c>
      <c r="G1423" s="9" t="s">
        <v>1510</v>
      </c>
      <c r="H1423" s="9" t="n">
        <v>9</v>
      </c>
      <c r="I1423" s="9" t="s">
        <v>157</v>
      </c>
    </row>
    <row r="1424" customFormat="false" ht="15" hidden="false" customHeight="false" outlineLevel="0" collapsed="false">
      <c r="A1424" s="9" t="s">
        <v>3910</v>
      </c>
      <c r="B1424" s="9" t="s">
        <v>3911</v>
      </c>
      <c r="C1424" s="9" t="s">
        <v>335</v>
      </c>
      <c r="D1424" s="9" t="s">
        <v>334</v>
      </c>
      <c r="E1424" s="9" t="s">
        <v>216</v>
      </c>
      <c r="F1424" s="9" t="s">
        <v>125</v>
      </c>
      <c r="G1424" s="9" t="s">
        <v>1510</v>
      </c>
      <c r="H1424" s="9" t="n">
        <v>10</v>
      </c>
      <c r="I1424" s="9" t="s">
        <v>157</v>
      </c>
    </row>
    <row r="1425" customFormat="false" ht="15" hidden="false" customHeight="false" outlineLevel="0" collapsed="false">
      <c r="A1425" s="9" t="s">
        <v>3912</v>
      </c>
      <c r="B1425" s="9" t="s">
        <v>3913</v>
      </c>
      <c r="C1425" s="9" t="s">
        <v>335</v>
      </c>
      <c r="D1425" s="9" t="s">
        <v>334</v>
      </c>
      <c r="E1425" s="9" t="s">
        <v>216</v>
      </c>
      <c r="F1425" s="9" t="s">
        <v>125</v>
      </c>
      <c r="G1425" s="9" t="s">
        <v>1510</v>
      </c>
      <c r="H1425" s="9" t="n">
        <v>11</v>
      </c>
      <c r="I1425" s="9" t="s">
        <v>157</v>
      </c>
    </row>
    <row r="1426" customFormat="false" ht="15" hidden="false" customHeight="false" outlineLevel="0" collapsed="false">
      <c r="A1426" s="9" t="s">
        <v>1961</v>
      </c>
      <c r="B1426" s="9" t="s">
        <v>3914</v>
      </c>
      <c r="C1426" s="9" t="s">
        <v>286</v>
      </c>
      <c r="D1426" s="9" t="s">
        <v>285</v>
      </c>
      <c r="E1426" s="9" t="s">
        <v>133</v>
      </c>
      <c r="F1426" s="9" t="s">
        <v>134</v>
      </c>
      <c r="G1426" s="9"/>
      <c r="H1426" s="9" t="n">
        <v>1</v>
      </c>
      <c r="I1426" s="9" t="s">
        <v>103</v>
      </c>
    </row>
    <row r="1427" customFormat="false" ht="15" hidden="false" customHeight="false" outlineLevel="0" collapsed="false">
      <c r="A1427" s="9" t="s">
        <v>3915</v>
      </c>
      <c r="B1427" s="9" t="s">
        <v>1781</v>
      </c>
      <c r="C1427" s="9" t="s">
        <v>323</v>
      </c>
      <c r="D1427" s="9" t="s">
        <v>322</v>
      </c>
      <c r="E1427" s="9" t="s">
        <v>133</v>
      </c>
      <c r="F1427" s="9" t="s">
        <v>134</v>
      </c>
      <c r="G1427" s="9"/>
      <c r="H1427" s="9" t="n">
        <v>3</v>
      </c>
      <c r="I1427" s="9" t="s">
        <v>209</v>
      </c>
    </row>
    <row r="1428" customFormat="false" ht="15" hidden="false" customHeight="false" outlineLevel="0" collapsed="false">
      <c r="A1428" s="9" t="s">
        <v>2051</v>
      </c>
      <c r="B1428" s="9" t="s">
        <v>3916</v>
      </c>
      <c r="C1428" s="9" t="s">
        <v>323</v>
      </c>
      <c r="D1428" s="9" t="s">
        <v>322</v>
      </c>
      <c r="E1428" s="9" t="s">
        <v>133</v>
      </c>
      <c r="F1428" s="9" t="s">
        <v>134</v>
      </c>
      <c r="G1428" s="9"/>
      <c r="H1428" s="9" t="n">
        <v>6</v>
      </c>
      <c r="I1428" s="9" t="s">
        <v>209</v>
      </c>
    </row>
    <row r="1429" customFormat="false" ht="15" hidden="false" customHeight="false" outlineLevel="0" collapsed="false">
      <c r="A1429" s="9" t="s">
        <v>2375</v>
      </c>
      <c r="B1429" s="9" t="s">
        <v>3917</v>
      </c>
      <c r="C1429" s="9" t="s">
        <v>323</v>
      </c>
      <c r="D1429" s="9" t="s">
        <v>322</v>
      </c>
      <c r="E1429" s="9" t="s">
        <v>133</v>
      </c>
      <c r="F1429" s="9" t="s">
        <v>134</v>
      </c>
      <c r="G1429" s="9"/>
      <c r="H1429" s="9" t="n">
        <v>8</v>
      </c>
      <c r="I1429" s="9" t="s">
        <v>209</v>
      </c>
    </row>
    <row r="1430" customFormat="false" ht="15" hidden="false" customHeight="false" outlineLevel="0" collapsed="false">
      <c r="A1430" s="9" t="s">
        <v>3918</v>
      </c>
      <c r="B1430" s="9" t="s">
        <v>3919</v>
      </c>
      <c r="C1430" s="9" t="s">
        <v>323</v>
      </c>
      <c r="D1430" s="9" t="s">
        <v>322</v>
      </c>
      <c r="E1430" s="9" t="s">
        <v>133</v>
      </c>
      <c r="F1430" s="9" t="s">
        <v>134</v>
      </c>
      <c r="G1430" s="9"/>
      <c r="H1430" s="9" t="n">
        <v>12</v>
      </c>
      <c r="I1430" s="9" t="s">
        <v>209</v>
      </c>
    </row>
    <row r="1431" customFormat="false" ht="15" hidden="false" customHeight="false" outlineLevel="0" collapsed="false">
      <c r="A1431" s="9" t="s">
        <v>3920</v>
      </c>
      <c r="B1431" s="9" t="s">
        <v>3921</v>
      </c>
      <c r="C1431" s="9" t="s">
        <v>325</v>
      </c>
      <c r="D1431" s="9" t="s">
        <v>324</v>
      </c>
      <c r="E1431" s="9" t="s">
        <v>133</v>
      </c>
      <c r="F1431" s="9" t="s">
        <v>134</v>
      </c>
      <c r="G1431" s="9"/>
      <c r="H1431" s="9" t="n">
        <v>3</v>
      </c>
      <c r="I1431" s="9" t="s">
        <v>135</v>
      </c>
    </row>
    <row r="1432" customFormat="false" ht="15" hidden="false" customHeight="false" outlineLevel="0" collapsed="false">
      <c r="A1432" s="9" t="s">
        <v>3922</v>
      </c>
      <c r="B1432" s="9" t="s">
        <v>3923</v>
      </c>
      <c r="C1432" s="9" t="s">
        <v>325</v>
      </c>
      <c r="D1432" s="9" t="s">
        <v>324</v>
      </c>
      <c r="E1432" s="9" t="s">
        <v>133</v>
      </c>
      <c r="F1432" s="9" t="s">
        <v>134</v>
      </c>
      <c r="G1432" s="9" t="s">
        <v>1510</v>
      </c>
      <c r="H1432" s="9" t="n">
        <v>4</v>
      </c>
      <c r="I1432" s="9" t="s">
        <v>135</v>
      </c>
    </row>
    <row r="1433" customFormat="false" ht="15" hidden="false" customHeight="false" outlineLevel="0" collapsed="false">
      <c r="A1433" s="9" t="s">
        <v>1800</v>
      </c>
      <c r="B1433" s="9" t="s">
        <v>2513</v>
      </c>
      <c r="C1433" s="9" t="s">
        <v>329</v>
      </c>
      <c r="D1433" s="9" t="s">
        <v>328</v>
      </c>
      <c r="E1433" s="9" t="s">
        <v>133</v>
      </c>
      <c r="F1433" s="9" t="s">
        <v>134</v>
      </c>
      <c r="G1433" s="9"/>
      <c r="H1433" s="9" t="n">
        <v>1</v>
      </c>
      <c r="I1433" s="9" t="s">
        <v>143</v>
      </c>
    </row>
    <row r="1434" customFormat="false" ht="15" hidden="false" customHeight="false" outlineLevel="0" collapsed="false">
      <c r="A1434" s="9" t="s">
        <v>1774</v>
      </c>
      <c r="B1434" s="9" t="s">
        <v>3924</v>
      </c>
      <c r="C1434" s="9" t="s">
        <v>329</v>
      </c>
      <c r="D1434" s="9" t="s">
        <v>328</v>
      </c>
      <c r="E1434" s="9" t="s">
        <v>133</v>
      </c>
      <c r="F1434" s="9" t="s">
        <v>134</v>
      </c>
      <c r="G1434" s="9"/>
      <c r="H1434" s="9" t="n">
        <v>2</v>
      </c>
      <c r="I1434" s="9" t="s">
        <v>143</v>
      </c>
    </row>
    <row r="1435" customFormat="false" ht="15" hidden="false" customHeight="false" outlineLevel="0" collapsed="false">
      <c r="A1435" s="9" t="s">
        <v>3925</v>
      </c>
      <c r="B1435" s="9" t="s">
        <v>3926</v>
      </c>
      <c r="C1435" s="9" t="s">
        <v>356</v>
      </c>
      <c r="D1435" s="9" t="s">
        <v>355</v>
      </c>
      <c r="E1435" s="9" t="s">
        <v>146</v>
      </c>
      <c r="F1435" s="9" t="s">
        <v>134</v>
      </c>
      <c r="G1435" s="9"/>
      <c r="H1435" s="9" t="n">
        <v>1</v>
      </c>
      <c r="I1435" s="9" t="s">
        <v>135</v>
      </c>
    </row>
    <row r="1436" customFormat="false" ht="15" hidden="false" customHeight="false" outlineLevel="0" collapsed="false">
      <c r="A1436" s="9" t="s">
        <v>1625</v>
      </c>
      <c r="B1436" s="9" t="s">
        <v>3927</v>
      </c>
      <c r="C1436" s="9" t="s">
        <v>356</v>
      </c>
      <c r="D1436" s="9" t="s">
        <v>355</v>
      </c>
      <c r="E1436" s="9" t="s">
        <v>146</v>
      </c>
      <c r="F1436" s="9" t="s">
        <v>134</v>
      </c>
      <c r="G1436" s="9"/>
      <c r="H1436" s="9" t="n">
        <v>3</v>
      </c>
      <c r="I1436" s="9" t="s">
        <v>135</v>
      </c>
    </row>
    <row r="1437" customFormat="false" ht="15" hidden="false" customHeight="false" outlineLevel="0" collapsed="false">
      <c r="A1437" s="9" t="s">
        <v>3928</v>
      </c>
      <c r="B1437" s="9" t="s">
        <v>2234</v>
      </c>
      <c r="C1437" s="9" t="s">
        <v>356</v>
      </c>
      <c r="D1437" s="9" t="s">
        <v>355</v>
      </c>
      <c r="E1437" s="9" t="s">
        <v>146</v>
      </c>
      <c r="F1437" s="9" t="s">
        <v>134</v>
      </c>
      <c r="G1437" s="9"/>
      <c r="H1437" s="9" t="n">
        <v>4</v>
      </c>
      <c r="I1437" s="9" t="s">
        <v>135</v>
      </c>
    </row>
    <row r="1438" customFormat="false" ht="15" hidden="false" customHeight="false" outlineLevel="0" collapsed="false">
      <c r="A1438" s="9" t="s">
        <v>3929</v>
      </c>
      <c r="B1438" s="9" t="s">
        <v>3930</v>
      </c>
      <c r="C1438" s="9" t="s">
        <v>2239</v>
      </c>
      <c r="D1438" s="9" t="s">
        <v>483</v>
      </c>
      <c r="E1438" s="9" t="s">
        <v>200</v>
      </c>
      <c r="F1438" s="9" t="s">
        <v>173</v>
      </c>
      <c r="G1438" s="9"/>
      <c r="H1438" s="9" t="n">
        <v>2</v>
      </c>
      <c r="I1438" s="9" t="s">
        <v>117</v>
      </c>
    </row>
    <row r="1439" customFormat="false" ht="15" hidden="false" customHeight="false" outlineLevel="0" collapsed="false">
      <c r="A1439" s="9" t="s">
        <v>1766</v>
      </c>
      <c r="B1439" s="9" t="s">
        <v>1767</v>
      </c>
      <c r="C1439" s="9" t="s">
        <v>2239</v>
      </c>
      <c r="D1439" s="9" t="s">
        <v>483</v>
      </c>
      <c r="E1439" s="9" t="s">
        <v>200</v>
      </c>
      <c r="F1439" s="9" t="s">
        <v>173</v>
      </c>
      <c r="G1439" s="9"/>
      <c r="H1439" s="9" t="n">
        <v>7</v>
      </c>
      <c r="I1439" s="9" t="s">
        <v>117</v>
      </c>
    </row>
    <row r="1440" customFormat="false" ht="15" hidden="false" customHeight="false" outlineLevel="0" collapsed="false">
      <c r="A1440" s="9" t="s">
        <v>3931</v>
      </c>
      <c r="B1440" s="9" t="s">
        <v>3932</v>
      </c>
      <c r="C1440" s="9" t="s">
        <v>2239</v>
      </c>
      <c r="D1440" s="9" t="s">
        <v>483</v>
      </c>
      <c r="E1440" s="9" t="s">
        <v>200</v>
      </c>
      <c r="F1440" s="9" t="s">
        <v>173</v>
      </c>
      <c r="G1440" s="9" t="s">
        <v>1510</v>
      </c>
      <c r="H1440" s="9" t="n">
        <v>10</v>
      </c>
      <c r="I1440" s="9" t="s">
        <v>117</v>
      </c>
    </row>
    <row r="1441" customFormat="false" ht="15" hidden="false" customHeight="false" outlineLevel="0" collapsed="false">
      <c r="A1441" s="9" t="s">
        <v>3933</v>
      </c>
      <c r="B1441" s="9" t="s">
        <v>3934</v>
      </c>
      <c r="C1441" s="9" t="s">
        <v>2239</v>
      </c>
      <c r="D1441" s="9" t="s">
        <v>483</v>
      </c>
      <c r="E1441" s="9" t="s">
        <v>200</v>
      </c>
      <c r="F1441" s="9" t="s">
        <v>173</v>
      </c>
      <c r="G1441" s="9" t="s">
        <v>1510</v>
      </c>
      <c r="H1441" s="9" t="n">
        <v>13</v>
      </c>
      <c r="I1441" s="9" t="s">
        <v>117</v>
      </c>
    </row>
    <row r="1442" customFormat="false" ht="15" hidden="false" customHeight="false" outlineLevel="0" collapsed="false">
      <c r="A1442" s="9" t="s">
        <v>2155</v>
      </c>
      <c r="B1442" s="9" t="s">
        <v>3935</v>
      </c>
      <c r="C1442" s="9" t="s">
        <v>2239</v>
      </c>
      <c r="D1442" s="9" t="s">
        <v>483</v>
      </c>
      <c r="E1442" s="9" t="s">
        <v>200</v>
      </c>
      <c r="F1442" s="9" t="s">
        <v>173</v>
      </c>
      <c r="G1442" s="9" t="s">
        <v>1510</v>
      </c>
      <c r="H1442" s="9" t="n">
        <v>21</v>
      </c>
      <c r="I1442" s="9" t="s">
        <v>117</v>
      </c>
    </row>
    <row r="1443" customFormat="false" ht="15" hidden="false" customHeight="false" outlineLevel="0" collapsed="false">
      <c r="A1443" s="9" t="s">
        <v>1576</v>
      </c>
      <c r="B1443" s="9" t="s">
        <v>3936</v>
      </c>
      <c r="C1443" s="9" t="s">
        <v>2239</v>
      </c>
      <c r="D1443" s="9" t="s">
        <v>483</v>
      </c>
      <c r="E1443" s="9" t="s">
        <v>200</v>
      </c>
      <c r="F1443" s="9" t="s">
        <v>173</v>
      </c>
      <c r="G1443" s="9"/>
      <c r="H1443" s="9" t="n">
        <v>24</v>
      </c>
      <c r="I1443" s="9" t="s">
        <v>117</v>
      </c>
    </row>
    <row r="1444" customFormat="false" ht="15" hidden="false" customHeight="false" outlineLevel="0" collapsed="false">
      <c r="A1444" s="9" t="s">
        <v>3937</v>
      </c>
      <c r="B1444" s="9" t="s">
        <v>3938</v>
      </c>
      <c r="C1444" s="9" t="s">
        <v>288</v>
      </c>
      <c r="D1444" s="9" t="s">
        <v>287</v>
      </c>
      <c r="E1444" s="9" t="s">
        <v>200</v>
      </c>
      <c r="F1444" s="9" t="s">
        <v>173</v>
      </c>
      <c r="G1444" s="9" t="s">
        <v>1543</v>
      </c>
      <c r="H1444" s="9" t="n">
        <v>1</v>
      </c>
      <c r="I1444" s="9" t="s">
        <v>117</v>
      </c>
    </row>
    <row r="1445" customFormat="false" ht="15" hidden="false" customHeight="false" outlineLevel="0" collapsed="false">
      <c r="A1445" s="9" t="s">
        <v>3939</v>
      </c>
      <c r="B1445" s="9" t="s">
        <v>3940</v>
      </c>
      <c r="C1445" s="9" t="s">
        <v>288</v>
      </c>
      <c r="D1445" s="9" t="s">
        <v>287</v>
      </c>
      <c r="E1445" s="9" t="s">
        <v>200</v>
      </c>
      <c r="F1445" s="9" t="s">
        <v>173</v>
      </c>
      <c r="G1445" s="9"/>
      <c r="H1445" s="9" t="n">
        <v>3</v>
      </c>
      <c r="I1445" s="9" t="s">
        <v>117</v>
      </c>
    </row>
    <row r="1446" customFormat="false" ht="15" hidden="false" customHeight="false" outlineLevel="0" collapsed="false">
      <c r="A1446" s="9" t="s">
        <v>1578</v>
      </c>
      <c r="B1446" s="9" t="s">
        <v>2257</v>
      </c>
      <c r="C1446" s="9" t="s">
        <v>288</v>
      </c>
      <c r="D1446" s="9" t="s">
        <v>287</v>
      </c>
      <c r="E1446" s="9" t="s">
        <v>200</v>
      </c>
      <c r="F1446" s="9" t="s">
        <v>173</v>
      </c>
      <c r="G1446" s="9"/>
      <c r="H1446" s="9" t="n">
        <v>6</v>
      </c>
      <c r="I1446" s="9" t="s">
        <v>117</v>
      </c>
    </row>
    <row r="1447" customFormat="false" ht="15" hidden="false" customHeight="false" outlineLevel="0" collapsed="false">
      <c r="A1447" s="9" t="s">
        <v>2127</v>
      </c>
      <c r="B1447" s="9" t="s">
        <v>3941</v>
      </c>
      <c r="C1447" s="9" t="s">
        <v>288</v>
      </c>
      <c r="D1447" s="9" t="s">
        <v>287</v>
      </c>
      <c r="E1447" s="9" t="s">
        <v>200</v>
      </c>
      <c r="F1447" s="9" t="s">
        <v>173</v>
      </c>
      <c r="G1447" s="9"/>
      <c r="H1447" s="9" t="n">
        <v>7</v>
      </c>
      <c r="I1447" s="9" t="s">
        <v>117</v>
      </c>
    </row>
    <row r="1448" customFormat="false" ht="15" hidden="false" customHeight="false" outlineLevel="0" collapsed="false">
      <c r="A1448" s="9" t="s">
        <v>3942</v>
      </c>
      <c r="B1448" s="9" t="s">
        <v>3943</v>
      </c>
      <c r="C1448" s="9" t="s">
        <v>288</v>
      </c>
      <c r="D1448" s="9" t="s">
        <v>287</v>
      </c>
      <c r="E1448" s="9" t="s">
        <v>200</v>
      </c>
      <c r="F1448" s="9" t="s">
        <v>173</v>
      </c>
      <c r="G1448" s="9"/>
      <c r="H1448" s="9" t="n">
        <v>8</v>
      </c>
      <c r="I1448" s="9" t="s">
        <v>117</v>
      </c>
    </row>
    <row r="1449" customFormat="false" ht="15" hidden="false" customHeight="false" outlineLevel="0" collapsed="false">
      <c r="A1449" s="9" t="s">
        <v>3944</v>
      </c>
      <c r="B1449" s="9" t="s">
        <v>2261</v>
      </c>
      <c r="C1449" s="9" t="s">
        <v>288</v>
      </c>
      <c r="D1449" s="9" t="s">
        <v>287</v>
      </c>
      <c r="E1449" s="9" t="s">
        <v>200</v>
      </c>
      <c r="F1449" s="9" t="s">
        <v>173</v>
      </c>
      <c r="G1449" s="9"/>
      <c r="H1449" s="9" t="n">
        <v>17</v>
      </c>
      <c r="I1449" s="9" t="s">
        <v>117</v>
      </c>
    </row>
    <row r="1450" customFormat="false" ht="15" hidden="false" customHeight="false" outlineLevel="0" collapsed="false">
      <c r="A1450" s="9" t="s">
        <v>3945</v>
      </c>
      <c r="B1450" s="9" t="s">
        <v>3946</v>
      </c>
      <c r="C1450" s="9" t="s">
        <v>288</v>
      </c>
      <c r="D1450" s="9" t="s">
        <v>287</v>
      </c>
      <c r="E1450" s="9" t="s">
        <v>200</v>
      </c>
      <c r="F1450" s="9" t="s">
        <v>173</v>
      </c>
      <c r="G1450" s="9"/>
      <c r="H1450" s="9" t="n">
        <v>18</v>
      </c>
      <c r="I1450" s="9" t="s">
        <v>117</v>
      </c>
    </row>
    <row r="1451" customFormat="false" ht="15" hidden="false" customHeight="false" outlineLevel="0" collapsed="false">
      <c r="A1451" s="9" t="s">
        <v>3947</v>
      </c>
      <c r="B1451" s="9" t="s">
        <v>3948</v>
      </c>
      <c r="C1451" s="9" t="s">
        <v>288</v>
      </c>
      <c r="D1451" s="9" t="s">
        <v>287</v>
      </c>
      <c r="E1451" s="9" t="s">
        <v>200</v>
      </c>
      <c r="F1451" s="9" t="s">
        <v>173</v>
      </c>
      <c r="G1451" s="9"/>
      <c r="H1451" s="9" t="n">
        <v>19</v>
      </c>
      <c r="I1451" s="9" t="s">
        <v>117</v>
      </c>
    </row>
    <row r="1452" customFormat="false" ht="15" hidden="false" customHeight="false" outlineLevel="0" collapsed="false">
      <c r="A1452" s="9" t="s">
        <v>3949</v>
      </c>
      <c r="B1452" s="9" t="s">
        <v>3950</v>
      </c>
      <c r="C1452" s="9" t="s">
        <v>288</v>
      </c>
      <c r="D1452" s="9" t="s">
        <v>287</v>
      </c>
      <c r="E1452" s="9" t="s">
        <v>200</v>
      </c>
      <c r="F1452" s="9" t="s">
        <v>173</v>
      </c>
      <c r="G1452" s="9"/>
      <c r="H1452" s="9" t="n">
        <v>20</v>
      </c>
      <c r="I1452" s="9" t="s">
        <v>117</v>
      </c>
    </row>
    <row r="1453" customFormat="false" ht="15" hidden="false" customHeight="false" outlineLevel="0" collapsed="false">
      <c r="A1453" s="9" t="s">
        <v>3951</v>
      </c>
      <c r="B1453" s="9" t="s">
        <v>3952</v>
      </c>
      <c r="C1453" s="9" t="s">
        <v>288</v>
      </c>
      <c r="D1453" s="9" t="s">
        <v>287</v>
      </c>
      <c r="E1453" s="9" t="s">
        <v>200</v>
      </c>
      <c r="F1453" s="9" t="s">
        <v>173</v>
      </c>
      <c r="G1453" s="9" t="s">
        <v>1510</v>
      </c>
      <c r="H1453" s="9" t="n">
        <v>25</v>
      </c>
      <c r="I1453" s="9" t="s">
        <v>117</v>
      </c>
    </row>
    <row r="1454" customFormat="false" ht="15" hidden="false" customHeight="false" outlineLevel="0" collapsed="false">
      <c r="A1454" s="9" t="s">
        <v>3953</v>
      </c>
      <c r="B1454" s="9" t="s">
        <v>3954</v>
      </c>
      <c r="C1454" s="9" t="s">
        <v>288</v>
      </c>
      <c r="D1454" s="9" t="s">
        <v>287</v>
      </c>
      <c r="E1454" s="9" t="s">
        <v>200</v>
      </c>
      <c r="F1454" s="9" t="s">
        <v>173</v>
      </c>
      <c r="G1454" s="9"/>
      <c r="H1454" s="9" t="n">
        <v>30</v>
      </c>
      <c r="I1454" s="9" t="s">
        <v>117</v>
      </c>
    </row>
    <row r="1455" customFormat="false" ht="15" hidden="false" customHeight="false" outlineLevel="0" collapsed="false">
      <c r="A1455" s="9" t="s">
        <v>3955</v>
      </c>
      <c r="B1455" s="9" t="s">
        <v>3956</v>
      </c>
      <c r="C1455" s="9" t="s">
        <v>288</v>
      </c>
      <c r="D1455" s="9" t="s">
        <v>287</v>
      </c>
      <c r="E1455" s="9" t="s">
        <v>200</v>
      </c>
      <c r="F1455" s="9" t="s">
        <v>173</v>
      </c>
      <c r="G1455" s="9"/>
      <c r="H1455" s="9" t="n">
        <v>33</v>
      </c>
      <c r="I1455" s="9" t="s">
        <v>117</v>
      </c>
    </row>
    <row r="1456" customFormat="false" ht="15" hidden="false" customHeight="false" outlineLevel="0" collapsed="false">
      <c r="A1456" s="9" t="s">
        <v>3957</v>
      </c>
      <c r="B1456" s="9" t="s">
        <v>2272</v>
      </c>
      <c r="C1456" s="9" t="s">
        <v>341</v>
      </c>
      <c r="D1456" s="9" t="s">
        <v>340</v>
      </c>
      <c r="E1456" s="9" t="s">
        <v>106</v>
      </c>
      <c r="F1456" s="9" t="s">
        <v>173</v>
      </c>
      <c r="G1456" s="9"/>
      <c r="H1456" s="9" t="n">
        <v>1</v>
      </c>
      <c r="I1456" s="9" t="s">
        <v>117</v>
      </c>
    </row>
    <row r="1457" customFormat="false" ht="15" hidden="false" customHeight="false" outlineLevel="0" collapsed="false">
      <c r="A1457" s="9" t="s">
        <v>3958</v>
      </c>
      <c r="B1457" s="9" t="s">
        <v>3959</v>
      </c>
      <c r="C1457" s="9" t="s">
        <v>341</v>
      </c>
      <c r="D1457" s="9" t="s">
        <v>340</v>
      </c>
      <c r="E1457" s="9" t="s">
        <v>106</v>
      </c>
      <c r="F1457" s="9" t="s">
        <v>173</v>
      </c>
      <c r="G1457" s="9" t="s">
        <v>1510</v>
      </c>
      <c r="H1457" s="9" t="n">
        <v>7</v>
      </c>
      <c r="I1457" s="9" t="s">
        <v>117</v>
      </c>
    </row>
    <row r="1458" customFormat="false" ht="15" hidden="false" customHeight="false" outlineLevel="0" collapsed="false">
      <c r="A1458" s="9" t="s">
        <v>2216</v>
      </c>
      <c r="B1458" s="9" t="s">
        <v>3960</v>
      </c>
      <c r="C1458" s="9" t="s">
        <v>372</v>
      </c>
      <c r="D1458" s="9" t="s">
        <v>371</v>
      </c>
      <c r="E1458" s="9" t="s">
        <v>200</v>
      </c>
      <c r="F1458" s="9" t="s">
        <v>173</v>
      </c>
      <c r="G1458" s="9"/>
      <c r="H1458" s="9" t="n">
        <v>3</v>
      </c>
      <c r="I1458" s="9" t="s">
        <v>117</v>
      </c>
    </row>
    <row r="1459" customFormat="false" ht="15" hidden="false" customHeight="false" outlineLevel="0" collapsed="false">
      <c r="A1459" s="9" t="s">
        <v>3865</v>
      </c>
      <c r="B1459" s="9" t="s">
        <v>3961</v>
      </c>
      <c r="C1459" s="9" t="s">
        <v>241</v>
      </c>
      <c r="D1459" s="9" t="s">
        <v>246</v>
      </c>
      <c r="E1459" s="9" t="s">
        <v>241</v>
      </c>
      <c r="F1459" s="9" t="s">
        <v>152</v>
      </c>
      <c r="G1459" s="9"/>
      <c r="H1459" s="9" t="n">
        <v>8</v>
      </c>
      <c r="I1459" s="9" t="s">
        <v>117</v>
      </c>
    </row>
    <row r="1460" customFormat="false" ht="15" hidden="false" customHeight="false" outlineLevel="0" collapsed="false">
      <c r="A1460" s="9" t="s">
        <v>3962</v>
      </c>
      <c r="B1460" s="9" t="s">
        <v>3963</v>
      </c>
      <c r="C1460" s="9" t="s">
        <v>241</v>
      </c>
      <c r="D1460" s="9" t="s">
        <v>246</v>
      </c>
      <c r="E1460" s="9" t="s">
        <v>241</v>
      </c>
      <c r="F1460" s="9" t="s">
        <v>152</v>
      </c>
      <c r="G1460" s="9"/>
      <c r="H1460" s="9" t="n">
        <v>17</v>
      </c>
      <c r="I1460" s="9" t="s">
        <v>117</v>
      </c>
    </row>
    <row r="1461" customFormat="false" ht="15" hidden="false" customHeight="false" outlineLevel="0" collapsed="false">
      <c r="A1461" s="9" t="s">
        <v>3964</v>
      </c>
      <c r="B1461" s="9" t="s">
        <v>3965</v>
      </c>
      <c r="C1461" s="9" t="s">
        <v>229</v>
      </c>
      <c r="D1461" s="9" t="s">
        <v>250</v>
      </c>
      <c r="E1461" s="9" t="s">
        <v>229</v>
      </c>
      <c r="F1461" s="9" t="s">
        <v>152</v>
      </c>
      <c r="G1461" s="9"/>
      <c r="H1461" s="9" t="n">
        <v>5</v>
      </c>
      <c r="I1461" s="9" t="s">
        <v>117</v>
      </c>
    </row>
    <row r="1462" customFormat="false" ht="15" hidden="false" customHeight="false" outlineLevel="0" collapsed="false">
      <c r="A1462" s="9" t="s">
        <v>3966</v>
      </c>
      <c r="B1462" s="9" t="s">
        <v>2074</v>
      </c>
      <c r="C1462" s="9" t="s">
        <v>229</v>
      </c>
      <c r="D1462" s="9" t="s">
        <v>250</v>
      </c>
      <c r="E1462" s="9" t="s">
        <v>229</v>
      </c>
      <c r="F1462" s="9" t="s">
        <v>152</v>
      </c>
      <c r="G1462" s="9"/>
      <c r="H1462" s="9" t="n">
        <v>6</v>
      </c>
      <c r="I1462" s="9" t="s">
        <v>117</v>
      </c>
    </row>
    <row r="1463" customFormat="false" ht="15" hidden="false" customHeight="false" outlineLevel="0" collapsed="false">
      <c r="A1463" s="9" t="s">
        <v>3967</v>
      </c>
      <c r="B1463" s="9" t="s">
        <v>3968</v>
      </c>
      <c r="C1463" s="9" t="s">
        <v>229</v>
      </c>
      <c r="D1463" s="9" t="s">
        <v>250</v>
      </c>
      <c r="E1463" s="9" t="s">
        <v>229</v>
      </c>
      <c r="F1463" s="9" t="s">
        <v>152</v>
      </c>
      <c r="G1463" s="9"/>
      <c r="H1463" s="9" t="n">
        <v>7</v>
      </c>
      <c r="I1463" s="9" t="s">
        <v>117</v>
      </c>
    </row>
    <row r="1464" customFormat="false" ht="15" hidden="false" customHeight="false" outlineLevel="0" collapsed="false">
      <c r="A1464" s="9" t="s">
        <v>3969</v>
      </c>
      <c r="B1464" s="9" t="s">
        <v>3970</v>
      </c>
      <c r="C1464" s="9" t="s">
        <v>229</v>
      </c>
      <c r="D1464" s="9" t="s">
        <v>250</v>
      </c>
      <c r="E1464" s="9" t="s">
        <v>229</v>
      </c>
      <c r="F1464" s="9" t="s">
        <v>152</v>
      </c>
      <c r="G1464" s="9"/>
      <c r="H1464" s="9" t="n">
        <v>8</v>
      </c>
      <c r="I1464" s="9" t="s">
        <v>117</v>
      </c>
    </row>
    <row r="1465" customFormat="false" ht="15" hidden="false" customHeight="false" outlineLevel="0" collapsed="false">
      <c r="A1465" s="9" t="s">
        <v>3971</v>
      </c>
      <c r="B1465" s="9" t="s">
        <v>2554</v>
      </c>
      <c r="C1465" s="9" t="s">
        <v>229</v>
      </c>
      <c r="D1465" s="9" t="s">
        <v>250</v>
      </c>
      <c r="E1465" s="9" t="s">
        <v>229</v>
      </c>
      <c r="F1465" s="9" t="s">
        <v>152</v>
      </c>
      <c r="G1465" s="9"/>
      <c r="H1465" s="9" t="n">
        <v>9</v>
      </c>
      <c r="I1465" s="9" t="s">
        <v>117</v>
      </c>
    </row>
    <row r="1466" customFormat="false" ht="15" hidden="false" customHeight="false" outlineLevel="0" collapsed="false">
      <c r="A1466" s="9" t="s">
        <v>3972</v>
      </c>
      <c r="B1466" s="9" t="s">
        <v>3973</v>
      </c>
      <c r="C1466" s="9" t="s">
        <v>229</v>
      </c>
      <c r="D1466" s="9" t="s">
        <v>250</v>
      </c>
      <c r="E1466" s="9" t="s">
        <v>229</v>
      </c>
      <c r="F1466" s="9" t="s">
        <v>152</v>
      </c>
      <c r="G1466" s="9"/>
      <c r="H1466" s="9" t="n">
        <v>10</v>
      </c>
      <c r="I1466" s="9" t="s">
        <v>117</v>
      </c>
    </row>
    <row r="1467" customFormat="false" ht="15" hidden="false" customHeight="false" outlineLevel="0" collapsed="false">
      <c r="A1467" s="9" t="s">
        <v>3126</v>
      </c>
      <c r="B1467" s="9" t="s">
        <v>2288</v>
      </c>
      <c r="C1467" s="9" t="s">
        <v>229</v>
      </c>
      <c r="D1467" s="9" t="s">
        <v>250</v>
      </c>
      <c r="E1467" s="9" t="s">
        <v>229</v>
      </c>
      <c r="F1467" s="9" t="s">
        <v>152</v>
      </c>
      <c r="G1467" s="9"/>
      <c r="H1467" s="9" t="n">
        <v>15</v>
      </c>
      <c r="I1467" s="9" t="s">
        <v>117</v>
      </c>
    </row>
    <row r="1468" customFormat="false" ht="15" hidden="false" customHeight="false" outlineLevel="0" collapsed="false">
      <c r="A1468" s="9" t="s">
        <v>3974</v>
      </c>
      <c r="B1468" s="9" t="s">
        <v>3975</v>
      </c>
      <c r="C1468" s="9" t="s">
        <v>229</v>
      </c>
      <c r="D1468" s="9" t="s">
        <v>250</v>
      </c>
      <c r="E1468" s="9" t="s">
        <v>229</v>
      </c>
      <c r="F1468" s="9" t="s">
        <v>152</v>
      </c>
      <c r="G1468" s="9" t="s">
        <v>1510</v>
      </c>
      <c r="H1468" s="9" t="n">
        <v>16</v>
      </c>
      <c r="I1468" s="9" t="s">
        <v>117</v>
      </c>
    </row>
    <row r="1469" customFormat="false" ht="15" hidden="false" customHeight="false" outlineLevel="0" collapsed="false">
      <c r="A1469" s="9" t="s">
        <v>3976</v>
      </c>
      <c r="B1469" s="9" t="s">
        <v>3977</v>
      </c>
      <c r="C1469" s="9" t="s">
        <v>229</v>
      </c>
      <c r="D1469" s="9" t="s">
        <v>250</v>
      </c>
      <c r="E1469" s="9" t="s">
        <v>229</v>
      </c>
      <c r="F1469" s="9" t="s">
        <v>152</v>
      </c>
      <c r="G1469" s="9"/>
      <c r="H1469" s="9" t="n">
        <v>19</v>
      </c>
      <c r="I1469" s="9" t="s">
        <v>117</v>
      </c>
    </row>
    <row r="1470" customFormat="false" ht="15" hidden="false" customHeight="false" outlineLevel="0" collapsed="false">
      <c r="A1470" s="9" t="s">
        <v>3978</v>
      </c>
      <c r="B1470" s="9" t="s">
        <v>3979</v>
      </c>
      <c r="C1470" s="9" t="s">
        <v>229</v>
      </c>
      <c r="D1470" s="9" t="s">
        <v>250</v>
      </c>
      <c r="E1470" s="9" t="s">
        <v>229</v>
      </c>
      <c r="F1470" s="9" t="s">
        <v>152</v>
      </c>
      <c r="G1470" s="9"/>
      <c r="H1470" s="9" t="n">
        <v>20</v>
      </c>
      <c r="I1470" s="9" t="s">
        <v>117</v>
      </c>
    </row>
    <row r="1471" customFormat="false" ht="15" hidden="false" customHeight="false" outlineLevel="0" collapsed="false">
      <c r="A1471" s="9" t="s">
        <v>3980</v>
      </c>
      <c r="B1471" s="9" t="s">
        <v>3981</v>
      </c>
      <c r="C1471" s="9" t="s">
        <v>229</v>
      </c>
      <c r="D1471" s="9" t="s">
        <v>250</v>
      </c>
      <c r="E1471" s="9" t="s">
        <v>229</v>
      </c>
      <c r="F1471" s="9" t="s">
        <v>152</v>
      </c>
      <c r="G1471" s="9"/>
      <c r="H1471" s="9" t="n">
        <v>21</v>
      </c>
      <c r="I1471" s="9" t="s">
        <v>117</v>
      </c>
    </row>
    <row r="1472" customFormat="false" ht="15" hidden="false" customHeight="false" outlineLevel="0" collapsed="false">
      <c r="A1472" s="9" t="s">
        <v>3982</v>
      </c>
      <c r="B1472" s="9" t="s">
        <v>3983</v>
      </c>
      <c r="C1472" s="9" t="s">
        <v>229</v>
      </c>
      <c r="D1472" s="9" t="s">
        <v>250</v>
      </c>
      <c r="E1472" s="9" t="s">
        <v>229</v>
      </c>
      <c r="F1472" s="9" t="s">
        <v>152</v>
      </c>
      <c r="G1472" s="9"/>
      <c r="H1472" s="9" t="n">
        <v>22</v>
      </c>
      <c r="I1472" s="9" t="s">
        <v>117</v>
      </c>
    </row>
    <row r="1473" customFormat="false" ht="15" hidden="false" customHeight="false" outlineLevel="0" collapsed="false">
      <c r="A1473" s="9" t="s">
        <v>3984</v>
      </c>
      <c r="B1473" s="9" t="s">
        <v>3985</v>
      </c>
      <c r="C1473" s="9" t="s">
        <v>229</v>
      </c>
      <c r="D1473" s="9" t="s">
        <v>250</v>
      </c>
      <c r="E1473" s="9" t="s">
        <v>229</v>
      </c>
      <c r="F1473" s="9" t="s">
        <v>152</v>
      </c>
      <c r="G1473" s="9"/>
      <c r="H1473" s="9" t="n">
        <v>24</v>
      </c>
      <c r="I1473" s="9" t="s">
        <v>117</v>
      </c>
    </row>
    <row r="1474" customFormat="false" ht="15" hidden="false" customHeight="false" outlineLevel="0" collapsed="false">
      <c r="A1474" s="9" t="s">
        <v>3986</v>
      </c>
      <c r="B1474" s="9" t="s">
        <v>3987</v>
      </c>
      <c r="C1474" s="9" t="s">
        <v>229</v>
      </c>
      <c r="D1474" s="9" t="s">
        <v>250</v>
      </c>
      <c r="E1474" s="9" t="s">
        <v>229</v>
      </c>
      <c r="F1474" s="9" t="s">
        <v>152</v>
      </c>
      <c r="G1474" s="9" t="s">
        <v>1510</v>
      </c>
      <c r="H1474" s="9" t="n">
        <v>25</v>
      </c>
      <c r="I1474" s="9" t="s">
        <v>117</v>
      </c>
    </row>
    <row r="1475" customFormat="false" ht="15" hidden="false" customHeight="false" outlineLevel="0" collapsed="false">
      <c r="A1475" s="9" t="s">
        <v>3988</v>
      </c>
      <c r="B1475" s="9" t="s">
        <v>3989</v>
      </c>
      <c r="C1475" s="9" t="s">
        <v>258</v>
      </c>
      <c r="D1475" s="9" t="s">
        <v>257</v>
      </c>
      <c r="E1475" s="9" t="s">
        <v>140</v>
      </c>
      <c r="F1475" s="9" t="s">
        <v>152</v>
      </c>
      <c r="G1475" s="9"/>
      <c r="H1475" s="9" t="n">
        <v>1</v>
      </c>
      <c r="I1475" s="9" t="s">
        <v>117</v>
      </c>
    </row>
    <row r="1476" customFormat="false" ht="15" hidden="false" customHeight="false" outlineLevel="0" collapsed="false">
      <c r="A1476" s="9" t="s">
        <v>2724</v>
      </c>
      <c r="B1476" s="9" t="s">
        <v>3990</v>
      </c>
      <c r="C1476" s="9" t="s">
        <v>258</v>
      </c>
      <c r="D1476" s="9" t="s">
        <v>257</v>
      </c>
      <c r="E1476" s="9" t="s">
        <v>140</v>
      </c>
      <c r="F1476" s="9" t="s">
        <v>152</v>
      </c>
      <c r="G1476" s="9"/>
      <c r="H1476" s="9" t="n">
        <v>2</v>
      </c>
      <c r="I1476" s="9" t="s">
        <v>117</v>
      </c>
    </row>
    <row r="1477" customFormat="false" ht="15" hidden="false" customHeight="false" outlineLevel="0" collapsed="false">
      <c r="A1477" s="9" t="s">
        <v>3991</v>
      </c>
      <c r="B1477" s="9" t="s">
        <v>3992</v>
      </c>
      <c r="C1477" s="9" t="s">
        <v>258</v>
      </c>
      <c r="D1477" s="9" t="s">
        <v>257</v>
      </c>
      <c r="E1477" s="9" t="s">
        <v>140</v>
      </c>
      <c r="F1477" s="9" t="s">
        <v>152</v>
      </c>
      <c r="G1477" s="9"/>
      <c r="H1477" s="9" t="n">
        <v>3</v>
      </c>
      <c r="I1477" s="9" t="s">
        <v>117</v>
      </c>
    </row>
    <row r="1478" customFormat="false" ht="15" hidden="false" customHeight="false" outlineLevel="0" collapsed="false">
      <c r="A1478" s="9" t="s">
        <v>3993</v>
      </c>
      <c r="B1478" s="9" t="s">
        <v>3994</v>
      </c>
      <c r="C1478" s="9" t="s">
        <v>293</v>
      </c>
      <c r="D1478" s="9" t="s">
        <v>292</v>
      </c>
      <c r="E1478" s="9" t="s">
        <v>278</v>
      </c>
      <c r="F1478" s="9" t="s">
        <v>152</v>
      </c>
      <c r="G1478" s="9"/>
      <c r="H1478" s="9" t="n">
        <v>1</v>
      </c>
      <c r="I1478" s="9" t="s">
        <v>117</v>
      </c>
    </row>
    <row r="1479" customFormat="false" ht="15" hidden="false" customHeight="false" outlineLevel="0" collapsed="false">
      <c r="A1479" s="9" t="s">
        <v>3995</v>
      </c>
      <c r="B1479" s="9" t="s">
        <v>3996</v>
      </c>
      <c r="C1479" s="9" t="s">
        <v>293</v>
      </c>
      <c r="D1479" s="9" t="s">
        <v>292</v>
      </c>
      <c r="E1479" s="9" t="s">
        <v>278</v>
      </c>
      <c r="F1479" s="9" t="s">
        <v>152</v>
      </c>
      <c r="G1479" s="9"/>
      <c r="H1479" s="9" t="n">
        <v>2</v>
      </c>
      <c r="I1479" s="9" t="s">
        <v>117</v>
      </c>
    </row>
    <row r="1480" customFormat="false" ht="15" hidden="false" customHeight="false" outlineLevel="0" collapsed="false">
      <c r="A1480" s="9" t="s">
        <v>3997</v>
      </c>
      <c r="B1480" s="9" t="s">
        <v>3998</v>
      </c>
      <c r="C1480" s="9" t="s">
        <v>278</v>
      </c>
      <c r="D1480" s="9" t="s">
        <v>277</v>
      </c>
      <c r="E1480" s="9" t="s">
        <v>278</v>
      </c>
      <c r="F1480" s="9" t="s">
        <v>152</v>
      </c>
      <c r="G1480" s="9"/>
      <c r="H1480" s="9" t="n">
        <v>6</v>
      </c>
      <c r="I1480" s="9" t="s">
        <v>117</v>
      </c>
    </row>
    <row r="1481" customFormat="false" ht="15" hidden="false" customHeight="false" outlineLevel="0" collapsed="false">
      <c r="A1481" s="9" t="s">
        <v>3999</v>
      </c>
      <c r="B1481" s="9" t="s">
        <v>4000</v>
      </c>
      <c r="C1481" s="9" t="s">
        <v>278</v>
      </c>
      <c r="D1481" s="9" t="s">
        <v>277</v>
      </c>
      <c r="E1481" s="9" t="s">
        <v>278</v>
      </c>
      <c r="F1481" s="9" t="s">
        <v>152</v>
      </c>
      <c r="G1481" s="9"/>
      <c r="H1481" s="9" t="n">
        <v>9</v>
      </c>
      <c r="I1481" s="9" t="s">
        <v>117</v>
      </c>
    </row>
    <row r="1482" customFormat="false" ht="15" hidden="false" customHeight="false" outlineLevel="0" collapsed="false">
      <c r="A1482" s="9" t="s">
        <v>4001</v>
      </c>
      <c r="B1482" s="9" t="s">
        <v>4002</v>
      </c>
      <c r="C1482" s="9" t="s">
        <v>278</v>
      </c>
      <c r="D1482" s="9" t="s">
        <v>277</v>
      </c>
      <c r="E1482" s="9" t="s">
        <v>278</v>
      </c>
      <c r="F1482" s="9" t="s">
        <v>152</v>
      </c>
      <c r="G1482" s="9" t="s">
        <v>1510</v>
      </c>
      <c r="H1482" s="9" t="n">
        <v>13</v>
      </c>
      <c r="I1482" s="9" t="s">
        <v>117</v>
      </c>
    </row>
    <row r="1483" customFormat="false" ht="15" hidden="false" customHeight="false" outlineLevel="0" collapsed="false">
      <c r="A1483" s="9" t="s">
        <v>4003</v>
      </c>
      <c r="B1483" s="9" t="s">
        <v>3216</v>
      </c>
      <c r="C1483" s="9" t="s">
        <v>278</v>
      </c>
      <c r="D1483" s="9" t="s">
        <v>277</v>
      </c>
      <c r="E1483" s="9" t="s">
        <v>278</v>
      </c>
      <c r="F1483" s="9" t="s">
        <v>152</v>
      </c>
      <c r="G1483" s="9" t="s">
        <v>1510</v>
      </c>
      <c r="H1483" s="9" t="n">
        <v>22</v>
      </c>
      <c r="I1483" s="9" t="s">
        <v>117</v>
      </c>
    </row>
    <row r="1484" customFormat="false" ht="15" hidden="false" customHeight="false" outlineLevel="0" collapsed="false">
      <c r="A1484" s="9" t="s">
        <v>4004</v>
      </c>
      <c r="B1484" s="9" t="s">
        <v>4005</v>
      </c>
      <c r="C1484" s="9" t="s">
        <v>278</v>
      </c>
      <c r="D1484" s="9" t="s">
        <v>277</v>
      </c>
      <c r="E1484" s="9" t="s">
        <v>278</v>
      </c>
      <c r="F1484" s="9" t="s">
        <v>152</v>
      </c>
      <c r="G1484" s="9" t="s">
        <v>1510</v>
      </c>
      <c r="H1484" s="9" t="n">
        <v>24</v>
      </c>
      <c r="I1484" s="9" t="s">
        <v>117</v>
      </c>
    </row>
    <row r="1485" customFormat="false" ht="15" hidden="false" customHeight="false" outlineLevel="0" collapsed="false">
      <c r="A1485" s="9" t="s">
        <v>2466</v>
      </c>
      <c r="B1485" s="9" t="s">
        <v>4006</v>
      </c>
      <c r="C1485" s="9" t="s">
        <v>278</v>
      </c>
      <c r="D1485" s="9" t="s">
        <v>277</v>
      </c>
      <c r="E1485" s="9" t="s">
        <v>278</v>
      </c>
      <c r="F1485" s="9" t="s">
        <v>152</v>
      </c>
      <c r="G1485" s="9" t="s">
        <v>1510</v>
      </c>
      <c r="H1485" s="9" t="n">
        <v>27</v>
      </c>
      <c r="I1485" s="9" t="s">
        <v>117</v>
      </c>
    </row>
    <row r="1486" customFormat="false" ht="15" hidden="false" customHeight="false" outlineLevel="0" collapsed="false">
      <c r="A1486" s="9" t="s">
        <v>4007</v>
      </c>
      <c r="B1486" s="9" t="s">
        <v>4008</v>
      </c>
      <c r="C1486" s="9" t="s">
        <v>347</v>
      </c>
      <c r="D1486" s="9" t="s">
        <v>346</v>
      </c>
      <c r="E1486" s="9" t="s">
        <v>278</v>
      </c>
      <c r="F1486" s="9" t="s">
        <v>152</v>
      </c>
      <c r="G1486" s="9"/>
      <c r="H1486" s="9" t="n">
        <v>1</v>
      </c>
      <c r="I1486" s="9" t="s">
        <v>117</v>
      </c>
    </row>
    <row r="1487" customFormat="false" ht="15" hidden="false" customHeight="false" outlineLevel="0" collapsed="false">
      <c r="A1487" s="9" t="s">
        <v>1570</v>
      </c>
      <c r="B1487" s="9" t="s">
        <v>4009</v>
      </c>
      <c r="C1487" s="9" t="s">
        <v>347</v>
      </c>
      <c r="D1487" s="9" t="s">
        <v>346</v>
      </c>
      <c r="E1487" s="9" t="s">
        <v>278</v>
      </c>
      <c r="F1487" s="9" t="s">
        <v>152</v>
      </c>
      <c r="G1487" s="9"/>
      <c r="H1487" s="9" t="n">
        <v>2</v>
      </c>
      <c r="I1487" s="9" t="s">
        <v>117</v>
      </c>
    </row>
    <row r="1488" customFormat="false" ht="15" hidden="false" customHeight="false" outlineLevel="0" collapsed="false">
      <c r="A1488" s="9" t="s">
        <v>4010</v>
      </c>
      <c r="B1488" s="9" t="s">
        <v>4011</v>
      </c>
      <c r="C1488" s="9" t="s">
        <v>347</v>
      </c>
      <c r="D1488" s="9" t="s">
        <v>346</v>
      </c>
      <c r="E1488" s="9" t="s">
        <v>278</v>
      </c>
      <c r="F1488" s="9" t="s">
        <v>152</v>
      </c>
      <c r="G1488" s="9" t="s">
        <v>1510</v>
      </c>
      <c r="H1488" s="9" t="n">
        <v>3</v>
      </c>
      <c r="I1488" s="9" t="s">
        <v>117</v>
      </c>
    </row>
    <row r="1489" customFormat="false" ht="15" hidden="false" customHeight="false" outlineLevel="0" collapsed="false">
      <c r="A1489" s="9" t="s">
        <v>4012</v>
      </c>
      <c r="B1489" s="9" t="s">
        <v>4013</v>
      </c>
      <c r="C1489" s="9" t="s">
        <v>347</v>
      </c>
      <c r="D1489" s="9" t="s">
        <v>346</v>
      </c>
      <c r="E1489" s="9" t="s">
        <v>278</v>
      </c>
      <c r="F1489" s="9" t="s">
        <v>152</v>
      </c>
      <c r="G1489" s="9"/>
      <c r="H1489" s="9" t="n">
        <v>4</v>
      </c>
      <c r="I1489" s="9" t="s">
        <v>117</v>
      </c>
    </row>
    <row r="1490" customFormat="false" ht="15" hidden="false" customHeight="false" outlineLevel="0" collapsed="false">
      <c r="A1490" s="9" t="s">
        <v>4014</v>
      </c>
      <c r="B1490" s="9" t="s">
        <v>4015</v>
      </c>
      <c r="C1490" s="9" t="s">
        <v>486</v>
      </c>
      <c r="D1490" s="9" t="s">
        <v>485</v>
      </c>
      <c r="E1490" s="9" t="s">
        <v>133</v>
      </c>
      <c r="F1490" s="9" t="s">
        <v>116</v>
      </c>
      <c r="G1490" s="9" t="s">
        <v>1543</v>
      </c>
      <c r="H1490" s="9" t="n">
        <v>1</v>
      </c>
      <c r="I1490" s="9" t="s">
        <v>117</v>
      </c>
    </row>
    <row r="1491" customFormat="false" ht="15" hidden="false" customHeight="false" outlineLevel="0" collapsed="false">
      <c r="A1491" s="9" t="s">
        <v>4016</v>
      </c>
      <c r="B1491" s="9" t="s">
        <v>4017</v>
      </c>
      <c r="C1491" s="9" t="s">
        <v>486</v>
      </c>
      <c r="D1491" s="9" t="s">
        <v>485</v>
      </c>
      <c r="E1491" s="9" t="s">
        <v>133</v>
      </c>
      <c r="F1491" s="9" t="s">
        <v>116</v>
      </c>
      <c r="G1491" s="9"/>
      <c r="H1491" s="9" t="n">
        <v>5</v>
      </c>
      <c r="I1491" s="9" t="s">
        <v>117</v>
      </c>
    </row>
    <row r="1492" customFormat="false" ht="15" hidden="false" customHeight="false" outlineLevel="0" collapsed="false">
      <c r="A1492" s="9" t="s">
        <v>4018</v>
      </c>
      <c r="B1492" s="9" t="s">
        <v>4019</v>
      </c>
      <c r="C1492" s="9" t="s">
        <v>268</v>
      </c>
      <c r="D1492" s="9" t="s">
        <v>267</v>
      </c>
      <c r="E1492" s="9" t="s">
        <v>237</v>
      </c>
      <c r="F1492" s="9" t="s">
        <v>116</v>
      </c>
      <c r="G1492" s="9"/>
      <c r="H1492" s="9" t="n">
        <v>2</v>
      </c>
      <c r="I1492" s="9" t="s">
        <v>117</v>
      </c>
    </row>
    <row r="1493" customFormat="false" ht="15" hidden="false" customHeight="false" outlineLevel="0" collapsed="false">
      <c r="A1493" s="9" t="s">
        <v>2640</v>
      </c>
      <c r="B1493" s="9" t="s">
        <v>4020</v>
      </c>
      <c r="C1493" s="9" t="s">
        <v>268</v>
      </c>
      <c r="D1493" s="9" t="s">
        <v>267</v>
      </c>
      <c r="E1493" s="9" t="s">
        <v>237</v>
      </c>
      <c r="F1493" s="9" t="s">
        <v>116</v>
      </c>
      <c r="G1493" s="9"/>
      <c r="H1493" s="9" t="n">
        <v>4</v>
      </c>
      <c r="I1493" s="9" t="s">
        <v>117</v>
      </c>
    </row>
    <row r="1494" customFormat="false" ht="15" hidden="false" customHeight="false" outlineLevel="0" collapsed="false">
      <c r="A1494" s="9" t="s">
        <v>4021</v>
      </c>
      <c r="B1494" s="9" t="s">
        <v>4022</v>
      </c>
      <c r="C1494" s="9" t="s">
        <v>268</v>
      </c>
      <c r="D1494" s="9" t="s">
        <v>267</v>
      </c>
      <c r="E1494" s="9" t="s">
        <v>237</v>
      </c>
      <c r="F1494" s="9" t="s">
        <v>116</v>
      </c>
      <c r="G1494" s="9"/>
      <c r="H1494" s="9" t="n">
        <v>5</v>
      </c>
      <c r="I1494" s="9" t="s">
        <v>117</v>
      </c>
    </row>
    <row r="1495" customFormat="false" ht="15" hidden="false" customHeight="false" outlineLevel="0" collapsed="false">
      <c r="A1495" s="9" t="s">
        <v>4023</v>
      </c>
      <c r="B1495" s="9" t="s">
        <v>4024</v>
      </c>
      <c r="C1495" s="9" t="s">
        <v>331</v>
      </c>
      <c r="D1495" s="9" t="s">
        <v>330</v>
      </c>
      <c r="E1495" s="9" t="s">
        <v>115</v>
      </c>
      <c r="F1495" s="9" t="s">
        <v>116</v>
      </c>
      <c r="G1495" s="9"/>
      <c r="H1495" s="9" t="n">
        <v>2</v>
      </c>
      <c r="I1495" s="9" t="s">
        <v>117</v>
      </c>
    </row>
    <row r="1496" customFormat="false" ht="15" hidden="false" customHeight="false" outlineLevel="0" collapsed="false">
      <c r="A1496" s="9" t="s">
        <v>4025</v>
      </c>
      <c r="B1496" s="9" t="s">
        <v>4026</v>
      </c>
      <c r="C1496" s="9" t="s">
        <v>331</v>
      </c>
      <c r="D1496" s="9" t="s">
        <v>330</v>
      </c>
      <c r="E1496" s="9" t="s">
        <v>115</v>
      </c>
      <c r="F1496" s="9" t="s">
        <v>116</v>
      </c>
      <c r="G1496" s="9" t="s">
        <v>1510</v>
      </c>
      <c r="H1496" s="9" t="n">
        <v>4</v>
      </c>
      <c r="I1496" s="9" t="s">
        <v>117</v>
      </c>
    </row>
    <row r="1497" customFormat="false" ht="15" hidden="false" customHeight="false" outlineLevel="0" collapsed="false">
      <c r="A1497" s="9" t="s">
        <v>4027</v>
      </c>
      <c r="B1497" s="9" t="s">
        <v>4028</v>
      </c>
      <c r="C1497" s="9" t="s">
        <v>343</v>
      </c>
      <c r="D1497" s="9" t="s">
        <v>342</v>
      </c>
      <c r="E1497" s="9" t="s">
        <v>133</v>
      </c>
      <c r="F1497" s="9" t="s">
        <v>116</v>
      </c>
      <c r="G1497" s="9" t="s">
        <v>2106</v>
      </c>
      <c r="H1497" s="9" t="n">
        <v>2</v>
      </c>
      <c r="I1497" s="9" t="s">
        <v>135</v>
      </c>
    </row>
    <row r="1498" customFormat="false" ht="15" hidden="false" customHeight="false" outlineLevel="0" collapsed="false">
      <c r="A1498" s="9" t="s">
        <v>4029</v>
      </c>
      <c r="B1498" s="9" t="s">
        <v>4030</v>
      </c>
      <c r="C1498" s="9" t="s">
        <v>351</v>
      </c>
      <c r="D1498" s="9" t="s">
        <v>350</v>
      </c>
      <c r="E1498" s="9" t="s">
        <v>237</v>
      </c>
      <c r="F1498" s="9" t="s">
        <v>116</v>
      </c>
      <c r="G1498" s="9"/>
      <c r="H1498" s="9" t="n">
        <v>3</v>
      </c>
      <c r="I1498" s="9" t="s">
        <v>117</v>
      </c>
    </row>
    <row r="1499" customFormat="false" ht="15" hidden="false" customHeight="false" outlineLevel="0" collapsed="false">
      <c r="A1499" s="9" t="s">
        <v>2905</v>
      </c>
      <c r="B1499" s="9" t="s">
        <v>3182</v>
      </c>
      <c r="C1499" s="9" t="s">
        <v>351</v>
      </c>
      <c r="D1499" s="9" t="s">
        <v>350</v>
      </c>
      <c r="E1499" s="9" t="s">
        <v>237</v>
      </c>
      <c r="F1499" s="9" t="s">
        <v>116</v>
      </c>
      <c r="G1499" s="9"/>
      <c r="H1499" s="9" t="n">
        <v>4</v>
      </c>
      <c r="I1499" s="9" t="s">
        <v>117</v>
      </c>
    </row>
    <row r="1500" customFormat="false" ht="15" hidden="false" customHeight="false" outlineLevel="0" collapsed="false">
      <c r="A1500" s="9" t="s">
        <v>4031</v>
      </c>
      <c r="B1500" s="9" t="s">
        <v>4032</v>
      </c>
      <c r="C1500" s="9" t="s">
        <v>115</v>
      </c>
      <c r="D1500" s="9" t="s">
        <v>352</v>
      </c>
      <c r="E1500" s="9" t="s">
        <v>115</v>
      </c>
      <c r="F1500" s="9" t="s">
        <v>116</v>
      </c>
      <c r="G1500" s="9"/>
      <c r="H1500" s="9" t="n">
        <v>6</v>
      </c>
      <c r="I1500" s="9" t="s">
        <v>117</v>
      </c>
    </row>
    <row r="1501" customFormat="false" ht="15" hidden="false" customHeight="false" outlineLevel="0" collapsed="false">
      <c r="A1501" s="9" t="s">
        <v>4033</v>
      </c>
      <c r="B1501" s="9" t="s">
        <v>4034</v>
      </c>
      <c r="C1501" s="9" t="s">
        <v>115</v>
      </c>
      <c r="D1501" s="9" t="s">
        <v>352</v>
      </c>
      <c r="E1501" s="9" t="s">
        <v>115</v>
      </c>
      <c r="F1501" s="9" t="s">
        <v>116</v>
      </c>
      <c r="G1501" s="9"/>
      <c r="H1501" s="9" t="n">
        <v>11</v>
      </c>
      <c r="I1501" s="9" t="s">
        <v>117</v>
      </c>
    </row>
    <row r="1502" customFormat="false" ht="15" hidden="false" customHeight="false" outlineLevel="0" collapsed="false">
      <c r="A1502" s="9" t="s">
        <v>4035</v>
      </c>
      <c r="B1502" s="9" t="s">
        <v>4036</v>
      </c>
      <c r="C1502" s="9" t="s">
        <v>115</v>
      </c>
      <c r="D1502" s="9" t="s">
        <v>352</v>
      </c>
      <c r="E1502" s="9" t="s">
        <v>115</v>
      </c>
      <c r="F1502" s="9" t="s">
        <v>116</v>
      </c>
      <c r="G1502" s="9"/>
      <c r="H1502" s="9" t="n">
        <v>14</v>
      </c>
      <c r="I1502" s="9" t="s">
        <v>117</v>
      </c>
    </row>
    <row r="1503" customFormat="false" ht="15" hidden="false" customHeight="false" outlineLevel="0" collapsed="false">
      <c r="A1503" s="9" t="s">
        <v>4037</v>
      </c>
      <c r="B1503" s="9" t="s">
        <v>4038</v>
      </c>
      <c r="C1503" s="9" t="s">
        <v>115</v>
      </c>
      <c r="D1503" s="9" t="s">
        <v>352</v>
      </c>
      <c r="E1503" s="9" t="s">
        <v>115</v>
      </c>
      <c r="F1503" s="9" t="s">
        <v>116</v>
      </c>
      <c r="G1503" s="9" t="s">
        <v>1510</v>
      </c>
      <c r="H1503" s="9" t="n">
        <v>15</v>
      </c>
      <c r="I1503" s="9" t="s">
        <v>117</v>
      </c>
    </row>
    <row r="1504" customFormat="false" ht="15" hidden="false" customHeight="false" outlineLevel="0" collapsed="false">
      <c r="A1504" s="9" t="s">
        <v>4039</v>
      </c>
      <c r="B1504" s="9" t="s">
        <v>4040</v>
      </c>
      <c r="C1504" s="9" t="s">
        <v>254</v>
      </c>
      <c r="D1504" s="9" t="s">
        <v>253</v>
      </c>
      <c r="E1504" s="9" t="s">
        <v>106</v>
      </c>
      <c r="F1504" s="9" t="s">
        <v>102</v>
      </c>
      <c r="G1504" s="9"/>
      <c r="H1504" s="9" t="n">
        <v>1</v>
      </c>
      <c r="I1504" s="9" t="s">
        <v>103</v>
      </c>
    </row>
    <row r="1505" customFormat="false" ht="15" hidden="false" customHeight="false" outlineLevel="0" collapsed="false">
      <c r="A1505" s="9" t="s">
        <v>4041</v>
      </c>
      <c r="B1505" s="9" t="s">
        <v>4042</v>
      </c>
      <c r="C1505" s="9" t="s">
        <v>266</v>
      </c>
      <c r="D1505" s="9" t="s">
        <v>265</v>
      </c>
      <c r="E1505" s="9" t="s">
        <v>100</v>
      </c>
      <c r="F1505" s="9" t="s">
        <v>102</v>
      </c>
      <c r="G1505" s="9" t="s">
        <v>1510</v>
      </c>
      <c r="H1505" s="9" t="n">
        <v>3</v>
      </c>
      <c r="I1505" s="9" t="s">
        <v>143</v>
      </c>
    </row>
    <row r="1506" customFormat="false" ht="15" hidden="false" customHeight="false" outlineLevel="0" collapsed="false">
      <c r="A1506" s="9" t="s">
        <v>4043</v>
      </c>
      <c r="B1506" s="9" t="s">
        <v>4044</v>
      </c>
      <c r="C1506" s="9" t="s">
        <v>270</v>
      </c>
      <c r="D1506" s="9" t="s">
        <v>269</v>
      </c>
      <c r="E1506" s="9" t="s">
        <v>106</v>
      </c>
      <c r="F1506" s="9" t="s">
        <v>102</v>
      </c>
      <c r="G1506" s="9"/>
      <c r="H1506" s="9" t="n">
        <v>1</v>
      </c>
      <c r="I1506" s="9" t="s">
        <v>103</v>
      </c>
    </row>
    <row r="1507" customFormat="false" ht="15" hidden="false" customHeight="false" outlineLevel="0" collapsed="false">
      <c r="A1507" s="9" t="s">
        <v>4045</v>
      </c>
      <c r="B1507" s="9" t="s">
        <v>4046</v>
      </c>
      <c r="C1507" s="9" t="s">
        <v>274</v>
      </c>
      <c r="D1507" s="9" t="s">
        <v>273</v>
      </c>
      <c r="E1507" s="9" t="s">
        <v>100</v>
      </c>
      <c r="F1507" s="9" t="s">
        <v>102</v>
      </c>
      <c r="G1507" s="9" t="s">
        <v>1510</v>
      </c>
      <c r="H1507" s="9" t="n">
        <v>5</v>
      </c>
      <c r="I1507" s="9" t="s">
        <v>103</v>
      </c>
    </row>
    <row r="1508" customFormat="false" ht="15" hidden="false" customHeight="false" outlineLevel="0" collapsed="false">
      <c r="A1508" s="9" t="s">
        <v>1774</v>
      </c>
      <c r="B1508" s="9" t="s">
        <v>4047</v>
      </c>
      <c r="C1508" s="9" t="s">
        <v>319</v>
      </c>
      <c r="D1508" s="9" t="s">
        <v>318</v>
      </c>
      <c r="E1508" s="9" t="s">
        <v>106</v>
      </c>
      <c r="F1508" s="9" t="s">
        <v>102</v>
      </c>
      <c r="G1508" s="9"/>
      <c r="H1508" s="9" t="n">
        <v>2</v>
      </c>
      <c r="I1508" s="9" t="s">
        <v>143</v>
      </c>
    </row>
    <row r="1509" customFormat="false" ht="15" hidden="false" customHeight="false" outlineLevel="0" collapsed="false">
      <c r="A1509" s="9" t="s">
        <v>4048</v>
      </c>
      <c r="B1509" s="9" t="s">
        <v>4049</v>
      </c>
      <c r="C1509" s="9" t="s">
        <v>333</v>
      </c>
      <c r="D1509" s="9" t="s">
        <v>332</v>
      </c>
      <c r="E1509" s="9" t="s">
        <v>100</v>
      </c>
      <c r="F1509" s="9" t="s">
        <v>102</v>
      </c>
      <c r="G1509" s="9"/>
      <c r="H1509" s="9" t="n">
        <v>3</v>
      </c>
      <c r="I1509" s="9" t="s">
        <v>143</v>
      </c>
    </row>
    <row r="1510" customFormat="false" ht="15" hidden="false" customHeight="false" outlineLevel="0" collapsed="false">
      <c r="A1510" s="9" t="s">
        <v>3600</v>
      </c>
      <c r="B1510" s="9" t="s">
        <v>4050</v>
      </c>
      <c r="C1510" s="9" t="s">
        <v>333</v>
      </c>
      <c r="D1510" s="9" t="s">
        <v>332</v>
      </c>
      <c r="E1510" s="9" t="s">
        <v>100</v>
      </c>
      <c r="F1510" s="9" t="s">
        <v>102</v>
      </c>
      <c r="G1510" s="9"/>
      <c r="H1510" s="9" t="n">
        <v>5</v>
      </c>
      <c r="I1510" s="9" t="s">
        <v>143</v>
      </c>
    </row>
    <row r="1511" customFormat="false" ht="15" hidden="false" customHeight="false" outlineLevel="0" collapsed="false">
      <c r="A1511" s="9" t="s">
        <v>4051</v>
      </c>
      <c r="B1511" s="9" t="s">
        <v>2349</v>
      </c>
      <c r="C1511" s="9" t="s">
        <v>333</v>
      </c>
      <c r="D1511" s="9" t="s">
        <v>332</v>
      </c>
      <c r="E1511" s="9" t="s">
        <v>100</v>
      </c>
      <c r="F1511" s="9" t="s">
        <v>102</v>
      </c>
      <c r="G1511" s="9" t="s">
        <v>1510</v>
      </c>
      <c r="H1511" s="9" t="n">
        <v>7</v>
      </c>
      <c r="I1511" s="9" t="s">
        <v>143</v>
      </c>
    </row>
    <row r="1512" customFormat="false" ht="15" hidden="false" customHeight="false" outlineLevel="0" collapsed="false">
      <c r="A1512" s="9" t="s">
        <v>4052</v>
      </c>
      <c r="B1512" s="9" t="s">
        <v>4053</v>
      </c>
      <c r="C1512" s="9" t="s">
        <v>345</v>
      </c>
      <c r="D1512" s="9" t="s">
        <v>344</v>
      </c>
      <c r="E1512" s="9" t="s">
        <v>100</v>
      </c>
      <c r="F1512" s="9" t="s">
        <v>102</v>
      </c>
      <c r="G1512" s="9" t="s">
        <v>1510</v>
      </c>
      <c r="H1512" s="9" t="n">
        <v>4</v>
      </c>
      <c r="I1512" s="9" t="s">
        <v>103</v>
      </c>
    </row>
    <row r="1513" customFormat="false" ht="15" hidden="false" customHeight="false" outlineLevel="0" collapsed="false">
      <c r="A1513" s="9" t="s">
        <v>2127</v>
      </c>
      <c r="B1513" s="9" t="s">
        <v>4054</v>
      </c>
      <c r="C1513" s="9" t="s">
        <v>370</v>
      </c>
      <c r="D1513" s="9" t="s">
        <v>369</v>
      </c>
      <c r="E1513" s="9" t="s">
        <v>100</v>
      </c>
      <c r="F1513" s="9" t="s">
        <v>102</v>
      </c>
      <c r="G1513" s="9"/>
      <c r="H1513" s="9" t="n">
        <v>1</v>
      </c>
      <c r="I1513" s="9" t="s">
        <v>103</v>
      </c>
    </row>
    <row r="1514" customFormat="false" ht="15" hidden="false" customHeight="false" outlineLevel="0" collapsed="false">
      <c r="A1514" s="9" t="s">
        <v>4055</v>
      </c>
      <c r="B1514" s="9" t="s">
        <v>4056</v>
      </c>
      <c r="C1514" s="9" t="s">
        <v>378</v>
      </c>
      <c r="D1514" s="9" t="s">
        <v>377</v>
      </c>
      <c r="E1514" s="9" t="s">
        <v>106</v>
      </c>
      <c r="F1514" s="9" t="s">
        <v>102</v>
      </c>
      <c r="G1514" s="9"/>
      <c r="H1514" s="9" t="n">
        <v>5</v>
      </c>
      <c r="I1514" s="9" t="s">
        <v>103</v>
      </c>
    </row>
    <row r="1515" customFormat="false" ht="15" hidden="false" customHeight="false" outlineLevel="0" collapsed="false">
      <c r="A1515" s="9" t="s">
        <v>4057</v>
      </c>
      <c r="B1515" s="9" t="s">
        <v>4058</v>
      </c>
      <c r="C1515" s="9" t="s">
        <v>261</v>
      </c>
      <c r="D1515" s="9" t="s">
        <v>260</v>
      </c>
      <c r="E1515" s="9" t="s">
        <v>106</v>
      </c>
      <c r="F1515" s="9" t="s">
        <v>108</v>
      </c>
      <c r="G1515" s="9"/>
      <c r="H1515" s="9" t="n">
        <v>2</v>
      </c>
      <c r="I1515" s="9" t="s">
        <v>103</v>
      </c>
    </row>
    <row r="1516" customFormat="false" ht="15" hidden="false" customHeight="false" outlineLevel="0" collapsed="false">
      <c r="A1516" s="9" t="s">
        <v>1800</v>
      </c>
      <c r="B1516" s="9" t="s">
        <v>4059</v>
      </c>
      <c r="C1516" s="9" t="s">
        <v>280</v>
      </c>
      <c r="D1516" s="9" t="s">
        <v>279</v>
      </c>
      <c r="E1516" s="9" t="s">
        <v>106</v>
      </c>
      <c r="F1516" s="9" t="s">
        <v>108</v>
      </c>
      <c r="G1516" s="9"/>
      <c r="H1516" s="9" t="n">
        <v>1</v>
      </c>
      <c r="I1516" s="9" t="s">
        <v>103</v>
      </c>
    </row>
    <row r="1517" customFormat="false" ht="15" hidden="false" customHeight="false" outlineLevel="0" collapsed="false">
      <c r="A1517" s="9" t="s">
        <v>3874</v>
      </c>
      <c r="B1517" s="9" t="s">
        <v>4060</v>
      </c>
      <c r="C1517" s="9" t="s">
        <v>327</v>
      </c>
      <c r="D1517" s="9" t="s">
        <v>326</v>
      </c>
      <c r="E1517" s="9" t="s">
        <v>106</v>
      </c>
      <c r="F1517" s="9" t="s">
        <v>108</v>
      </c>
      <c r="G1517" s="9"/>
      <c r="H1517" s="9" t="n">
        <v>1</v>
      </c>
      <c r="I1517" s="9" t="s">
        <v>209</v>
      </c>
    </row>
    <row r="1518" customFormat="false" ht="15" hidden="false" customHeight="false" outlineLevel="0" collapsed="false">
      <c r="A1518" s="9" t="s">
        <v>1645</v>
      </c>
      <c r="B1518" s="9" t="s">
        <v>4061</v>
      </c>
      <c r="C1518" s="9" t="s">
        <v>327</v>
      </c>
      <c r="D1518" s="9" t="s">
        <v>326</v>
      </c>
      <c r="E1518" s="9" t="s">
        <v>106</v>
      </c>
      <c r="F1518" s="9" t="s">
        <v>108</v>
      </c>
      <c r="G1518" s="9"/>
      <c r="H1518" s="9" t="n">
        <v>2</v>
      </c>
      <c r="I1518" s="9" t="s">
        <v>209</v>
      </c>
    </row>
    <row r="1519" customFormat="false" ht="15" hidden="false" customHeight="false" outlineLevel="0" collapsed="false">
      <c r="A1519" s="9" t="s">
        <v>4062</v>
      </c>
      <c r="B1519" s="9" t="s">
        <v>4063</v>
      </c>
      <c r="C1519" s="9" t="s">
        <v>327</v>
      </c>
      <c r="D1519" s="9" t="s">
        <v>326</v>
      </c>
      <c r="E1519" s="9" t="s">
        <v>106</v>
      </c>
      <c r="F1519" s="9" t="s">
        <v>108</v>
      </c>
      <c r="G1519" s="9"/>
      <c r="H1519" s="9" t="n">
        <v>11</v>
      </c>
      <c r="I1519" s="9" t="s">
        <v>209</v>
      </c>
    </row>
    <row r="1520" customFormat="false" ht="15" hidden="false" customHeight="false" outlineLevel="0" collapsed="false">
      <c r="A1520" s="9" t="s">
        <v>4064</v>
      </c>
      <c r="B1520" s="9" t="s">
        <v>4065</v>
      </c>
      <c r="C1520" s="9" t="s">
        <v>327</v>
      </c>
      <c r="D1520" s="9" t="s">
        <v>326</v>
      </c>
      <c r="E1520" s="9" t="s">
        <v>106</v>
      </c>
      <c r="F1520" s="9" t="s">
        <v>108</v>
      </c>
      <c r="G1520" s="9" t="s">
        <v>1510</v>
      </c>
      <c r="H1520" s="9" t="n">
        <v>12</v>
      </c>
      <c r="I1520" s="9" t="s">
        <v>209</v>
      </c>
    </row>
    <row r="1521" customFormat="false" ht="15" hidden="false" customHeight="false" outlineLevel="0" collapsed="false">
      <c r="A1521" s="9" t="s">
        <v>2127</v>
      </c>
      <c r="B1521" s="9" t="s">
        <v>4066</v>
      </c>
      <c r="C1521" s="9" t="s">
        <v>337</v>
      </c>
      <c r="D1521" s="9" t="s">
        <v>336</v>
      </c>
      <c r="E1521" s="9" t="s">
        <v>106</v>
      </c>
      <c r="F1521" s="9" t="s">
        <v>108</v>
      </c>
      <c r="G1521" s="9"/>
      <c r="H1521" s="9" t="n">
        <v>1</v>
      </c>
      <c r="I1521" s="9" t="s">
        <v>103</v>
      </c>
    </row>
    <row r="1522" customFormat="false" ht="15" hidden="false" customHeight="false" outlineLevel="0" collapsed="false">
      <c r="A1522" s="9" t="s">
        <v>1970</v>
      </c>
      <c r="B1522" s="9" t="s">
        <v>4067</v>
      </c>
      <c r="C1522" s="9" t="s">
        <v>354</v>
      </c>
      <c r="D1522" s="9" t="s">
        <v>353</v>
      </c>
      <c r="E1522" s="9" t="s">
        <v>106</v>
      </c>
      <c r="F1522" s="9" t="s">
        <v>108</v>
      </c>
      <c r="G1522" s="9"/>
      <c r="H1522" s="9" t="n">
        <v>2</v>
      </c>
      <c r="I1522" s="9" t="s">
        <v>103</v>
      </c>
    </row>
    <row r="1523" customFormat="false" ht="15" hidden="false" customHeight="false" outlineLevel="0" collapsed="false">
      <c r="A1523" s="9" t="s">
        <v>4068</v>
      </c>
      <c r="B1523" s="9" t="s">
        <v>4069</v>
      </c>
      <c r="C1523" s="9" t="s">
        <v>155</v>
      </c>
      <c r="D1523" s="9" t="s">
        <v>289</v>
      </c>
      <c r="E1523" s="9" t="s">
        <v>155</v>
      </c>
      <c r="F1523" s="9" t="s">
        <v>197</v>
      </c>
      <c r="G1523" s="9"/>
      <c r="H1523" s="9" t="n">
        <v>10</v>
      </c>
      <c r="I1523" s="9" t="s">
        <v>157</v>
      </c>
    </row>
    <row r="1524" customFormat="false" ht="15" hidden="false" customHeight="false" outlineLevel="0" collapsed="false">
      <c r="A1524" s="9" t="s">
        <v>4070</v>
      </c>
      <c r="B1524" s="9" t="s">
        <v>4071</v>
      </c>
      <c r="C1524" s="9" t="s">
        <v>155</v>
      </c>
      <c r="D1524" s="9" t="s">
        <v>289</v>
      </c>
      <c r="E1524" s="9" t="s">
        <v>155</v>
      </c>
      <c r="F1524" s="9" t="s">
        <v>197</v>
      </c>
      <c r="G1524" s="9"/>
      <c r="H1524" s="9" t="n">
        <v>13</v>
      </c>
      <c r="I1524" s="9" t="s">
        <v>157</v>
      </c>
    </row>
    <row r="1525" customFormat="false" ht="15" hidden="false" customHeight="false" outlineLevel="0" collapsed="false">
      <c r="A1525" s="9" t="s">
        <v>4072</v>
      </c>
      <c r="B1525" s="9" t="s">
        <v>4073</v>
      </c>
      <c r="C1525" s="9" t="s">
        <v>155</v>
      </c>
      <c r="D1525" s="9" t="s">
        <v>289</v>
      </c>
      <c r="E1525" s="9" t="s">
        <v>155</v>
      </c>
      <c r="F1525" s="9" t="s">
        <v>197</v>
      </c>
      <c r="G1525" s="9"/>
      <c r="H1525" s="9" t="n">
        <v>15</v>
      </c>
      <c r="I1525" s="9" t="s">
        <v>157</v>
      </c>
    </row>
    <row r="1526" customFormat="false" ht="15" hidden="false" customHeight="false" outlineLevel="0" collapsed="false">
      <c r="A1526" s="9" t="s">
        <v>4074</v>
      </c>
      <c r="B1526" s="9" t="s">
        <v>4075</v>
      </c>
      <c r="C1526" s="9" t="s">
        <v>155</v>
      </c>
      <c r="D1526" s="9" t="s">
        <v>289</v>
      </c>
      <c r="E1526" s="9" t="s">
        <v>155</v>
      </c>
      <c r="F1526" s="9" t="s">
        <v>197</v>
      </c>
      <c r="G1526" s="9" t="s">
        <v>1510</v>
      </c>
      <c r="H1526" s="9" t="n">
        <v>18</v>
      </c>
      <c r="I1526" s="9" t="s">
        <v>157</v>
      </c>
    </row>
    <row r="1527" customFormat="false" ht="15" hidden="false" customHeight="false" outlineLevel="0" collapsed="false">
      <c r="A1527" s="9" t="s">
        <v>4076</v>
      </c>
      <c r="B1527" s="9" t="s">
        <v>4077</v>
      </c>
      <c r="C1527" s="9" t="s">
        <v>362</v>
      </c>
      <c r="D1527" s="9" t="s">
        <v>361</v>
      </c>
      <c r="E1527" s="9" t="s">
        <v>140</v>
      </c>
      <c r="F1527" s="9" t="s">
        <v>197</v>
      </c>
      <c r="G1527" s="9"/>
      <c r="H1527" s="9" t="n">
        <v>3</v>
      </c>
      <c r="I1527" s="9" t="s">
        <v>135</v>
      </c>
    </row>
    <row r="1528" customFormat="false" ht="15" hidden="false" customHeight="false" outlineLevel="0" collapsed="false">
      <c r="A1528" s="9" t="s">
        <v>1570</v>
      </c>
      <c r="B1528" s="9" t="s">
        <v>4078</v>
      </c>
      <c r="C1528" s="9" t="s">
        <v>362</v>
      </c>
      <c r="D1528" s="9" t="s">
        <v>361</v>
      </c>
      <c r="E1528" s="9" t="s">
        <v>140</v>
      </c>
      <c r="F1528" s="9" t="s">
        <v>197</v>
      </c>
      <c r="G1528" s="9"/>
      <c r="H1528" s="9" t="n">
        <v>4</v>
      </c>
      <c r="I1528" s="9" t="s">
        <v>135</v>
      </c>
    </row>
    <row r="1529" customFormat="false" ht="15" hidden="false" customHeight="false" outlineLevel="0" collapsed="false">
      <c r="A1529" s="9" t="s">
        <v>4079</v>
      </c>
      <c r="B1529" s="9" t="s">
        <v>2382</v>
      </c>
      <c r="C1529" s="9" t="s">
        <v>362</v>
      </c>
      <c r="D1529" s="9" t="s">
        <v>361</v>
      </c>
      <c r="E1529" s="9" t="s">
        <v>140</v>
      </c>
      <c r="F1529" s="9" t="s">
        <v>197</v>
      </c>
      <c r="G1529" s="9"/>
      <c r="H1529" s="9" t="n">
        <v>5</v>
      </c>
      <c r="I1529" s="9" t="s">
        <v>135</v>
      </c>
    </row>
    <row r="1530" customFormat="false" ht="15" hidden="false" customHeight="false" outlineLevel="0" collapsed="false">
      <c r="A1530" s="9" t="s">
        <v>4080</v>
      </c>
      <c r="B1530" s="9" t="s">
        <v>4077</v>
      </c>
      <c r="C1530" s="9" t="s">
        <v>362</v>
      </c>
      <c r="D1530" s="9" t="s">
        <v>361</v>
      </c>
      <c r="E1530" s="9" t="s">
        <v>140</v>
      </c>
      <c r="F1530" s="9" t="s">
        <v>197</v>
      </c>
      <c r="G1530" s="9" t="s">
        <v>1510</v>
      </c>
      <c r="H1530" s="9" t="n">
        <v>10</v>
      </c>
      <c r="I1530" s="9" t="s">
        <v>135</v>
      </c>
    </row>
    <row r="1531" customFormat="false" ht="15" hidden="false" customHeight="false" outlineLevel="0" collapsed="false">
      <c r="A1531" s="9" t="s">
        <v>4081</v>
      </c>
      <c r="B1531" s="9" t="s">
        <v>4082</v>
      </c>
      <c r="C1531" s="9" t="s">
        <v>362</v>
      </c>
      <c r="D1531" s="9" t="s">
        <v>361</v>
      </c>
      <c r="E1531" s="9" t="s">
        <v>140</v>
      </c>
      <c r="F1531" s="9" t="s">
        <v>197</v>
      </c>
      <c r="G1531" s="9" t="s">
        <v>1510</v>
      </c>
      <c r="H1531" s="9" t="n">
        <v>12</v>
      </c>
      <c r="I1531" s="9" t="s">
        <v>135</v>
      </c>
    </row>
    <row r="1532" customFormat="false" ht="15" hidden="false" customHeight="false" outlineLevel="0" collapsed="false">
      <c r="A1532" s="9" t="s">
        <v>2216</v>
      </c>
      <c r="B1532" s="9" t="s">
        <v>3303</v>
      </c>
      <c r="C1532" s="9" t="s">
        <v>364</v>
      </c>
      <c r="D1532" s="9" t="s">
        <v>363</v>
      </c>
      <c r="E1532" s="9" t="s">
        <v>140</v>
      </c>
      <c r="F1532" s="9" t="s">
        <v>197</v>
      </c>
      <c r="G1532" s="9"/>
      <c r="H1532" s="9" t="n">
        <v>2</v>
      </c>
      <c r="I1532" s="9" t="s">
        <v>117</v>
      </c>
    </row>
    <row r="1533" customFormat="false" ht="15" hidden="false" customHeight="false" outlineLevel="0" collapsed="false">
      <c r="A1533" s="9" t="s">
        <v>4083</v>
      </c>
      <c r="B1533" s="9" t="s">
        <v>3310</v>
      </c>
      <c r="C1533" s="9" t="s">
        <v>364</v>
      </c>
      <c r="D1533" s="9" t="s">
        <v>363</v>
      </c>
      <c r="E1533" s="9" t="s">
        <v>140</v>
      </c>
      <c r="F1533" s="9" t="s">
        <v>197</v>
      </c>
      <c r="G1533" s="9" t="s">
        <v>1510</v>
      </c>
      <c r="H1533" s="9" t="n">
        <v>7</v>
      </c>
      <c r="I1533" s="9" t="s">
        <v>117</v>
      </c>
    </row>
    <row r="1534" customFormat="false" ht="15" hidden="false" customHeight="false" outlineLevel="0" collapsed="false">
      <c r="A1534" s="9" t="s">
        <v>4084</v>
      </c>
      <c r="B1534" s="9" t="s">
        <v>4085</v>
      </c>
      <c r="C1534" s="9" t="s">
        <v>364</v>
      </c>
      <c r="D1534" s="9" t="s">
        <v>363</v>
      </c>
      <c r="E1534" s="9" t="s">
        <v>140</v>
      </c>
      <c r="F1534" s="9" t="s">
        <v>197</v>
      </c>
      <c r="G1534" s="9"/>
      <c r="H1534" s="9" t="n">
        <v>12</v>
      </c>
      <c r="I1534" s="9" t="s">
        <v>117</v>
      </c>
    </row>
    <row r="1535" customFormat="false" ht="15" hidden="false" customHeight="false" outlineLevel="0" collapsed="false">
      <c r="A1535" s="9" t="s">
        <v>4086</v>
      </c>
      <c r="B1535" s="9" t="s">
        <v>4087</v>
      </c>
      <c r="C1535" s="9" t="s">
        <v>364</v>
      </c>
      <c r="D1535" s="9" t="s">
        <v>363</v>
      </c>
      <c r="E1535" s="9" t="s">
        <v>140</v>
      </c>
      <c r="F1535" s="9" t="s">
        <v>197</v>
      </c>
      <c r="G1535" s="9"/>
      <c r="H1535" s="9" t="n">
        <v>15</v>
      </c>
      <c r="I1535" s="9" t="s">
        <v>117</v>
      </c>
    </row>
    <row r="1536" customFormat="false" ht="15" hidden="false" customHeight="false" outlineLevel="0" collapsed="false">
      <c r="A1536" s="9" t="s">
        <v>1793</v>
      </c>
      <c r="B1536" s="9" t="s">
        <v>4088</v>
      </c>
      <c r="C1536" s="9" t="s">
        <v>358</v>
      </c>
      <c r="D1536" s="9" t="s">
        <v>357</v>
      </c>
      <c r="E1536" s="9" t="s">
        <v>155</v>
      </c>
      <c r="F1536" s="9" t="s">
        <v>156</v>
      </c>
      <c r="G1536" s="9"/>
      <c r="H1536" s="9" t="n">
        <v>2</v>
      </c>
      <c r="I1536" s="9" t="s">
        <v>135</v>
      </c>
    </row>
    <row r="1537" customFormat="false" ht="15" hidden="false" customHeight="false" outlineLevel="0" collapsed="false">
      <c r="A1537" s="9" t="s">
        <v>4089</v>
      </c>
      <c r="B1537" s="9" t="s">
        <v>4090</v>
      </c>
      <c r="C1537" s="9" t="s">
        <v>358</v>
      </c>
      <c r="D1537" s="9" t="s">
        <v>357</v>
      </c>
      <c r="E1537" s="9" t="s">
        <v>155</v>
      </c>
      <c r="F1537" s="9" t="s">
        <v>156</v>
      </c>
      <c r="G1537" s="9"/>
      <c r="H1537" s="9" t="n">
        <v>3</v>
      </c>
      <c r="I1537" s="9" t="s">
        <v>135</v>
      </c>
    </row>
    <row r="1538" customFormat="false" ht="15" hidden="false" customHeight="false" outlineLevel="0" collapsed="false">
      <c r="A1538" s="9" t="s">
        <v>4091</v>
      </c>
      <c r="B1538" s="9" t="s">
        <v>4092</v>
      </c>
      <c r="C1538" s="9" t="s">
        <v>380</v>
      </c>
      <c r="D1538" s="9" t="s">
        <v>379</v>
      </c>
      <c r="E1538" s="9" t="s">
        <v>106</v>
      </c>
      <c r="F1538" s="9" t="s">
        <v>108</v>
      </c>
      <c r="G1538" s="9"/>
      <c r="H1538" s="9" t="n">
        <v>1</v>
      </c>
      <c r="I1538" s="9" t="s">
        <v>103</v>
      </c>
    </row>
    <row r="1539" customFormat="false" ht="15" hidden="false" customHeight="false" outlineLevel="0" collapsed="false">
      <c r="A1539" s="9" t="s">
        <v>4093</v>
      </c>
      <c r="B1539" s="9" t="s">
        <v>4094</v>
      </c>
      <c r="C1539" s="9" t="s">
        <v>382</v>
      </c>
      <c r="D1539" s="9" t="s">
        <v>381</v>
      </c>
      <c r="E1539" s="9" t="s">
        <v>200</v>
      </c>
      <c r="F1539" s="9" t="s">
        <v>173</v>
      </c>
      <c r="G1539" s="9"/>
      <c r="H1539" s="9" t="n">
        <v>2</v>
      </c>
      <c r="I1539" s="9" t="s">
        <v>117</v>
      </c>
    </row>
    <row r="1540" customFormat="false" ht="15" hidden="false" customHeight="false" outlineLevel="0" collapsed="false">
      <c r="A1540" s="9" t="s">
        <v>4095</v>
      </c>
      <c r="B1540" s="9" t="s">
        <v>4096</v>
      </c>
      <c r="C1540" s="9" t="s">
        <v>382</v>
      </c>
      <c r="D1540" s="9" t="s">
        <v>381</v>
      </c>
      <c r="E1540" s="9" t="s">
        <v>200</v>
      </c>
      <c r="F1540" s="9" t="s">
        <v>173</v>
      </c>
      <c r="G1540" s="9"/>
      <c r="H1540" s="9" t="n">
        <v>4</v>
      </c>
      <c r="I1540" s="9" t="s">
        <v>117</v>
      </c>
    </row>
    <row r="1541" customFormat="false" ht="15" hidden="false" customHeight="false" outlineLevel="0" collapsed="false">
      <c r="A1541" s="9" t="s">
        <v>4097</v>
      </c>
      <c r="B1541" s="9" t="s">
        <v>2046</v>
      </c>
      <c r="C1541" s="9" t="s">
        <v>382</v>
      </c>
      <c r="D1541" s="9" t="s">
        <v>381</v>
      </c>
      <c r="E1541" s="9" t="s">
        <v>200</v>
      </c>
      <c r="F1541" s="9" t="s">
        <v>173</v>
      </c>
      <c r="G1541" s="9" t="s">
        <v>1631</v>
      </c>
      <c r="H1541" s="9" t="n">
        <v>9</v>
      </c>
      <c r="I1541" s="9" t="s">
        <v>117</v>
      </c>
    </row>
    <row r="1542" customFormat="false" ht="15" hidden="false" customHeight="false" outlineLevel="0" collapsed="false">
      <c r="A1542" s="9" t="s">
        <v>4098</v>
      </c>
      <c r="B1542" s="9" t="s">
        <v>4099</v>
      </c>
      <c r="C1542" s="9" t="s">
        <v>382</v>
      </c>
      <c r="D1542" s="9" t="s">
        <v>381</v>
      </c>
      <c r="E1542" s="9" t="s">
        <v>200</v>
      </c>
      <c r="F1542" s="9" t="s">
        <v>173</v>
      </c>
      <c r="G1542" s="9"/>
      <c r="H1542" s="9" t="n">
        <v>18</v>
      </c>
      <c r="I1542" s="9" t="s">
        <v>117</v>
      </c>
    </row>
    <row r="1543" customFormat="false" ht="15" hidden="false" customHeight="false" outlineLevel="0" collapsed="false">
      <c r="A1543" s="9" t="s">
        <v>4100</v>
      </c>
      <c r="B1543" s="9" t="s">
        <v>4101</v>
      </c>
      <c r="C1543" s="9" t="s">
        <v>382</v>
      </c>
      <c r="D1543" s="9" t="s">
        <v>381</v>
      </c>
      <c r="E1543" s="9" t="s">
        <v>200</v>
      </c>
      <c r="F1543" s="9" t="s">
        <v>173</v>
      </c>
      <c r="G1543" s="9" t="s">
        <v>1510</v>
      </c>
      <c r="H1543" s="9" t="n">
        <v>26</v>
      </c>
      <c r="I1543" s="9" t="s">
        <v>117</v>
      </c>
    </row>
    <row r="1544" customFormat="false" ht="15" hidden="false" customHeight="false" outlineLevel="0" collapsed="false">
      <c r="A1544" s="9" t="s">
        <v>4102</v>
      </c>
      <c r="B1544" s="9" t="s">
        <v>4103</v>
      </c>
      <c r="C1544" s="9" t="s">
        <v>140</v>
      </c>
      <c r="D1544" s="9" t="s">
        <v>418</v>
      </c>
      <c r="E1544" s="9" t="s">
        <v>140</v>
      </c>
      <c r="F1544" s="9" t="s">
        <v>173</v>
      </c>
      <c r="G1544" s="9" t="s">
        <v>1510</v>
      </c>
      <c r="H1544" s="9" t="n">
        <v>6</v>
      </c>
      <c r="I1544" s="9" t="s">
        <v>117</v>
      </c>
    </row>
    <row r="1545" customFormat="false" ht="15" hidden="false" customHeight="false" outlineLevel="0" collapsed="false">
      <c r="A1545" s="9" t="s">
        <v>2428</v>
      </c>
      <c r="B1545" s="9" t="s">
        <v>4104</v>
      </c>
      <c r="C1545" s="9" t="s">
        <v>284</v>
      </c>
      <c r="D1545" s="9" t="s">
        <v>283</v>
      </c>
      <c r="E1545" s="9" t="s">
        <v>140</v>
      </c>
      <c r="F1545" s="9" t="s">
        <v>128</v>
      </c>
      <c r="G1545" s="9"/>
      <c r="H1545" s="9" t="n">
        <v>4</v>
      </c>
      <c r="I1545" s="9" t="s">
        <v>143</v>
      </c>
    </row>
    <row r="1546" customFormat="false" ht="15" hidden="false" customHeight="false" outlineLevel="0" collapsed="false">
      <c r="A1546" s="9" t="s">
        <v>4105</v>
      </c>
      <c r="B1546" s="9" t="s">
        <v>4106</v>
      </c>
      <c r="C1546" s="9" t="s">
        <v>199</v>
      </c>
      <c r="D1546" s="9" t="s">
        <v>198</v>
      </c>
      <c r="E1546" s="9" t="s">
        <v>200</v>
      </c>
      <c r="F1546" s="9" t="s">
        <v>173</v>
      </c>
      <c r="G1546" s="9"/>
      <c r="H1546" s="9" t="n">
        <v>67</v>
      </c>
      <c r="I1546" s="9" t="s">
        <v>117</v>
      </c>
    </row>
    <row r="1547" customFormat="false" ht="15" hidden="false" customHeight="false" outlineLevel="0" collapsed="false">
      <c r="A1547" s="9" t="s">
        <v>4107</v>
      </c>
      <c r="B1547" s="9" t="s">
        <v>4108</v>
      </c>
      <c r="C1547" s="9" t="s">
        <v>319</v>
      </c>
      <c r="D1547" s="9" t="s">
        <v>318</v>
      </c>
      <c r="E1547" s="9" t="s">
        <v>106</v>
      </c>
      <c r="F1547" s="9" t="s">
        <v>102</v>
      </c>
      <c r="G1547" s="9"/>
      <c r="H1547" s="9" t="n">
        <v>3</v>
      </c>
      <c r="I1547" s="9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2026-09-22T12:49:41Z</dcterms:created>
  <dc:creator>openpyxl</dc:creator>
  <dc:description/>
  <dc:language>en-US</dc:language>
  <cp:lastModifiedBy/>
  <dcterms:modified xsi:type="dcterms:W3CDTF">2026-09-22T12:49:42Z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